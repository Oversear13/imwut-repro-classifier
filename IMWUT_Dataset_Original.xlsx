
<file path=[Content_Types].xml><?xml version="1.0" encoding="utf-8"?>
<Types xmlns="http://schemas.openxmlformats.org/package/2006/content-types">
  <Default Extension="vml" ContentType="application/vnd.openxmlformats-officedocument.vmlDrawing"/>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tables/table8.xml" ContentType="application/vnd.openxmlformats-officedocument.spreadsheetml.table+xml"/>
  <Override PartName="/xl/comments2.xml" ContentType="application/vnd.openxmlformats-officedocument.spreadsheetml.comments+xml"/>
  <Override PartName="/xl/worksheets/sheet7.xml" ContentType="application/vnd.openxmlformats-officedocument.spreadsheetml.worksheet+xml"/>
  <Override PartName="/xl/tables/table6.xml" ContentType="application/vnd.openxmlformats-officedocument.spreadsheetml.table+xml"/>
  <Override PartName="/xl/tables/table5.xml" ContentType="application/vnd.openxmlformats-officedocument.spreadsheetml.table+xml"/>
  <Override PartName="/xl/threadedComments/threadedComment1.xml" ContentType="application/vnd.ms-excel.threadedcomments+xml"/>
  <Override PartName="/xl/worksheets/sheet4.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hreadedComments/threadedComment4.xml" ContentType="application/vnd.ms-excel.threadedcomments+xml"/>
  <Override PartName="/docProps/core.xml" ContentType="application/vnd.openxmlformats-package.core-properties+xml"/>
  <Override PartName="/xl/tables/table7.xml" ContentType="application/vnd.openxmlformats-officedocument.spreadsheetml.table+xml"/>
  <Override PartName="/xl/worksheets/sheet2.xml" ContentType="application/vnd.openxmlformats-officedocument.spreadsheetml.worksheet+xml"/>
  <Override PartName="/xl/tables/table9.xml" ContentType="application/vnd.openxmlformats-officedocument.spreadsheetml.table+xml"/>
  <Override PartName="/xl/threadedComments/threadedComment3.xml" ContentType="application/vnd.ms-excel.threadedcomments+xml"/>
  <Override PartName="/xl/comments4.xml" ContentType="application/vnd.openxmlformats-officedocument.spreadsheetml.comments+xml"/>
  <Override PartName="/docProps/app.xml" ContentType="application/vnd.openxmlformats-officedocument.extended-properties+xml"/>
  <Override PartName="/xl/worksheets/sheet6.xml" ContentType="application/vnd.openxmlformats-officedocument.spreadsheetml.worksheet+xml"/>
  <Override PartName="/xl/persons/person.xml" ContentType="application/vnd.ms-excel.person+xml"/>
  <Override PartName="/xl/sharedStrings.xml" ContentType="application/vnd.openxmlformats-officedocument.spreadsheetml.sharedStrings+xml"/>
  <Override PartName="/xl/worksheets/sheet10.xml" ContentType="application/vnd.openxmlformats-officedocument.spreadsheetml.worksheet+xml"/>
  <Override PartName="/xl/workbook.xml" ContentType="application/vnd.openxmlformats-officedocument.spreadsheetml.sheet.main+xml"/>
  <Override PartName="/xl/worksheets/sheet8.xml" ContentType="application/vnd.openxmlformats-officedocument.spreadsheetml.worksheet+xml"/>
  <Override PartName="/xl/threadedComments/threadedComment2.xml" ContentType="application/vnd.ms-excel.threadedcomments+xml"/>
  <Override PartName="/xl/worksheets/sheet5.xml" ContentType="application/vnd.openxmlformats-officedocument.spreadsheetml.worksheet+xml"/>
  <Override PartName="/xl/tables/table10.xml" ContentType="application/vnd.openxmlformats-officedocument.spreadsheetml.table+xml"/>
  <Override PartName="/xl/worksheets/sheet9.xml" ContentType="application/vnd.openxmlformats-officedocument.spreadsheetml.worksheet+xml"/>
  <Override PartName="/xl/tables/table1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worksheets/sheet12.xml" ContentType="application/vnd.openxmlformats-officedocument.spreadsheetml.worksheet+xml"/>
  <Override PartName="/xl/tables/table4.xml" ContentType="application/vnd.openxmlformats-officedocument.spreadsheetml.table+xml"/>
  <Override PartName="/xl/tables/table12.xml" ContentType="application/vnd.openxmlformats-officedocument.spreadsheetml.table+xml"/>
  <Override PartName="/xl/theme/theme1.xml" ContentType="application/vnd.openxmlformats-officedocument.theme+xml"/>
  <Override PartName="/xl/comments3.xml" ContentType="application/vnd.openxmlformats-officedocument.spreadsheetml.comments+xml"/>
  <Override PartName="/xl/tables/table1.xml" ContentType="application/vnd.openxmlformats-officedocument.spreadsheetml.table+xml"/>
  <Override PartName="/xl/worksheets/sheet11.xml" ContentType="application/vnd.openxmlformats-officedocument.spreadsheetml.worksheet+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2025_Dec" sheetId="1" state="visible" r:id="rId2"/>
    <sheet name="2025_Sep" sheetId="2" state="visible" r:id="rId3"/>
    <sheet name="2025_Jun" sheetId="3" state="visible" r:id="rId4"/>
    <sheet name="2025_Mar" sheetId="4" state="visible" r:id="rId5"/>
    <sheet name="2024_Dec" sheetId="5" state="visible" r:id="rId6"/>
    <sheet name="2024_Sep" sheetId="6" state="visible" r:id="rId7"/>
    <sheet name="2024_Jun" sheetId="7" state="visible" r:id="rId8"/>
    <sheet name="2024_Mar" sheetId="8" state="visible" r:id="rId9"/>
    <sheet name="2023_Dec" sheetId="9" state="visible" r:id="rId10"/>
    <sheet name="2023_Sep" sheetId="10" state="visible" r:id="rId11"/>
    <sheet name="2023_Jun" sheetId="11" state="visible" r:id="rId12"/>
    <sheet name="2023_Mar" sheetId="12" state="visible" r:id="rId13"/>
  </sheets>
  <calcPr/>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tc={90AE34BF-07FA-4286-956F-B4805AD1CE76}</author>
  </authors>
  <commentList>
    <comment ref="R17" authorId="0" xr:uid="{90AE34BF-07FA-4286-956F-B4805AD1CE76}">
      <text>
        <r>
          <rPr>
            <b/>
            <sz val="9"/>
            <rFont val="Tahoma"/>
          </rPr>
          <t xml:space="preserve">Robin Burchard:</t>
        </r>
        <r>
          <rPr>
            <sz val="9"/>
            <rFont val="Tahoma"/>
          </rPr>
          <t xml:space="preserve">
@mike.specht@student.uni-siegen.de Könntest du hier mal schauen? Es ist nichts ausgewählt. Danke!
mike.specht@student.uni-siegen.de zugewiesen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tc={BC20E036-0059-466D-8DD6-CC1E0A79F632}</author>
  </authors>
  <commentList>
    <comment ref="L24" authorId="0" xr:uid="{BC20E036-0059-466D-8DD6-CC1E0A79F632}">
      <text>
        <r>
          <rPr>
            <b/>
            <sz val="9"/>
            <rFont val="Tahoma"/>
          </rPr>
          <t xml:space="preserve">Robin Burchard:</t>
        </r>
        <r>
          <rPr>
            <sz val="9"/>
            <rFont val="Tahoma"/>
          </rPr>
          <t xml:space="preserve">
False Positive - Manuell auf No setzen nötig?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tc={0C79381D-53D5-4F5E-8B76-3E9884303E61}</author>
  </authors>
  <commentList>
    <comment ref="A1" authorId="0" xr:uid="{0C79381D-53D5-4F5E-8B76-3E9884303E61}">
      <text>
        <r>
          <rPr>
            <b/>
            <sz val="9"/>
            <rFont val="Tahoma"/>
          </rPr>
          <t xml:space="preserve">Robin Burchard:</t>
        </r>
        <r>
          <rPr>
            <sz val="9"/>
            <rFont val="Tahoma"/>
          </rPr>
          <t xml:space="preserve">
Hier bitte title statt 20 draus machen ;) da ist wohl etwas verrutscht.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tc={14A1A813-9DEA-4079-93FB-1E5E61D33576}</author>
  </authors>
  <commentList>
    <comment ref="Q25" authorId="0" xr:uid="{14A1A813-9DEA-4079-93FB-1E5E61D33576}">
      <text>
        <r>
          <rPr>
            <b/>
            <sz val="9"/>
            <rFont val="Tahoma"/>
          </rPr>
          <t xml:space="preserve">Robin Burchard:</t>
        </r>
        <r>
          <rPr>
            <sz val="9"/>
            <rFont val="Tahoma"/>
          </rPr>
          <t xml:space="preserve">
Das hier ist besonders für ein Dataset Paper, sollten wir nochmal ansehen.
</t>
        </r>
      </text>
    </comment>
  </commentList>
</comments>
</file>

<file path=xl/sharedStrings.xml><?xml version="1.0" encoding="utf-8"?>
<sst xmlns="http://schemas.openxmlformats.org/spreadsheetml/2006/main" count="4014" uniqueCount="4014">
  <si>
    <t>title</t>
  </si>
  <si>
    <t>article_number</t>
  </si>
  <si>
    <t>pdf_file</t>
  </si>
  <si>
    <t>citation</t>
  </si>
  <si>
    <t>date</t>
  </si>
  <si>
    <t>year</t>
  </si>
  <si>
    <t>issue</t>
  </si>
  <si>
    <t>paper_id</t>
  </si>
  <si>
    <t>doi_url</t>
  </si>
  <si>
    <t>length_pages</t>
  </si>
  <si>
    <t>paper_type</t>
  </si>
  <si>
    <t>is_dataset_paper</t>
  </si>
  <si>
    <t>open_access</t>
  </si>
  <si>
    <t>code_required</t>
  </si>
  <si>
    <t>code_available</t>
  </si>
  <si>
    <t>code_url</t>
  </si>
  <si>
    <t>code_notes</t>
  </si>
  <si>
    <t>data_required</t>
  </si>
  <si>
    <t>data_available</t>
  </si>
  <si>
    <t>data_url</t>
  </si>
  <si>
    <t>data_notes</t>
  </si>
  <si>
    <t>hardware_required</t>
  </si>
  <si>
    <t>hardware_notes</t>
  </si>
  <si>
    <t>software_required</t>
  </si>
  <si>
    <t>software_notes</t>
  </si>
  <si>
    <t>instructions_present</t>
  </si>
  <si>
    <t>instructions_notes</t>
  </si>
  <si>
    <t>claims_notes</t>
  </si>
  <si>
    <t>annotator</t>
  </si>
  <si>
    <t>2025_Dec_158.pdf</t>
  </si>
  <si>
    <t xml:space="preserve">Zhongyi Bai, Jens Emil Sloth Grønbæk, Andrew Irlitti, Jarrod Knibbe, and Eduardo Velloso. 2025. I Can't Join, but I Will Send My Agent: Stand-in Enhanced Asynchronous Meetings (SEAM). Proc. ACM Interact. Mob. Wearable Ubiquitous Technol. 9, 4, Article 158 (December 2025), 39 pages. https://doi.org/10.1145/3770659</t>
  </si>
  <si>
    <t>Dec</t>
  </si>
  <si>
    <t xml:space="preserve">Algorithm Development;User Study</t>
  </si>
  <si>
    <t>Yes</t>
  </si>
  <si>
    <t>No</t>
  </si>
  <si>
    <t>N/A</t>
  </si>
  <si>
    <t xml:space="preserve">Meta Quest Pro</t>
  </si>
  <si>
    <t xml:space="preserve">LLM, local or open ai api; Unity 6</t>
  </si>
  <si>
    <t xml:space="preserve">Our contributions demonstrate a proof of concept for future asynchronous meetings in which collaborators can interact conversationally more akin to how they would if it had been synchronous.</t>
  </si>
  <si>
    <t>1</t>
  </si>
  <si>
    <t>2025_Dec_159.pdf</t>
  </si>
  <si>
    <t xml:space="preserve">Cynthia M. Baseman, Seka M. Dembure, Nathaniel Swinger, Muni T. Bondu, Betsy DiSalvo, and Rosa I. Arriaga. 2025. Clinical Standards and Proximate Futures: Participatory Design Futuring of Diabetes Technologies with an Under-Resourced Community. Proc. ACM Interact. Mob. Wearable Ubiquitous Technol. 9, 4, Article 159 (December 2025), 30 pages. https://doi.org/10.1145/3770702</t>
  </si>
  <si>
    <t xml:space="preserve">User Study</t>
  </si>
  <si>
    <t>2025_Dec_160.pdf</t>
  </si>
  <si>
    <t xml:space="preserve">Yoganand Biradavolu, Jian Ding, Bhuvana Krishnaswamy, Leandros Tassiulas, and Vaishnavi Ranganathan. 2025. EC-Sense: Radio Energy Capture for Ultra-Low-Power Wireless Soil Moisture Sensing. Proc. ACM Interact. Mob. Wearable Ubiquitous Technol. 9, 4, Article 160 (December 2025), 27 pages. https://doi.org/10.1145/3770660</t>
  </si>
  <si>
    <t xml:space="preserve">Algorithm Development;Hardware Development</t>
  </si>
  <si>
    <t>https://anonymous.4open.science/r/ECSense-System/</t>
  </si>
  <si>
    <t xml:space="preserve">EC-Sense Prototype: Texas Instruments’ TPS22917, STEVAL-FKI868V2,  antennas, PCB, ....</t>
  </si>
  <si>
    <t xml:space="preserve">matlab not mentioned in paper but repo</t>
  </si>
  <si>
    <t xml:space="preserve">description on which code belongs to source or tag, hardware design files</t>
  </si>
  <si>
    <t xml:space="preserve">We evaluate EC-Sense across three different soil types—sandy loam, silt loam, and silty clay loam. Our results show that EC-Sense can measure soil moisture with approximately 98% accuracy compared to ground truth, achieving maximum sensing depths of 40 cm in sandy loam, 30 cm in silt loam, and 25 cm in silty clay loam at field capacity conditions</t>
  </si>
  <si>
    <t>2025_Dec_161.pdf</t>
  </si>
  <si>
    <t xml:space="preserve">Francesco Bombassei De Bona, Ioana Andreea Câmpanu, Marc Langheinrich, Martin Gjoreski, and Georgiana Juravle. 2025. LIFETRACE: A Longitudinal Multimodal Dataset on Daily Physical Activity, Well-Being, and Habits. Proc. ACM Interact. Mob. Wearable Ubiquitous Technol. 9, 4, Article 161 (December 2025), 32 pages. https://doi.org/10.1145/3770676</t>
  </si>
  <si>
    <t xml:space="preserve">Algorithm Development;Dataset Paper;User Study</t>
  </si>
  <si>
    <t>https://github.com/USI-PCC/LIFETRACE</t>
  </si>
  <si>
    <t>Upon_request</t>
  </si>
  <si>
    <t>https://doi.org/10.5281/zenodo.17249917</t>
  </si>
  <si>
    <t xml:space="preserve">contacting first author and signing data sharing agreement, instructions in zenodo readme</t>
  </si>
  <si>
    <t xml:space="preserve">detailed instructions including requirements, input/output (directory) description</t>
  </si>
  <si>
    <t xml:space="preserve">Over a 14-week period, we collected data from 88 participants. Of these, 59 followed a daily walking protocol during the first 7 weeks, with the remaining 29 participants serving as a control group, with no physical activity required. This paper presents an exploratory data analysis (EDA) to test the reliability and completeness of the collected data, together with a baseline machine learning model to assess the predictive power of included variables, relative to the well-being metrics</t>
  </si>
  <si>
    <t>2025_Dec_162.pdf</t>
  </si>
  <si>
    <t xml:space="preserve">Eleonora Bonelli, Matteo Secco, Mattia Gianotti, Davide Di Marco, Franca Garzotto, and Alessandro Colombo. 2025. Bridging Climbing and Interactive Smart Spaces for Children. Proc. ACM Interact. Mob. Wearable Ubiquitous Technol. 9, 4, Article 162 (December 2025), 24 pages. https://doi.org/10.1145/3770646</t>
  </si>
  <si>
    <t>2025_Dec_163.pdf</t>
  </si>
  <si>
    <t xml:space="preserve">Gyeongwon Cha, Dongjin Park, Yejin Choi, Eunji Park, and Joon-Woo Lee. 2025. Real-Time Encrypted Emotion Recognition Using Homomorphic Encryption. Proc. ACM Interact. Mob. Wearable Ubiquitous Technol. 9, 4, Article 163 (December 2025), 32 pages. https://doi.org/10.1145/3770633</t>
  </si>
  <si>
    <t xml:space="preserve">Algorithm Development;Software Development</t>
  </si>
  <si>
    <t>https://github.com/thrudgelmir/EER</t>
  </si>
  <si>
    <t xml:space="preserve">publicly available datasets: WESAD, Hide -and-Seek</t>
  </si>
  <si>
    <t xml:space="preserve">instructions in the repo subfolders</t>
  </si>
  <si>
    <t xml:space="preserve">We evaluated the proposed framework using publicly available WESAD and Hide-and-seek datasets, demonstrating successful stress/emotion recognition under encryption. The results demonstrated that encrypted inference achieved similar accuracy to plaintext inference, with accuracy of 0.966 (plaintext) vs. 0.967 (ciphertext) on the WESAD dataset, and 0.868 for both cases on the Hide-and-Seek dataset.</t>
  </si>
  <si>
    <t>2025_Dec_164.pdf</t>
  </si>
  <si>
    <t xml:space="preserve">Haige Chen and Ashutosh Dhekne. 2025. UWBKey: Using Contrastive Learning for Efficient Secure Key Generation in UWB. Proc. ACM Interact. Mob. Wearable Ubiquitous Technol. 9, 4, Article 164 (December 2025), 31 pages. https://doi.org/10.1145/3770630</t>
  </si>
  <si>
    <t xml:space="preserve">Algorithm Development</t>
  </si>
  <si>
    <t xml:space="preserve">"We plan to open-source the data we have collected and open-source the entire key generation pipeline for the benefit of the research community."</t>
  </si>
  <si>
    <t xml:space="preserve">"The data will be open sourced."</t>
  </si>
  <si>
    <t xml:space="preserve">UWB chip (Qorvo DWM1000)</t>
  </si>
  <si>
    <t xml:space="preserve">UWBKey is evaluated on real-world test beds in various environments and conditions, and compared against multiple baselines. UWBKey shows superior performance with a memory footprint of no more than 51 kBytes, latency of no more than 50 ms when run on a COTS microcontroller, a median bit error rate of ∼ 6.3%, and successfully passes the NIST randomness testing</t>
  </si>
  <si>
    <t>2025_Dec_165.pdf</t>
  </si>
  <si>
    <t xml:space="preserve">Jiayu Chen, Yingjian Song, Yida Zhang, Zixuan Zeng, Xiang Zhang, Zaid Pitafi, Zaipeng Xie, Deepak Kumar Das, Nishan Dong, Junjie Lu, Xiao Yin, and WenZhan Song. 2025. SelfDenoiser: Self-supervised Seismic Signal Denoiser for Continuous and Contactless Cardiac Monitoring. Proc. ACM Interact. Mob. Wearable Ubiquitous Technol. 9, 4, Article 165 (December 2025), 31 pages. https://doi.org/10.1145/3770701</t>
  </si>
  <si>
    <t>https://www.kaggle.com/datasets/bigtortoise/selfdenoiser-dataset/</t>
  </si>
  <si>
    <t xml:space="preserve">Dataset description in kaggle</t>
  </si>
  <si>
    <t xml:space="preserve">A large-scale evaluation is conducted on 11,392 hours of cardiac seismic data collected in an ICU setting. The model is trained on 610 hours of clean signals extracted from a 5,176-hour unlabeled pool and validated on a 6,216-hour labeled set. Results show significant improvements in data utilization and accuracy for heart rate (HR) and inter-beat interval (IBI) estimation tasks.</t>
  </si>
  <si>
    <t>2025_Dec_166.pdf</t>
  </si>
  <si>
    <t xml:space="preserve">Yijie Chen and Jiliang Wang. 2025. ScatterShield: Defending Against Unauthorized WiFi Sensing with Backscatter Tags. Proc. ACM Interact. Mob. Wearable Ubiquitous Technol. 9, 4, Article 166 (December 2025), 24 pages. https://doi.org/10.1145/3770653</t>
  </si>
  <si>
    <t xml:space="preserve">RF switch SKY13373 and the MCU STM32L011D3P6, Schottky diode SMS7630-005LF and low-power comparator LPV7215</t>
  </si>
  <si>
    <t xml:space="preserve">PicoScenes </t>
  </si>
  <si>
    <t xml:space="preserve">We perform extensive experiments to evaluate the performance of ScatterShield. The results show that deploying ScatterShield reduces the detection rate of motion detection attacks by over 60% and decreases the classification accuracy of activity recognition attacks by more than 50%.</t>
  </si>
  <si>
    <t>2025_Dec_167.pdf</t>
  </si>
  <si>
    <t xml:space="preserve">Akshat Choube, Sohini Bhattacharya, Rahul Majethia, Jiachen Li, Vedant Das Swain, and Varun Mishra. 2025. Imputation Matters: A Deeper Look into an Overlooked Step in Longitudinal Health and Behavior Sensing Research. Proc. ACM Interact. Mob. Wearable Ubiquitous Technol. 9, 4, Article 167 (December 2025), 30 pages. https://doi.org/10.1145/3770647</t>
  </si>
  <si>
    <t>https://github.com/UbiWell/imputation-matters</t>
  </si>
  <si>
    <t xml:space="preserve">GLOBEM Datasets, public datasets link in Github</t>
  </si>
  <si>
    <t xml:space="preserve">descriptions and instructions (jupyter notebook)</t>
  </si>
  <si>
    <t xml:space="preserve">Using publicly available passive sensing datasets for depression, we show that prioritizing imputation can significantly impact the study outcomes – with our proposed imputation strategies resulting in up to 31% improvement in AUROC to predict depression over the original imputation strategy</t>
  </si>
  <si>
    <t>2025_Dec_168.pdf</t>
  </si>
  <si>
    <t xml:space="preserve">Kenneth Christofferson, Michelle Lin, Joseph A. Cafazzo, and Alex Mariakakis. 2025. ArtEARial: Arterial Pressure Waveform Reconstruction Using Earbud Audio. Proc. ACM Interact. Mob. Wearable Ubiquitous Technol. 9, 4, Article 168 (December 2025), 24 pages. https://doi.org/10.1145/3770634</t>
  </si>
  <si>
    <t>Unknown</t>
  </si>
  <si>
    <t xml:space="preserve">only for recording data ( earbuds, sensors for reference)</t>
  </si>
  <si>
    <t xml:space="preserve">ArtEARial’s output generates a superior representation of the APW compared to the PPG sensors. This trend holds across several tasks: waveform reconstruction, fiducial point localization, and PWA feature extraction.</t>
  </si>
  <si>
    <t>2025_Dec_169.pdf</t>
  </si>
  <si>
    <t xml:space="preserve">Ananyananda Dasari, Ambareesh Revanur, Sai Shweta Gadepally, Nathaniel Houston-Suluku, Sheku Kamara, Laszlo A. Jeni, and Conrad Tucker. 2025. REVIT: A Dataset and Benchmark for Remote Vital Sign Estimation in Real-World Settings. Proc. ACM Interact. Mob. Wearable Ubiquitous Technol. 9, 4, Article 169 (December 2025), 40 pages. https://doi.org/10.1145/3770635</t>
  </si>
  <si>
    <t xml:space="preserve">Dataset Paper</t>
  </si>
  <si>
    <t>https://anonymous.4open.science/r/REVIT-Partial-B747/</t>
  </si>
  <si>
    <t xml:space="preserve">repository expired</t>
  </si>
  <si>
    <t xml:space="preserve">we present the REmote VITals (REVIT) dataset, comprising of 1553 human subject videos and associated ground truth physiological sign measurements (such as heart rate) collected in multiple outside-the-lab settings for the remote estimation of human physiological signs.</t>
  </si>
  <si>
    <t>2025_Dec_170.pdf</t>
  </si>
  <si>
    <t xml:space="preserve">Bettina Eska, Meagan B. Loerakker, Jasmin Niess, and Paweł W. Woźniak. 2025. How I Use My Body: The Bodily Feedback Quality Scale. Proc. ACM Interact. Mob. Wearable Ubiquitous Technol. 9, 4, Article 170 (December 2025), 32 pages. https://doi.org/10.1145/3770657</t>
  </si>
  <si>
    <t>2025_Dec_171.pdf</t>
  </si>
  <si>
    <t xml:space="preserve">Lingjie Fan, Junhan Zhao, Yongji Wu, Fengyi Wang, Xiyue Wang, and Tao Lin. 2025. Beyond the Clock: Exploring Multimodal Behavior Markers of Mild Cognitive Impairment in Older Adults during Clock Drawing Test. Proc. ACM Interact. Mob. Wearable Ubiquitous Technol. 9, 4, Article 171 (December 2025), 30 pages. https://doi.org/10.1145/3770684</t>
  </si>
  <si>
    <t xml:space="preserve">Our multimodal approach achieved an AUC of 0.92 (accuracy: 92.68%, sensitivity: 90.91%), with HCCA further improving performance to an AUC of 0.97. External validation with 76 additional participants demonstrated good generalizability (AUC: 0.86). These findings reveal how cognitive impairment manifests across multiple behavioral channels offer clinicians precise, interpretable quantification of cognitive function for more accurate MCI screening.</t>
  </si>
  <si>
    <t>2025_Dec_172.pdf</t>
  </si>
  <si>
    <t xml:space="preserve">Jun Fang, Yanuo Zhou, Ka I. Chan, Jiajin Li, Zeyi Sun, Zhengnan Li, Zicong Fu, Hongjing Piao, Haodong Xu, Yuntao Wang, and Yuanchun Shi. 2025. A Review of Behavioral Closed-Loop Paradigm from Sensing to Intervention for Ingestion Health. Proc. ACM Interact. Mob. Wearable Ubiquitous Technol. 9, 4, Article 172 (December 2025), 50 pages. https://doi.org/10.1145/3770668</t>
  </si>
  <si>
    <t xml:space="preserve">Literature Review</t>
  </si>
  <si>
    <t>2025_Dec_174.pdf</t>
  </si>
  <si>
    <t xml:space="preserve">Yibo Fu, Vivian Shen, Víctor Riera Naranjo, Bolei Deng, Alex Adams, and Josiah Hester. 2025. SoundOff: Low-cost Passive Ultrasound Tags for Non-invasive and Non-Intrusive Smart Home Sensing. Proc. ACM Interact. Mob. Wearable Ubiquitous Technol. 9, 4, Article 174 (December 2025), 32 pages. https://doi.org/10.1145/3770666</t>
  </si>
  <si>
    <t xml:space="preserve">pseudo code</t>
  </si>
  <si>
    <t xml:space="preserve">tag prototype, ultrasonic microphone (300$), raspberry pi</t>
  </si>
  <si>
    <t xml:space="preserve">we propose SoundOff, a system that deploys ultra-low-cost, easily manufacturable, passive-ultrasound-emitting tags in any indoor environment (i.e., door knobs, toilet lids, cabinets, faucets, and windows), where the movement of this furniture causes a unique ultrasonic emission identifiable by a wearable device worn by users. These tags generate ultrasound signals during everyday interaction, above the range of human hearing, making them non-intrusive and non-invasive. This electronics-free, zero-infrastructure solution provides a scalable way to instrument spaces. Through a series of performance evaluations, we show that the ultrasonic emissions generated by SoundOff with different geometrical designs are not only robust to various environmental noises but also easily distinguishable from each other</t>
  </si>
  <si>
    <t>2025_Dec_175.pdf</t>
  </si>
  <si>
    <t xml:space="preserve">Ming Gao, Yichen Dai, Zhanbo Zhou, Zhengxin Guo, Jinsong Han, and Fu Xiao. 2025. The Trumpet of the Swan: Decoding Lip Language for Speech-impaired Users through COTS Earbuds. Proc. ACM Interact. Mob. Wearable Ubiquitous Technol. 9, 4, Article 175 (December 2025), 32 pages. https://doi.org/10.1145/3770648</t>
  </si>
  <si>
    <t>https://doi.org/10.5281/zenodo.14723896</t>
  </si>
  <si>
    <t xml:space="preserve">cots earbuds ie airpods, to collect data</t>
  </si>
  <si>
    <t xml:space="preserve">GPT for error correction</t>
  </si>
  <si>
    <t xml:space="preserve">SwanTrumpet realizes a non-vision solution for lip language recognition. It leverages COTS earbuds, requiring no peripheral. SwanTrumpet fully exploits the limited capability of mobile devices. To our knowledge, it is the first to implement inertia-based sensing on COTS earbuds.</t>
  </si>
  <si>
    <t>2025_Dec_176.pdf</t>
  </si>
  <si>
    <t xml:space="preserve">Poojita Garg, Mingzhuo Ma, Hayley Jane MacKinnon, Michael Richley, Vikram Iyer, Shwetak Patel, and Alexander T. Adams. 2025. DopFone: Doppler-Based Fetal Heart Rate Estimation Using Commodity Smartphones. Proc. ACM Interact. Mob. Wearable Ubiquitous Technol. 9, 4, Article 176 (December 2025), 24 pages. https://doi.org/10.1145/3770671</t>
  </si>
  <si>
    <t>smartphone</t>
  </si>
  <si>
    <t xml:space="preserve">DopFone achieved a mean absolute error of 2.1±1.3 BPM compared to a reference-standard medical Doppler device. The 95% limits of agreement (±4.90 BPM) fall well within the clinically acceptable threshold of ±8 BPM. The system demonstrated robustness across gestational ages (19-39 weeks), maternal BMI (23-67 kg/m2), and variations in phone positioning.</t>
  </si>
  <si>
    <t>2025_Dec_177.pdf</t>
  </si>
  <si>
    <t xml:space="preserve">Xue Gong, Kaiwen Guo, Hao Chen, Feng Li, and Chao Liu. 2025. Stick, Swipe, Secure: Acoustic Cross-Device User Authentication via a Low-Cost Passive Fingerprint Sticker. Proc. ACM Interact. Mob. Wearable Ubiquitous Technol. 9, 4, Article 177 (December 2025), 30 pages. https://doi.org/10.1145/3770636</t>
  </si>
  <si>
    <t xml:space="preserve">pseudocode </t>
  </si>
  <si>
    <t xml:space="preserve">passive fingerprint sticker</t>
  </si>
  <si>
    <t xml:space="preserve">Compared to existing methods, S3 Guard offers a lower-cost solution, stronger cross-device migration, effective amplification of acoustic features, and greater feature stability. Experimental results with 100 volunteers show that S3 Guard achieves an average accuracy of 96.26%, effectively defending against spoofing, replay, and puppet attacks.</t>
  </si>
  <si>
    <t>2025_Dec_178.pdf</t>
  </si>
  <si>
    <t xml:space="preserve">Ricardo E. Gonzalez Penuela, Fannie Liu, Blair MacIntyre, and David Saffo. 2025. TapNav: Adaptive Spatiotactile Screen Readers for Tactually Guided Touchscreen Interactions for Blind and Low Vision People. Proc. ACM Interact. Mob. Wearable Ubiquitous Technol. 9, 4, Article 178 (December 2025), 29 pages. https://doi.org/10.1145/3770654</t>
  </si>
  <si>
    <t xml:space="preserve">Algorithm Development;Software Development;User Study</t>
  </si>
  <si>
    <t xml:space="preserve">Tablet, Tactile overlay</t>
  </si>
  <si>
    <t xml:space="preserve">We evaluated TapNav with 12 BLV users who interacted with TapNav to explore a data visualization and interact with a bank transactions application. Our qualitative findings s how t hat t ouch points and spatially constrained navigation helped users anticipate outcomes for faster exploration, and offload cognitive load to touch. We provide design guidelines for creating tactile overlays for adaptive spatiotactile screen readers and discuss their generalizability beyond our exploratory data analysis and everyday application navigation scenarios.</t>
  </si>
  <si>
    <t>2025_Dec_179.pdf</t>
  </si>
  <si>
    <t xml:space="preserve">Dachao Han, Teng Huang, Han Ding, Cui Zhao, Fei Wang, Ge Wang, and Wei Xi. 2025. We Can Hear You with mmWave Radar! An End-to-End Eavesdropping System. Proc. ACM Interact. Mob. Wearable Ubiquitous Technol. 9, 4, Article 179 (December 2025), 23 pages. https://doi.org/10.1145/3770708</t>
  </si>
  <si>
    <t xml:space="preserve">mmWave Radar</t>
  </si>
  <si>
    <t xml:space="preserve">We conduct extensive experiments showing that mmSpeech achieves SOTA performance across standard speech quality metrics (FWSegSNR: 9.43 dB, STOI: 0.80, MCD: 5.18, MEL: 2.09) and generalizes well across unseen speech contents, unseen speakers, and various environmental conditions.</t>
  </si>
  <si>
    <t>2025_Dec_180.pdf</t>
  </si>
  <si>
    <t xml:space="preserve">Lei Han, Jinhao Zhang, Jinhui Liu, Zhiyong Yu, Liang Wang, Quan Wang, and Zhiwen Yu. 2025. Collaborative Scheduling of Time-dependent UAVs, Vehicles and Workers for Crowdsensing in Disaster Response. Proc. ACM Interact. Mob. Wearable Ubiquitous Technol. 9, 4, Article 180 (December 2025), 40 pages. https://doi.org/10.1145/3770664</t>
  </si>
  <si>
    <t>https://github.com/CocaColaZero/Collaborative-Scheduling-of-Time-dependent-Agent</t>
  </si>
  <si>
    <t xml:space="preserve">rar and readme, code and data in rar-file including additional readme</t>
  </si>
  <si>
    <t>Partially</t>
  </si>
  <si>
    <t xml:space="preserve">"experimental code and data examples"</t>
  </si>
  <si>
    <t xml:space="preserve">instructions in git and rar, aditional data generation description</t>
  </si>
  <si>
    <t xml:space="preserve">We conducted detailed experiments using real-world and simulated data. Compared with the baseline algorithms HoCs-GREEDY, HoCs-K-WTA, HoCs-MADL, and HoCs-MARL, HoCs-MPQ improves the task completion rate by 54.13%, 23.82%, 14.12%, and 12.89%, respectively. The single matching decision time does not exceed 3 seconds on any dataset.</t>
  </si>
  <si>
    <t>2025_Dec_181.pdf</t>
  </si>
  <si>
    <t xml:space="preserve">Jing He, Rui Zhang, Qijia Wang, Ruiqi Kong, and He Chen. 2025. CornerSense: Virtual Path-Augmented WiFi Sensing for Human Proximity Detection Around Corners on Mobile Robots. Proc. ACM Interact. Mob. Wearable Ubiquitous Technol. 9, 4, Article 181 (December 2025), 37 pages. https://doi.org/10.1145/3770699</t>
  </si>
  <si>
    <t>https://github.com/hj5202/CornerSense.git</t>
  </si>
  <si>
    <t xml:space="preserve">readme only</t>
  </si>
  <si>
    <t>matlab</t>
  </si>
  <si>
    <t xml:space="preserve">no instructions in repo (unfinished)</t>
  </si>
  <si>
    <t xml:space="preserve">Real-world experimental evaluations conducted across nine different corners in three groups and under four distinct human walking patterns reveal that CornerSense achieves an average true positive rate (TPR) of 96% while maintaining a low average false positive rate (FPR) of 3%. In contrast, a baseline system that directly applies an algorithm intended for stationary transceiver-based proximity sensing only reaches a TPR of 84% and suffers from a markedly higher FPR of 46%, which is over an order of magnitude higher than that of CornerSense.</t>
  </si>
  <si>
    <t>2025_Dec_182.pdf</t>
  </si>
  <si>
    <t xml:space="preserve">Manasa Kalanadhabhatta, Tauhidur Rahman, Adam S. Grabell, and Deepak Ganesan. 2025. Tandem: At-Home Behavior Assessment Using Multimodal Signals from the Parent-Child Dyad. Proc. ACM Interact. Mob. Wearable Ubiquitous Technol. 9, 4, Article 182 (December 2025), 25 pages. https://doi.org/10.1145/3770705</t>
  </si>
  <si>
    <t xml:space="preserve">We propose novel audio-based dyadic interaction features that significantly outperform conventional speech features at predicting risk for behavior problems, achieving an F1 score of 0.87. Furthermore, we show that dyadic physiological synchrony features, extracted from privacy-preserving wearable sensor data, can classify at-risk behavior with an F1 score of 0.91. Tandem thus sets the stage for automated at-home behavior assessment tools for young children that balance screening accuracy with practical deployment considerations.</t>
  </si>
  <si>
    <t>2025_Dec_183.pdf</t>
  </si>
  <si>
    <t xml:space="preserve">Minsol Michelle Kim, Nathan W. Whitmore, Phoebe Chua, Serena Pei, Malak Abdalla, and Pattie Maes. 2025. Exploring the Emotional Effects of Enhanced Interoception via Heartbeat-Synchronized Haptic Feedback. Proc. ACM Interact. Mob. Wearable Ubiquitous Technol. 9, 4, Article 183 (December 2025), 21 pages. https://doi.org/10.1145/3770663</t>
  </si>
  <si>
    <t>2025_Dec_184.pdf</t>
  </si>
  <si>
    <t xml:space="preserve">Daniel Koronthály, Adrian Heffelman, Hamza Magsi, Wil Zuber, Moushumi Sharmin, and Shameem Ahmed. 2025. The Co-Evolution of Language, Technology, and Culture in Autism Computing Research: Lessons Learned From ACM Digital Library. Proc. ACM Interact. Mob. Wearable Ubiquitous Technol. 9, 4, Article 184 (December 2025), 31 pages. https://doi.org/10.1145/3770638</t>
  </si>
  <si>
    <t>2025_Dec_185.pdf</t>
  </si>
  <si>
    <t xml:space="preserve">Sang Ho Yoon, DongKyu Kwak, Kyungjin Seo, and Rachel Kim. 2025. Moving-Press: Pressure-based Moving Phantom Sensation for Immersive VR Hand Interaction. Proc. ACM Interact. Mob. Wearable Ubiquitous Technol. 9, 4, Article 185 (December 2025), 24 pages. https://doi.org/10.1145/3770682</t>
  </si>
  <si>
    <t xml:space="preserve">Hardware Development;User Study</t>
  </si>
  <si>
    <t xml:space="preserve">Moving Press Prototype</t>
  </si>
  <si>
    <t xml:space="preserve">We identified the key perceptual features of pressure-based phantom sensation on the hand, including occurrence distance, perceived location, and perceived intensity. We proposed a novel rack-and-pinion-driven wearable haptic device that renders pressure movement. We implemented a pressure-based moving phantom sensation and validated the appropriate rendering method through a user study.</t>
  </si>
  <si>
    <t>2025_Dec_186.pdf</t>
  </si>
  <si>
    <t xml:space="preserve">Ha Le, Veronika Potter, Akshat Choube, Rithika Lakshminarayanan, Varun Mishra, and Stephen Intille. 2025. A Context-Assisted, Semi-Automated Activity Recall Interface Allowing Uncertainty. Proc. ACM Interact. Mob. Wearable Ubiquitous Technol. 9, 4, Article 186 (December 2025), 34 pages. https://doi.org/10.1145/3770710</t>
  </si>
  <si>
    <t xml:space="preserve">android phone, pixel watch 2</t>
  </si>
  <si>
    <t xml:space="preserve">We compared our activity annotation system with the current gold-standard methods for activity recall in health sciences research: 24PAR and its computerized version, ACT24. Our system reduced annotation time and perceived effort while significantly improving data validity and fidelity compared to both standard human-supervised and unsupervised activity recall approaches.</t>
  </si>
  <si>
    <t>2025_Dec_187.pdf</t>
  </si>
  <si>
    <t xml:space="preserve">Hansoo Lee, Taehyeon Park, Youngji Koh, Jae-Gil Lee, and Uichin Lee. 2025. Leveraging Smartphone Human Interaction Routine Behavior Task Mining and Modeling for Daily Stress Monitoring. Proc. ACM Interact. Mob. Wearable Ubiquitous Technol. 9, 4, Article 187 (December 2025), 45 pages. https://doi.org/10.1145/3770644</t>
  </si>
  <si>
    <t xml:space="preserve">Appendix Implementation, Prompt engineering</t>
  </si>
  <si>
    <t xml:space="preserve">We validated SHIRBT-MMF through one- and four-month in-the-wild datasets with 26 participants, demonstrating that the SHIRBT-based personalized model achieves an average accuracy of 75%, outperforming baseline models by 5% while using only 3–6% of app types. Additionally, SHIRBT features remain stable over time, reducing covariate shift and ensuring reliable performance. With its expandability to other mental health, interpretability, and privacy-conscious design, the SHIRBT-MMF framework lays the foundation for personalized digital mental health monitoring.</t>
  </si>
  <si>
    <t>2025_Dec_188.pdf</t>
  </si>
  <si>
    <t xml:space="preserve">Qingyang Li, Zexuan Li, Qianru Wang, Lei Han, Jiangtao Cui, and Zhiwen Yu. 2025. Hierarchical Human-UAV Cooperative Task Allocation for Spatiotemporal Crowdsensing in Disaster Response. Proc. ACM Interact. Mob. Wearable Ubiquitous Technol. 9, 4, Article 188 (December 2025), 33 pages. https://doi.org/10.1145/3770651</t>
  </si>
  <si>
    <t xml:space="preserve">It is said, that the source code for this paper will be open-sourced upon publication of the article. The Link to the github Repo cannot be found.</t>
  </si>
  <si>
    <t xml:space="preserve">Standard PC,Commercial drones, onboard computers, sensors, communication modules,Smartphones/tablets,server as network infrastructure</t>
  </si>
  <si>
    <t xml:space="preserve">simulation software (Python, Matlab),UAV control software</t>
  </si>
  <si>
    <t xml:space="preserve">• We are the first to model the human UAV cooperative task allocation for spatiotemporal crowdsensing considering special constraints in disaster response, including data freshness, the relationships between UAVs and humans, and the dynamic evolving environment. The hierarchical task allocation process is formulated as a multi-objective optimization problem, which is proven to be NP-hard (Section § 3.2). • Laziness dilemma detection and elimination mechanisms are proposed to ensure the efficient utilization of UAV resources and comprehensive perception of disaster environments (§ 4.2). Workers’ safety preferences and task execution priority preferences in the disaster response scenario are modeled as bilateral preferences between tasks and humans (Section § 4.3.1). • A dynamic task priority matching algorithm, named TKBF, is designed for human-UAV cooperative spatiotemporal disaster-aware task allocation. Tasks with changing requirements are assigned to the suitable available resources based on dynamic priorities, coverage requirements, and budget constraints, while accounting for the preferences and feedback of human participants (Section § 4.3).• We conduct extensive experiments based on real-world data and a simulated environment for realistic disaster scenarios. Compared with seven state-of-the-art task allocation methods, the effectiveness, robustness, and superiority of the proposed Hi-HUTA framework have been successfully demonstrated. The source code for this paper is available on Github(We will open-source the code upon publication of this article)</t>
  </si>
  <si>
    <t>2</t>
  </si>
  <si>
    <t>2025_Dec_189.pdf</t>
  </si>
  <si>
    <t xml:space="preserve">Tinghui Li, Danyang Peng, Eduardo Velloso, Anusha Withana, Kouta Minamizawa, and Zhanna Sarsenbayeva. 2025. Estimating the Effects of Ambient Noise on Mixed Reality Interaction. Proc. ACM Interact. Mob. Wearable Ubiquitous Technol. 9, 4, Article 189 (December 2025), 34 pages. https://doi.org/10.1145/3770715</t>
  </si>
  <si>
    <t xml:space="preserve">no source Code has been found.</t>
  </si>
  <si>
    <t xml:space="preserve">mixed reality Headset,computer or workstation</t>
  </si>
  <si>
    <t xml:space="preserve">Custom MR application,Unity,</t>
  </si>
  <si>
    <t xml:space="preserve"> • We build Bayesian regression models to quantify by how much ambient noise increase movement time and decrease throughput • We enhance the understanding of the effects of ambient noise on MR interaction and contribute towards accumulating knowledge in situational impairments research expanding it to MR • We highlight the importance of considering situational impairments in MR interaction and propose potential strategies and directions to mitigate the impacts of situational impairments</t>
  </si>
  <si>
    <t>2025_Dec_190.pdf</t>
  </si>
  <si>
    <t xml:space="preserve">Wenwei Li, Jiarun Zhou, Jie Xiong, Yuhui Xie, Leye Wang, Duo Zhang, and Daqing Zhang. 2025. Rethinking WiFi-based Angle Estimation for Robust Passive Indoor Localization. Proc. ACM Interact. Mob. Wearable Ubiquitous Technol. 9, 4, Article 190 (December 2025), 28 pages. https://doi.org/10.1145/3770662</t>
  </si>
  <si>
    <t xml:space="preserve">HTC VIVE Cosmos, multiple WIFI devices with 802.11ac standard.</t>
  </si>
  <si>
    <t xml:space="preserve">MATLAB 2023b</t>
  </si>
  <si>
    <t xml:space="preserve">We reveal two critical robustness issues hindering practical passive angle estimation using WiFi: (i) when the target moves at a low speed or in a direction nearly parallel to the tangent of the Fresnel ellipse, the estimation error increases significantly; and (ii) the AoA estimation error rises sharply with AoA values approaching ±90◦. For the first time, we uncover the underlying causes of these two issues.• We propose a signal-difference-based scheme to realize robust multipath resolving for passive angle estimation. We are the first to reveal the unique properties of signal difference for passive angle estimation. We adaptively adjust the differencing time interval to maximize the strength of the remaining signal, thereby enhancing angle estimation performance. • We propose an iterative phase adjustment scheme to effectively suppress the sharply increasing estimation error when AoA approaches ±90◦, enabling accurate AoA estimation across nearly the full AoA range. • We develop a real-time localization prototype by integrating our angle estimation method into existing systems. Extensive experiments demonstrate the robustness and superior performance of our method. Specifically, our method reduces the mean angle error from 7to 2 and extends the working range of passive WiFi AoA estimation from ±45◦ to ±85◦ . Our system can localize stationary targets exhibiting only subtle respiratory movements.</t>
  </si>
  <si>
    <t>2025_Dec_191.pdf</t>
  </si>
  <si>
    <t xml:space="preserve">Yunzhe Li, Jiajun Yan, Yuzhou Wei, Kechen Liu, Yize Zhao, Chong Zhang, Hongzi Zhu, Li Lu, Shan Chang, and Minyi Guo. 2025. BlinkBud: Detecting Hazards from Behind via Sampled Monocular 3D Detection on a Single Earbud. Proc. ACM Interact. Mob. Wearable Ubiquitous Technol. 9, 4, Article 191 (December 2025), 26 pages. https://doi.org/10.1145/3770707</t>
  </si>
  <si>
    <t xml:space="preserve">the self established  real-world vehicle approaching dataset is required.</t>
  </si>
  <si>
    <t xml:space="preserve">ESP32-S3 MCU,MPU6050 Inertial Measurement Unit,Low voltage OV2640 camera,3.7V battery and a 3D-printed shell,32-line RoboSense Helios LIDAR,OV6420  camera</t>
  </si>
  <si>
    <t xml:space="preserve">2D Object Detection Model "YOLOv5s",NCNN inference library,Extended Kalman Filter,Kuhn-Munkres algorithm,SARSA algorithm, OpenPCDet  from the respective repo (which is referenced),AB3DMOT benchmark system, RANSAC algorithm</t>
  </si>
  <si>
    <t xml:space="preserve">• We have devised a robust and lightweight 3D object detection scheme, which can obtain accurate 3D coordinates of objects from 2D images even when users are in different transportation modes and constantly move their heads; • We have proposed an effective 3D object tracking algorithm by integrating a Kalman filter based trajectory estimation scheme and an optimal image sampling strategy, which can minimize the power consumption of the system while guaranteeing the best tracking accuracy; • We have implemented a prototype system and validated the effectiveness and feasibility of the BlinkBud system based on extensive real-world experiments.</t>
  </si>
  <si>
    <t>2025_Dec_192.pdf</t>
  </si>
  <si>
    <t xml:space="preserve">Zhenghao Li, Taiting Lu, Runze Liu, Shengming Yuan, Jigar Gosalia, Christine Bowlus, David N. Proctor, James A. Pawelczyk, Yincheng Jin, and Mahanth Gowda. 2025. FuSenseRing: An Open-Source Platform for Robust Cuffless Blood Pressure Monitoring via Multimodal Sensor Fusion and Temperature-Adaptive Attention. Proc. ACM Interact. Mob. Wearable Ubiquitous Technol. 9, 4, Article 192 (December 2025), 34 pages. https://doi.org/10.1145/3770689</t>
  </si>
  <si>
    <t>https://github.com/FuSenseRing/FuSenseRing_Beta.</t>
  </si>
  <si>
    <t xml:space="preserve">Error 404 when clicking on the referenced link. However, the Link for the Authors project website is given, where one can find the Project Code with the working github Link.</t>
  </si>
  <si>
    <t xml:space="preserve">public datasets are used as well. proprietary dataset is not made publicly accessible.</t>
  </si>
  <si>
    <t xml:space="preserve">Microcontroller Unit (MCU): NRF52832.,different kinds of sensors,battery</t>
  </si>
  <si>
    <t xml:space="preserve">Fusense Companion App,diverse ML-models.</t>
  </si>
  <si>
    <t xml:space="preserve">• The introduction and open-source release of FuSenseRing, the first complete smart ring platform designed explicitly for robust ambulatory cardiovascular health monitoring research. It features fully integrated multimodal sensors (PPG, ECG, Temperature, Contact Force) and includes hardware designs (custom 2-layer FPCB), and firmware, enabling transparent validation, reproducibility, and community innovation in wearable cardiovascular health. • The design and validation of a novel multimodal deep learning framework featuring a Temperature-Adaptive Attention (TAA) mechanism. This TAA component leverages real-time finger temperature for dynamic feature recalibration (PPG/ECG fusion), demonstrably reduces BP estimation error caused by thermal variation, enabling the system to achieve validated FDA-recognized AAMI-compliant accuracy across a wide temperature range (17 ◦C to 40 ◦C) with highly data-efficient personalization (5-10 samples).• The identification and first mitigation (to our knowledge) of finger temperature-induced errors as a critical factor in wearable, cuffless BP monitoring using integrated temperature sensing and adaptive algorithms</t>
  </si>
  <si>
    <t>2025_Dec_193.pdf</t>
  </si>
  <si>
    <t xml:space="preserve">Zhuoming Li, Aitong Liu, Mengxi Jia, Yubo Lu, Tengxiang Zhang, Changzhi Sun, Dell Zhang, and Xuelong Li. 2025. Gestura: A LVLM-Powered System Bridging Motion and Semantics for Real-Time Free-Form Gesture Understanding. Proc. ACM Interact. Mob. Wearable Ubiquitous Technol. 9, 4, Article 193 (December 2025), 29 pages. https://doi.org/10.1145/3770709</t>
  </si>
  <si>
    <t xml:space="preserve">Algorithm Development;Dataset Paper;Software Development</t>
  </si>
  <si>
    <t>https://evans-lx.github.io/Gestura/.</t>
  </si>
  <si>
    <t xml:space="preserve">AI Glasses Prototype, diverse pc components to run ml-models</t>
  </si>
  <si>
    <t xml:space="preserve">Vicuna-7b v1.5,AdamW optimizer and a cosine learning rate schedule, GPT-4o</t>
  </si>
  <si>
    <t xml:space="preserve">Repo contains no instructions how to run the code or a general description of the framework. it does contain a demonstration video</t>
  </si>
  <si>
    <t xml:space="preserve">(1) A novel dataset for free-form gesture intent understanding: We present a pioneering dataset that redefines gesture data through a question-answering (QA) paradigm, specifically designed for free-form, user-defined gestures. Unlike traditional datasets constrained by fixed vocabularies, ours captures the diversity of real-world gestures by including rich annotations at three levels: action description, gesture meaning, and contextual intent. This enables robust benchmarking for intent reasoning under open-world conditions. (2) A LVLM-based inference architecture tailored for free-form gesture comprehension: We extend a LVLM to support fine-grained gesture reasoning by aligning motion patterns with latent semantics. Our architecture bridges low-level visual encoding and high-level intention inference, allowing it to generalize across unseen gestures. Crucially, our system achieves this while maintaining real-time performance (7.83 s per gesture), making it possible for deployment in wearable and edge-computing scenarios. (3) Semantic grounding through anatomical priors: To better differentiate between various hand gestures, we utilize Mediapipe as an auxiliary tool by integrating the gesture ground truth detected by Mediapipe with video data. This approach proves beneficial in distinguishing similar gestures, particularly those with visually similar features. In essence, our idea is to leverage the prior knowledge of a specialized gesture recognition model to enhance the understanding of gestures by our language model (LM). This fusion enables the LM to interpret gestures more accurately, facilitating the model to better distinguish fine-grained differences between different gestures.</t>
  </si>
  <si>
    <t>2025_Dec_194.pdf</t>
  </si>
  <si>
    <t xml:space="preserve">Xiaoxuan Liang, Zhaolong Wei, Shirui Cao, Quan Zhang, Longfei Shangguan, Dong Li, and Jeremy Gummeson. 2025. Acoustoscillogram: Unlocking Arterial Health Insights via Acoustic Sensing with Low-cost Wired Earphones. Proc. ACM Interact. Mob. Wearable Ubiquitous Technol. 9, 4, Article 194 (December 2025), 27 pages. https://doi.org/10.1145/3770690</t>
  </si>
  <si>
    <t xml:space="preserve">Algorithm Development;Hardware Development;Software Development;User Study</t>
  </si>
  <si>
    <t>Smartphones,headphones</t>
  </si>
  <si>
    <t xml:space="preserve">matlab, proprietary android app</t>
  </si>
  <si>
    <t xml:space="preserve">• To the best of our knowledge, this is the first study to investigate arterial health insights using acoustic sensing with affordable and widely accessible earphones. We believe this system represents a significant step toward enabling at-home arterial risk assessment in real-world settings. • We propose a series of hardware and software designs to ensure the system operates reliably and is easy to use. These include signal processing algorithms for skin displacement estimation, signal modulation and demodulation techniques for simultaneous sensing at two arterial sites, sensor designs featuring 3D-printed enclosures, and a mobile application that guides users through the measurement process.• We implement our prototype real-time system and test it on various devices, including 6 smartphones and 6 earphones. Our results demonstrate the feasibility of using widely available wired earphones for arterial health monitoring. Please find the demo of our arterial health monitoring system here. • We conducted extensive clinical experiments with 32 human subjects under IRB-approved protocols, including 26 healthy individuals and 6 patients with cardiovascular conditions. We compared our estimated PWV and AIx values against ground truth measurements obtained from clinical-grade devices. The results demonstrate high accuracy, with a mean absolute error of less than 0.5 m/s for PWV and less than 4% for AIx, meeting established medical standards‡</t>
  </si>
  <si>
    <t>2025_Dec_195.pdf</t>
  </si>
  <si>
    <t xml:space="preserve">Hongnan Lin, Zhenxuan He, Ziao Pan, Zihan Xu, Jia Shen, Hechuan Zhang, Tianren Luo, Meng Li, Teng Han, and Feng Tian. 2025. TactiFold: Electrotactile Aids for Visually Impaired Individuals in Origami. Proc. ACM Interact. Mob. Wearable Ubiquitous Technol. 9, 4, Article 195 (December 2025), 29 pages. https://doi.org/10.1145/3770650</t>
  </si>
  <si>
    <t xml:space="preserve">proprietary hardware: handmade Fingertip sleeve,Electrode Array,Keithley 2470 Source Meter.,36-channel Switch System: </t>
  </si>
  <si>
    <t xml:space="preserve">YOLO Framework, MediaPipe framework,YOLOv8m model</t>
  </si>
  <si>
    <t xml:space="preserve">The paper made the following contributions: i) the notion of electrotactile feedback as a viable and flexible way to aid origami for VIPs; ii) the design and implementation of TactiFold that properly addresses the simplicity and clarity of electrotactile symbols; iii) study evidence on perception capabilities of VIPs on the electrotactile renderings, and insights reflecting on the feasibility and the potential of electrotactile rendering in adaptations for accessibility.</t>
  </si>
  <si>
    <t>2025_Dec_196.pdf</t>
  </si>
  <si>
    <t xml:space="preserve">Fan Lin, Yiqi Liang, Qianjie Wei, Mingshuo Li, Chutian Jiang, and Mingming Fan. 2025. VR-Shuttlecock: Toward Enhancing Older Adults' Balance Through Kicking Shuttlecock in VR with Multi-Sensory Feedback. Proc. ACM Interact. Mob. Wearable Ubiquitous Technol. 9, 4, Article 196 (December 2025), 27 pages. https://doi.org/10.1145/3770691</t>
  </si>
  <si>
    <t xml:space="preserve">Computer which can run VR-Games, Vr-Headset and accessories</t>
  </si>
  <si>
    <t>Unity3D</t>
  </si>
  <si>
    <t xml:space="preserve">• The design of a VR exergame, VR-Shuttlecock, which aims to motivate older adults to adhere to balance training. The game offers an enjoyable, leg-focused activity of kicking shuttlecock in a safe environment. • We conducted a four-week controlled experiment to investigate the effectiveness of VR-Shuttlecock, as well as participants’ performance in the game and their perceptions of using it for long-term balance training. • We discussed the significance of VR-Shuttlecock and summarized the guidelines for designing VR exergames for balance training. These guidelines include aspects such as gamification design, multi-sensory feedback, progressive difficulty in training, and ensuring psychological safety.</t>
  </si>
  <si>
    <t>2025_Dec_197.pdf</t>
  </si>
  <si>
    <t xml:space="preserve">Fulong Liu, Jinbo Chen, Haoyu Wang, Hanqin Gong, Dongheng Zhang, Qibin Sun, Yang Hu, and Yan Chen. 2025. Finding Order in Chaos: Learning Disentangled Features for mmWave Cardiac Sensing. Proc. ACM Interact. Mob. Wearable Ubiquitous Technol. 9, 4, Article 197 (December 2025), 33 pages. https://doi.org/10.1145/3770685</t>
  </si>
  <si>
    <t xml:space="preserve">TI AWR6843AOP mmWave radar,clinical grade 12-lead ECG device </t>
  </si>
  <si>
    <t xml:space="preserve">ECGdeli for matlab,AdamW optimizer,MMD divergence</t>
  </si>
  <si>
    <t xml:space="preserve">• We propose a novel disentangled feature learning framework that decomposes complex mmWave cardiac signals into cardiac pattern, cardiac rhythm, and non-cardiac interference feature components, addressing a previously missing step in mmWave cardiac sensing and substantially improving the robustness and accuracy of cardiac feature extraction. • We design a variational latent modeling framework that embeds cardiac signal priors as inductive biases, enabling disentanglement through variational decomposition and inductive bias regularization without the need for explicit labels. • We validate our method in a large-scale clinical dataset comprising 7,090 outpatient visitors, demonstrating its effectiveness in disentangling complex mmWave signals. Extensive experiments show that our disentangling framework significantly outperforms existing approaches, achieving 27.96% and 28.42% average improvements in HRV tracking and arrhythmia detection tasks, respectively.</t>
  </si>
  <si>
    <t>2025_Dec_198.pdf</t>
  </si>
  <si>
    <t xml:space="preserve">Yang Liu, Qiang Yang, Kayla-Jade Butkow, Jake Stuchbury-Wass, Dong Ma, and Cecilia Mascolo. 2025. EarMeter: Continuous Respiration Volume Monitoring with Earables. Proc. ACM Interact. Mob. Wearable Ubiquitous Technol. 9, 4, Article 198 (December 2025), 29 pages. https://doi.org/10.1145/3770655</t>
  </si>
  <si>
    <t xml:space="preserve">Earbuds,SPU1410LR5H-QB microphones,Raspberry Pi 4,VO2Master Analyzer mask,</t>
  </si>
  <si>
    <t xml:space="preserve">PyTorch,CLAP (Contrastive Language-Audio Pretraining) Encoder,Support Vector Machine (SVM) classifier</t>
  </si>
  <si>
    <t xml:space="preserve">We introduce EarMeter, the first earable-based system for continuous respiration volume monitoring that utilizes in-ear audio across varying breathing intensities. Unlike existing works that are constrained to limited settings, EarMeter enables continuous respiration volume monitoring across a wide range of scenarios in daily life that was previously not possible. • We propose a novel deep learning approach to tackle four key challenges in EarMeter: limited labeled data, faint breathing sounds, interference from footstep noise, and generalization to unseen users. Our framework introduces (i) a knowledge transfer strategy that leverages representations learned from a small amount of high-quality audio collected under the nose, (ii) an exploitation of the coupling between cardiovascular and respiratory systems to improve respiration volume estimation, and (iii) an earphone channel alignment with normalization method to mitigate inter- and intra-user variability. • We develop an EarMeter prototype and conduct extensive benchmarks involving 22 subjects across varying breathing intensities. The results demonstrate that EarMeter can achieve a MAPE of 18.19%, which surpasses the clinical standard of a MAPE of 20% or less, even under motion and in daily living conditions. Deploying EarMeter on a mobile phone also demonstrates real-time performance with low energy consumption.</t>
  </si>
  <si>
    <t>2025_Dec_199.pdf</t>
  </si>
  <si>
    <t xml:space="preserve">Conor McCarthy, Loes Quirijnen, Jan Peter van Zandwijk, Zeno Geradts, and Marcel Worring. 2025. Hi-OSCAR: Hierarchical Open-set Classifier for Human Activity Recognition. Proc. ACM Interact. Mob. Wearable Ubiquitous Technol. 9, 4, Article 199 (December 2025), 27 pages. https://doi.org/10.1145/3770681</t>
  </si>
  <si>
    <t xml:space="preserve">Algorithm Development;Dataset Paper</t>
  </si>
  <si>
    <t>https://github.com/Con-or-McCarthy/Hi_OSCAR</t>
  </si>
  <si>
    <t>https://github.com/Con-or-McCarthy/Hi_OSCAR.</t>
  </si>
  <si>
    <t xml:space="preserve">2 x Inertial Measurement Unit (IMU) devices,GPU (e.g. NVIDIA RTX 4500 Ada Generation GPU)</t>
  </si>
  <si>
    <t xml:space="preserve">Pytorch, Adam Optimizer, Deep Learning Libraries, Proprietary scripts for pre-processing the raw signal data.</t>
  </si>
  <si>
    <t xml:space="preserve">Instructions include how to download the desired dataset and how to use the Code.</t>
  </si>
  <si>
    <t xml:space="preserve">(1) An open-set activity classifier with both high in-distribution and out-of-distribution accuracy, reflecting the practical requirements of HAR. (2) A hierarchical model architecture which both improves performance, and provides insight to out of distribution samples.(3) NFI_FARED, a purpose-built HAR dataset containing body-worn sensor data for a diverse range of activities from many participants.</t>
  </si>
  <si>
    <t>2025_Dec_200.pdf</t>
  </si>
  <si>
    <t xml:space="preserve">Xuanqi Meng, Weiping Ge, Yichen Tian, Xinyu Tong, Xiulong Liu, Xin Xie, and Wenyu Qu. 2025. MetaTrack: Enabling Wi-Fi Device Free Tracking in Complex Scenarios. Proc. ACM Interact. Mob. Wearable Ubiquitous Technol. 9, 4, Article 200 (December 2025), 26 pages. https://doi.org/10.1145/3770686</t>
  </si>
  <si>
    <t xml:space="preserve">data is only required for the evaluation phase.</t>
  </si>
  <si>
    <t xml:space="preserve">Intel 5300 NICs Network Cards</t>
  </si>
  <si>
    <t xml:space="preserve">CSI Tool</t>
  </si>
  <si>
    <t xml:space="preserve">(1) For the first time, we propose a novel method for determining signal distribution within complex indoor scenarios called Tracking Heat Zone (THZ). THZ addresses an unexplored concern by characterizing the distribution of wireless signals in complex scenes with full-area coverage. This approach goes beyond traditional sensing regions (e.g., the Fresnel zone) and greatly broadens the applicability to different scenarios, while enriching the theory of wireless sensing. By comprehensively analyzing the reflection and refraction of signals propagating in space, MetaTrack achieves a significant extension of the sensing coverage in complex scenarios (2) We propose a standardized pipeline for solving the limition of high computational complexity and resource consumption of classical model-based sensing models in complex scenes. By constructing a lightweight workflow, MetaTrack overcomes the computational redundancy of traditional methods due to traversing all moving directions. MetaTrack provides a systematic solution for the rapid deployment of sensing models for complex environment, and promotes the practical application of lightweight sensing technology. (3) We have implemented MetaTrack using commercial off-the-shelf (COTS) Wi-Fi devices and conducted extensive experiments to evaluate its performance. The results of our experiments demonstrate that MetaTrack achieves a median error of 0.48m and 0.52m in LoS scenarios and complex scenarios, respectively.</t>
  </si>
  <si>
    <t>2025_Dec_201.pdf</t>
  </si>
  <si>
    <t xml:space="preserve">Shahrzad Mirzaei, Mariam Bebawy, Amr Mohamed Sharafeldin, and Mohamed Hefeeda. 2025. MobiLyzer: Fine-grained Mobile Liquid Analyzer. Proc. ACM Interact. Mob. Wearable Ubiquitous Technol. 9, 4, Article 201 (December 2025), 37 pages. https://doi.org/10.1145/3770678</t>
  </si>
  <si>
    <t>https://github.com/chercode/mobilyzer-imwut25</t>
  </si>
  <si>
    <t xml:space="preserve">multiple Smartphones, which meet several criteria regarding their Camera. Examples would be: Google Pixel 4XL, Doogee S96 Pro, Ulefone Armor 22, and OnePlus 8 Pro . Hyperspectral Camera Specim IQ</t>
  </si>
  <si>
    <t xml:space="preserve">Kotlin,ONNX Runtime,PyTorch,Optuna-Framework,Adam Optimizer</t>
  </si>
  <si>
    <t xml:space="preserve">Instruction include how to download all requirements, install them and how to run the Code.</t>
  </si>
  <si>
    <t xml:space="preserve">• We conduct an analysis using a hyperspectral camera to demonstrate the feasibility of identifying liquids using signals in the VNIR range (400–1000 nm), the same range available on phone cameras, in §3.1. • We propose utilizing intrinsic decomposition to separate the true color of the liquid (diffuse albedo) from distortions caused by ambient illumination and reflections from the container, which leads to more accurate and consistent spectral analysis. This is presented in §4.2. • We design a truthful spectral reconstruction (TSR) machine learning model, which takes RGB and NIR images captured by regular smartphones and reconstructs multiple wavelength bands across the entire VNIR range. In addition to achieving high reconstruction accuracy, TSR ensures color truthfulness—that is, the reconstructed spectra can accurately reproduce the original RGB and NIR images. This property preserves fine spectral cues essential for analyzing liquids. TSR is presented in §4.3. • We analyze the essential aspects of smartphone heterogeneity and their impact on liquid analysis, and we present practical methods to handle such diversity, enabling the deployment of the proposed system across different phones. This is presented in §4.4.• We implement a mobile application as a proof-of-concept on the Android platform, and we conduct an extensive study to analyze various aspects of different liquids, including detecting adulteration and grading of olive oil, determining fat and lactose percentages of milk, detecting adulteration of liquid medicine (Tylenol) and honey, and assessing protein content in urine for early detection of kidney diseases. Our results demonstrate the accuracy of MobiLyzer and its robustness to practical conditions. They also show that MobiLyzer outperforms recent works in the literature without requiring extra hardware or imposing unrealistic assumptions. Our evaluation is presented in §5.</t>
  </si>
  <si>
    <t>2025_Dec_202.pdf</t>
  </si>
  <si>
    <t xml:space="preserve">Dylan Edward Moore, Songyun Tao, Sophia R.R. Moore, Brian Morgan, Dio Tadin, Christina Sapp Tadin, and Elizabeth L. Murnane. 2025. CareInsights: AI-enabled Infrastructure for Person-centered Dementia Care in Resource-constrained Facilities. Proc. ACM Interact. Mob. Wearable Ubiquitous Technol. 9, 4, Article 202 (December 2025), 42 pages. https://doi.org/10.1145/3770687</t>
  </si>
  <si>
    <t xml:space="preserve">Tablets,Network and Server Infrastructure,Electronic Health Record (EHR) systems such as PointClickCare,</t>
  </si>
  <si>
    <t xml:space="preserve">GPT-4o model,Whisper(for Audio Transcription),DeepFace(emotion recognition),XGBoost,Retrieval-Augmented Generation,Memcara/CareSuite</t>
  </si>
  <si>
    <t xml:space="preserve">• We first present a fieldwork-driven qualitative analysis based on observations and semi-structured inter- views across seven long-term care facilities. This analysis identifies when and how relational knowledge  breaks down within existing care workflows, revealing key opportunities for infrastructural support. • We then introduce CareInsights, an AI-enabled documentation system designed and iteratively refined through close collaboration with caregivers. Integrated into facilities’ existing EHR platforms and embedded within Memcara’s tablet-based memory therapy application, CareInsights captures short, session-bounded recordings and event metadata. Machine-learning models detect salient behavioral and affective moments, transforming them into concise, time-stamped narrative snippets stored on facility servers. These narratives  feed an embedded chat agent that uses retrieval-augmented generation to provide real-time, context- aware support. Caregivers can ask about a resident’s life history, recent clinical developments, or stimuli  that evoke positive or negative reactions in order to receive concise, traceable responses synthesized from passively captured session data and relevant health records. This person-centered approach to documentation preserves relational context while reducing staff burden and avoiding privacy-invasive continuous monitoring. • Finally, we examine the infrastructural and ethical implications of embedding computational systems within high-stakes care contexts, arguing that narrative documentation provides a pathway for AI to enhance human caregiving relationships.</t>
  </si>
  <si>
    <t>2025_Dec_203.pdf</t>
  </si>
  <si>
    <t xml:space="preserve">Prasoon Patidar, Riku Arakawa, Ricardo Graça, Rúben Moutinho, Adriano Soares, Ana Vasconcelos, Filippo Talami, Joana Couto da Silva, Inês Silva, Cristina Mendes Santos, Mayank Goel, and Yuvraj Agarwal. 2025. OrganicHAR: Towards Activity Discovery in Organic Settings for Privacy Preserving Sensors Using Efficient Video Analysis. Proc. ACM Interact. Mob. Wearable Ubiquitous Technol. 9, 4, Article 203 (December 2025), 32 pages. https://doi.org/10.1145/3770674</t>
  </si>
  <si>
    <t xml:space="preserve">Software Development;Dataset Paper</t>
  </si>
  <si>
    <t>https://github.com/synergylabs/OrganicHAR?tab=readme-ov-file</t>
  </si>
  <si>
    <t xml:space="preserve">dataset was not found inside the referenced Repo</t>
  </si>
  <si>
    <t xml:space="preserve">various sensors </t>
  </si>
  <si>
    <t xml:space="preserve">Numpy, Pandas, OpenCV modules for Python,HDBSCAN (Hierarchical Density-Based Spatial Clustering of Applications with Noise),GPT-4o API,SAMoSA model</t>
  </si>
  <si>
    <t xml:space="preserve">The Instructions include a general description of the Repo's Structure, how to setup an enviroment, and finally, how to run the code and reproduce the paper's results.</t>
  </si>
  <si>
    <t xml:space="preserve">• OrganicHAR, a framework that reorients HAR by discovering activities from sensor patterns rather than predefined categories, minimizing privacy concerns while enabling practical deployment in real homes without continuous video monitoring. The source code is publicly available. • Evaluation of OrganicHAR, which demonstrated that it achieves 70%-88% accuracy for different hardware configurations while automatically discovering up to 4-8 activities per user (15 unique across 12 users) without manual annotation. Our real-world deployment in 5 homes further validates the practical effectiveness of OrganicHAR, showing 74.2% accuracy across natural daily routines. • Multimodal dataset comprising controlled evaluation data from 12 participants performing breakfast preparation tasks across three distinct kitchen environments and real-world deployment data from 5 homes over 7 days each (11 hours), captured through six sensor modalities [59]. We hope this dataset enables further research in the space of HAR in unconstrained settings.</t>
  </si>
  <si>
    <t>2025_Dec_204.pdf</t>
  </si>
  <si>
    <t xml:space="preserve">Veronika Potter, Hoan Tran, Daniel Mobley, Suzanne M. Bertisch, Dinesh John, and Stephen Intille. 2025. The Physical Activity Assessment Using Wearable Sensors (PAAWS) Dataset: Labeled Laboratory and Free-Living Accelerometer Data. Proc. ACM Interact. Mob. Wearable Ubiquitous Technol. 9, 4, Article 204 (December 2025), 32 pages. https://doi.org/10.1145/3770639</t>
  </si>
  <si>
    <t>https://github.com/mHealth-Research-Group/paaws-benchmarking</t>
  </si>
  <si>
    <t>https://repository.library.northeastern.edu/collections/neu:cn69m462g</t>
  </si>
  <si>
    <t xml:space="preserve">sklearn v1.0.2 Random ForestClassifier</t>
  </si>
  <si>
    <t xml:space="preserve">Instructions include a general description of the Repo, Information about where to find more Data or description for them, and how to replicate the Author's results.</t>
  </si>
  <si>
    <t xml:space="preserve">• Provide details on the initial release of the physical activity assessment using wearable sensors dataset (PAAWS R1), an annotated, multimodal-and-sensor-site dataset, that includes SimFL+Lab data from 252 participants (657 h of labeled sensor data) and free-living, daily life activities from 20 adults captured during a week-long FL protocol (∼140 d of FL activity (1,563 h of labeled sensor data) with 29 nights that contain labeled sleep stages and PSG data collected from 15 of the 20 participants). • Describe the methodology we used to collect, annotate, and quality check PAAWS dataset. • Present dataset statistics (i.e., number and type of activities and amount of labeled data in the release) and benchmark, using two HAR algorithms, the PAAWS R1 dataset to motivate future work on more robust, generalizable HAR models to improve health interventions and monitoring.</t>
  </si>
  <si>
    <t>2025_Dec_205.pdf</t>
  </si>
  <si>
    <t xml:space="preserve">Masfiqur Rahaman, Maoyejatun Hasana, Shahad Shahriar Rahman, MD Sajid Mostafiz Noor, Razin Reaz Abedin, Md Toki Tahmid, Duncan Watson Parris, Tanzeem Choudhury, A. B. M. Alim Al Islam, and Tauhidur Rahman. 2025. Forecasting Occupational Survivability of Rickshaw Pullers in a Changing Climate with Wearable Data. Proc. ACM Interact. Mob. Wearable Ubiquitous Technol. 9, 4, Article 205 (December 2025), 25 pages. https://doi.org/10.1145/3770712</t>
  </si>
  <si>
    <t xml:space="preserve">Dataset Paper;Software Development;User Study</t>
  </si>
  <si>
    <t xml:space="preserve">Wearables,Smartphone, various Sensors</t>
  </si>
  <si>
    <t xml:space="preserve">Google Speech-to-Text API</t>
  </si>
  <si>
    <t xml:space="preserve">In this study, we prepare a heat exposure dataset (n=100) for rickshaw pullers. Then, we build a climate forecast- based regression model. The model can predict how physiological biomarkers (e.g., skin temperature, skin  conductance response, skin conductance level, and relative cardiac cost) may look in the future under different climate scenarios. Using the model, we analyze the biomarkers in present and future climate scenarios. To validate our findings, we conducted interviews with 12 rickshaw pullers, asking about their perception and experience of climate change in their workplace. Through this mixed-method study, we offer an exploration of the rickshaw pulling experience, both in the present and under potential future climate scenarios.</t>
  </si>
  <si>
    <t>2025_Dec_206.pdf</t>
  </si>
  <si>
    <t xml:space="preserve">Nilesh Kumar Sahu, Snehil Gupta, and Haroon R. Lone. 2025. MAD: A Multimodal Physiological and Self-Reported Dataset for Anxiety Research from a Low-to-Middle-Income Country. Proc. ACM Interact. Mob. Wearable Ubiquitous Technol. 9, 4, Article 206 (December 2025), 34 pages. https://doi.org/10.1145/3770632</t>
  </si>
  <si>
    <t>https://huggingface.co/datasets/SIR-Lab/MAD-Multimodal_Physiological_and_Self-Reported_Dataset_for_Anxiety_Research</t>
  </si>
  <si>
    <t xml:space="preserve">Random Forest model,NeuroKit2 for python</t>
  </si>
  <si>
    <t xml:space="preserve">On the referenced website for the dataset a rather detailled explanation of the files can be found.</t>
  </si>
  <si>
    <t xml:space="preserve">(1) Novel Study Design: We designed a study where participants engaged in three anxiety-inducing ac- tivities—speech, group discussion, and interview—across three phases: anticipation, performance, and  reflection. This unique design enables a more comprehensive understanding of how participants’ per- ceptions evolve throughout an activity. Additionally, by associating self-reported data with physiological  responses, we provide insights into how physiological signals vary across different phases of anxiety. (2) New Dataset Collection: We present MAD1 dataset collected in a university setting, including raw physiological signals recorded using the Shimmer ECG kit2  and the Shimmer PPG/EDA kit3  , along with self-reported behavioral responses across different phases. Unlike existing datasets (WESAD, APD), this dataset includes data from three distinct anxiety-inducing activities and represents a geographic region previously underrepresented in publicly available datasets. The dataset’s richness and diversity make it a valuable resource for mental health research, particularly for studying the relationships between physiological markers and anxiety responses.</t>
  </si>
  <si>
    <t>2025_Dec_207.pdf</t>
  </si>
  <si>
    <t xml:space="preserve">Soroush Shahi, Farzad Shahabi, Rama Naboulsi, Glenn Fernandes, Aggelos K Katsaggelos, and Nabil Alshurafa. 2025. THOR: Thermal-Guided Hand-Object Reasoning via Adaptive Vision Sampling. Proc. ACM Interact. Mob. Wearable Ubiquitous Technol. 9, 4, Article 207 (December 2025), 25 pages. https://doi.org/10.1145/3770695</t>
  </si>
  <si>
    <t xml:space="preserve">Both, a self established, and a public dataset are used in this study. the public dataset is referenced via the name of the study, where it was established. "Kristen Grauman, Andrew Westbury, Eugene Byrne, Zachary Chavis, Antonino Furnari, Rohit Girdhar, Jackson Hamburger, Hao Jiang, Miao Liu, Xingyu Liu, et al. 2022. Ego4d: Around the world in 3,000 hours of egocentric video. In Proceedings of the IEEE/CVF Conference on Computer Vision and Pattern Recognition. 18995–19012." The proprietary dataset is not referenced.</t>
  </si>
  <si>
    <t xml:space="preserve">Raspberry Pi Zero,OV5647 RGB camera,MLX90614 thermal sensor,model training hardware(GeForce RTX 2080 )</t>
  </si>
  <si>
    <t xml:space="preserve">Qwen-2 VL,MobileNetV2,ImageNet,Qwen2-VL-72B-Instruct,</t>
  </si>
  <si>
    <t xml:space="preserve">• THOR I: A spatio-temporal adaptive RGB sampling method based on thermal sensing that reduces RGB sensor usage by 97% while maintaining utility (i.e., high accuracy) for coarse- and fine-grained hand-related activity recognition, and extends battery life by up to 44% compared to prior work and baselines. • THOR II: A real-time end-to-end hand-related activity detection method from a single patch using a retrained (using both real and synthetic data), fine-tuned VLM yielding 95% F1-score with 4.51× faster inference latency compared to baseline. • An evaluation of the proposed method in an in-wild study with 14 participants and the largest publicly available egocentric dataset, with comparisons to state-of-the-art methods.</t>
  </si>
  <si>
    <t>2025_Dec_208.pdf</t>
  </si>
  <si>
    <t xml:space="preserve">Biyun Sheng, Shuqi Sun, Hui Cai, Chen Dai, and Fu Xiao. 2025. From Coarse to Fine: Fast and Effortless Facial Landmark Detection via mmWave Signals. Proc. ACM Interact. Mob. Wearable Ubiquitous Technol. 9, 4, Article 208 (December 2025), 25 pages. https://doi.org/10.1145/3770656</t>
  </si>
  <si>
    <t xml:space="preserve">mm Wave Radar TI IWR1843 BOOST,Data acquisition board TI DCA 1000EVM,Logitech C920E,model training hardware (Intel Xeon CPU and an NVIDIA GeForce RTX 4090 GPU)</t>
  </si>
  <si>
    <t xml:space="preserve">mmWave Studio, unknown python scripts,Training Parameters,</t>
  </si>
  <si>
    <t xml:space="preserve">• Based on the decoupling analysis for facial motions, CF-FLD constructs a coarse-to-fine two-stage pipeline, to separately capture coarse-grained transformations caused by large-scale rigid motions and fine-grained deformations induced by subtle non-rigid shifts. • Instead of dense points for each facial part, CAT defines sparse and representative triangles to describe the relative location relationships within and across various facial components. In this way, we can capture facial motion-related rigid changes in addition to head poses with less computation cost. • Rather than area detection or search, FOT proposes a multi-level facial region partition strategy that incrementally refines facial features embedded with region-specific and inter-region information, and hierarchically correct offset shifts, enabling accurate association between subtle muscle deformations and landmark positions. • A series of experiments on the dataset with 20 participants are conducted to demonstrate the effectiveness of CF-FLD in achieving state-of-the-art performances on both accuracy and efficiency.</t>
  </si>
  <si>
    <t>2025_Dec_209.pdf</t>
  </si>
  <si>
    <t xml:space="preserve">Smitha Sheshadri and Kotaro Hara. 2025. Enhancing Smartphone-based Inertial Indoor Tracking with Conversational User Input. Proc. ACM Interact. Mob. Wearable Ubiquitous Technol. 9, 4, Article 209 (December 2025), 37 pages. https://doi.org/10.1145/3770643</t>
  </si>
  <si>
    <t xml:space="preserve">Smartphone(s),Earphones,server infrastructure,</t>
  </si>
  <si>
    <t xml:space="preserve">proprietary Ios application,expo-sensors library,OpenAI Whisper, android's SpeechRecognizer API,RTAB-Map software</t>
  </si>
  <si>
    <t xml:space="preserve">(1) A novel, infrastructure-independent approach to smartphone-based inertial tracking that integrates inertial data with strategically elicited conversational user inputs to enhance accuracy. This work also demonstrates how continuous IMU data can be effectively combined with asynchronous conversational input to support real-time tracking. (2) An in-depth evaluation examining reductions in RMSE and maximum tracking error while analyzing the impact of user interaction parameters, including response rate, delay, and quality, as well as the effects of different smartphone carrying conditions (pocket, backpack, and handheld). Additionally, we evaluated usability through walking cadence analysis and perceived workload. (3) An evaluation in two public indoor settings—a shopping mall and a museum—with eight participants performing realistic tasks. This study demonstrates system performance in indoor environments beyond controlled settings and for practical use cases.</t>
  </si>
  <si>
    <t>2025_Dec_210.pdf</t>
  </si>
  <si>
    <t xml:space="preserve">Zefan Sramek, Sachinthya Lokuge, Tia Sternat, Martin A. Katzman, and Koji Yatani. 2025. Beyond the Feature Level: A Cluster Analysis of Feature-Level Social Media Behaviour Patterns, Maladaptive Use, and Psychological Well-Being. Proc. ACM Interact. Mob. Wearable Ubiquitous Technol. 9, 4, Article 210 (December 2025), 42 pages. https://doi.org/10.1145/3770713</t>
  </si>
  <si>
    <t xml:space="preserve">• A field study recording participants’ (n = 108) psychological profiles as well as tracking their Instagram usage at the feature level over a two-week period, • A cluster analysis revealing the existence of previously unidentified latent user clusters, • A discussion of feature-level use patterns, cluster profiles, and implications for future work on interventions for supporting mental health and well-being.</t>
  </si>
  <si>
    <t>2025_Dec_211.pdf</t>
  </si>
  <si>
    <t xml:space="preserve">Jie Su, Fengtong Ge, Zhenyu Wen, Taotao Li, Yang Bai, Yejian Zhou, and Xiaoqin Zhang. 2025. IMUZero: Zero-Shot Human Activity Recognition by Language-Based Cross Modality Fusion. Proc. ACM Interact. Mob. Wearable Ubiquitous Technol. 9, 4, Article 211 (December 2025), 28 pages. https://doi.org/10.1145/3770669</t>
  </si>
  <si>
    <t>https://github.com/Was-Lab/IMUZero</t>
  </si>
  <si>
    <t xml:space="preserve">four public datasets have been used.PAMAP2 , DSADS , MHEALTH  and GOTOV</t>
  </si>
  <si>
    <t xml:space="preserve">various inertial sensors, wearables,</t>
  </si>
  <si>
    <t xml:space="preserve">PyTorch,Adam Optimizer,IMUZero-Framework,GPT4o,</t>
  </si>
  <si>
    <t xml:space="preserve">• We present IMUZero , an end-to-end zero-shot HAR framework that flexibly recognizes unseen and novel classes by bridging the activity signals with the fine-grained activity attributes generated by LLM.  • We present a novel cross-modality multi-stage fusion mechanism to integrate multi-level frequency infor- mation, enabling fine-grained semantic alignment between signal and text representations.  • We investigate the ’axis bias’ generated by the experimental wearing discrepancy and design a novel channel shuffle order constraint to extract axis-invariant features to improve the recognition generalization ability. • Extensive experiments were conducted, and we studied our IMUZero framework in detail. The promising results suggested its effectiveness.</t>
  </si>
  <si>
    <t>2025_Dec_212.pdf</t>
  </si>
  <si>
    <t xml:space="preserve">Renrui Tan, Tu Hong, Yichen Tian, Xinyu Tong, Sheng Chen, Xiulong Liu, Xin Xie, and Wenyu Qu. 2025. WiMap: Autonomous Wi-Fi Mapping for Device-free Tracking in Smart Homes. Proc. ACM Interact. Mob. Wearable Ubiquitous Technol. 9, 4, Article 212 (December 2025), 23 pages. https://doi.org/10.1145/3770700</t>
  </si>
  <si>
    <t xml:space="preserve">One could try to reproduce the V2A method and the Fusion method. </t>
  </si>
  <si>
    <t xml:space="preserve">SLAM-robot,COTS Wi-Fi-devices,</t>
  </si>
  <si>
    <t xml:space="preserve">Robot Operating System (ROS),Linux 802.11n CSI Tool,Python,Matlab,</t>
  </si>
  <si>
    <t xml:space="preserve">• We explore a novel feature metric and for the first time, convert the Doppler velocity into the angle, eliminating the impact of cumulative deviation on location estimation.• We devise a multi-trajectory fusion method to overcome the impact of uncertainties in complex environments. The proposed method proves to be effective for Wi-Fi mapping.• We implement the WiMap with the robot and commercial off-the-shelf (COTS) Wi-Fi devices. The experi- mental results demonstrate that the median localization error of WiMap is less than 0.10m.</t>
  </si>
  <si>
    <t>2025_Dec_213.pdf</t>
  </si>
  <si>
    <r>
      <rPr>
        <sz val="11"/>
      </rPr>
      <t xml:space="preserve">Brian Jay Tang, Kaiwen Sun, Noah T. Curran, Florian Schaub, and Kang G. Shin. 2025. Ads that Talk Back: Implications and Perceptions of Injecting Personalized Advertising into LLM Chatbots. Proc. ACM Interact. Mob. Wearable Ubiquitous Technol. 9, 4, Article 213 (December 2025), 47 pages. </t>
    </r>
    <r>
      <rPr>
        <u val="single"/>
        <sz val="11"/>
        <color rgb="FF1155CC"/>
      </rPr>
      <t>https://doi.org/10.1145/3770640</t>
    </r>
  </si>
  <si>
    <t>https://github.com/byron123t/chatbot-ads</t>
  </si>
  <si>
    <r>
      <rPr/>
      <t xml:space="preserve">additionally to the source code of the developed framework, a live demonstration for the system in action is referenced: </t>
    </r>
    <r>
      <rPr>
        <u val="single"/>
        <color rgb="FF1155CC"/>
      </rPr>
      <t>https://chatbotumich.com/de</t>
    </r>
  </si>
  <si>
    <t xml:space="preserve">8-bit Adam optimizer a learning rate of 5e⁻⁵ and 3 epochs,Python,Flask,Nodejs,chatbot-ui,GPT-4o and GPT-3.5,Phi-4-Ads,Google's Topics API</t>
  </si>
  <si>
    <t xml:space="preserve">The Repo contains a very brief explanation what the Repo includes, and also how to install the requirements and run the Code</t>
  </si>
  <si>
    <t xml:space="preserve">In this paper, we explored the effects and potential harms resulting from integrating personalized advertising into LLM chatbots. We built a realistic and fully-functional system for injecting advertising content into chatbot responses. We found that LLM chatbots can be a risky but tempting avenue for advertising. Chatbot platforms that intend to integrate advertising should account for these harms and perform additional evaluations. Not just prompt engineering or basic prompt injections, but thorough testing on the unintended downstream consequences or manipulation that could stem from LLM advertising.</t>
  </si>
  <si>
    <t>2025_Dec_214.pdf</t>
  </si>
  <si>
    <r>
      <rPr>
        <sz val="11"/>
      </rPr>
      <t xml:space="preserve">Yujie Tao, Jingjin Li, Libby Ye, Andrew Zhang, Jeremy N. Bailenson, and Sean Follmer. 2025. Audio Augmentation of Manual Interactions to Support Mindfulness. Proc. ACM Interact. Mob. Wearable Ubiquitous Technol. 9, 4, Article 214 (December 2025), 27 pages. </t>
    </r>
    <r>
      <rPr>
        <u val="single"/>
        <sz val="11"/>
        <color rgb="FF1155CC"/>
      </rPr>
      <t>https://doi.org/10.1145/3770706</t>
    </r>
  </si>
  <si>
    <t xml:space="preserve">Sonic Presence SP 15C microphones,nwm NTT Sonority Wired On-Ear Speakers</t>
  </si>
  <si>
    <t xml:space="preserve">JUCE Framework,NLTK VADER sentiment analyzer:,</t>
  </si>
  <si>
    <t xml:space="preserve">In this work, we introduce a wearable device that supports everyday mindfulness through a sensory-driven approach. By augmenting sounds around the user’s hands and playing them back to the user in real time, the device offers a fresh perspective on everyday, mundane interactions. In the in-lab study with 60 participants, we demonstrated the effectiveness of our device in increasing the self-reported state mindfulness during an object exploration task. Audio augmentation drew attention to auditory properties of objects that would otherwise be overlooked. Moreover, participants experiencing audio augmentation explored objects for a longer duration and exhibited more trial-and-error patterns compared to those without. Audio augmentation of manual interactions has the potential to open up new possibilities for supporting mindfulness woven into everyday activities.</t>
  </si>
  <si>
    <t>2025_Dec_215.pdf</t>
  </si>
  <si>
    <t xml:space="preserve">Lev Velykoivanenko, Kavous Salehzadeh Niksirat, Amro Abdrabo, and Kévin Huguenin. 2025. Evaluating the Potential of Data-Driven Surveys for Fitness-Tracking Research. Proc. ACM Interact. Mob. Wearable Ubiquitous Technol. 9, 4, Article 215 (December 2025), 40 pages. https://doi.org/10.1145/3770665</t>
  </si>
  <si>
    <t>https://osf.io/k25tn/</t>
  </si>
  <si>
    <t xml:space="preserve">Fitbit Smartwatch/Activity Tracker</t>
  </si>
  <si>
    <t xml:space="preserve">DDS:https://github.com/DataDrivenSurveys/DataDrivenSurveys, Fitbit Platform,Qualtrics</t>
  </si>
  <si>
    <t xml:space="preserve">• First, we provide the first empirical evaluation of participants’ willingness to share their Fitbit data when participating in data-driven surveys, along with their perceptions of usability, utility, and privacy.  • Second, we analyze, in the context of a data-driven survey, the discrepancies between participants’ self- reported data and the data collected from their Fitbit account.  • Third, we provide practical recommendations for researchers conducting fitness-tracking studies using data-driven surveys—covering participant recruitment, survey design, communication with participants, and budgeting.</t>
  </si>
  <si>
    <t>2025_Dec_216.pdf</t>
  </si>
  <si>
    <t xml:space="preserve">Anandghan Waghmare, Sanjay Varghese, Zhihan Zhang, Ishan Chatterjee, Ritesh Tekriwal, and Shwetak Patel. 2025. Z-Band: On-world Interactions Using Wrist-based Electrical Impedance Sensing. Proc. ACM Interact. Mob. Wearable Ubiquitous Technol. 9, 4, Article 216 (December 2025), 45 pages. https://doi.org/10.1145/3770637</t>
  </si>
  <si>
    <t xml:space="preserve">Algorithm Development;Hardware Development;User Study</t>
  </si>
  <si>
    <t xml:space="preserve">No code repository or implementation link is provided.</t>
  </si>
  <si>
    <t xml:space="preserve">Data was used to train and evaluate the machine learning models, but the dataset is not publicly released.</t>
  </si>
  <si>
    <t xml:space="preserve">Requires Z-Band wrist-worn prototypes built from a LiteVNA vector network analyzer, Raspberry Pi Zero, IMU, nRF52840 microcontroller, analog front-end circuitry, electrodes, and weighing scale setups.</t>
  </si>
  <si>
    <t xml:space="preserve">Uses CST Studio Suite with CST Bio Models Library for EM simulations and a Python-based analysis program with machine learning models.</t>
  </si>
  <si>
    <t xml:space="preserve">No explicit clone/install/run or execution instructions are provided.</t>
  </si>
  <si>
    <t xml:space="preserve">This approach offers a seamless, natural way to interact with wearables and receive haptic feedback through touch gestures on any surface, making possible a new generation of interactive experiences.</t>
  </si>
  <si>
    <t>3</t>
  </si>
  <si>
    <t>2025_Dec_217.pdf</t>
  </si>
  <si>
    <t xml:space="preserve">Junzhe Wang, Wenwei Li, Jiarun Zhou, Jie Xiong, Xuanzhi Wang, Qiwei Wang, Zhiyun Yao, Xusheng Zhang, Duo Zhang, and Daqing Zhang. 2025. FreeBFI: Enabling Fine-grained BFI Sensing with an Arbitrary Number of Antennas. Proc. ACM Interact. Mob. Wearable Ubiquitous Technol. 9, 4, Article 217 (December 2025), 32 pages. https://doi.org/10.1145/3770670</t>
  </si>
  <si>
    <t xml:space="preserve">Paper describes the FreeBFI implementation and extensions to the Wi-BFI tool, but no source code link is provided.</t>
  </si>
  <si>
    <t xml:space="preserve">Self-collected BFI, CSI, and respiration/gesture datasets are described but not released for download.</t>
  </si>
  <si>
    <t xml:space="preserve">Requires commercial WiFi APs/routers and NICs with multiple antennas, a Netgear A6210 sniffer, a WARP SDR platform, and a Neulog respiration belt sensor.</t>
  </si>
  <si>
    <t xml:space="preserve">Uses tools such as iperf3, Wireshark, the Wi-BFI parsing tool, and standard signal-processing and machine-learning libraries.</t>
  </si>
  <si>
    <t xml:space="preserve">System design and implementation sections describe packet capture, BFI parsing, MSCM construction, and optimization but do not provide end-to-end clone and run instructions.</t>
  </si>
  <si>
    <t xml:space="preserve">We believe this work marks a significant step toward the broader adoption of WiFi sensing on next-generation WiFi devices.</t>
  </si>
  <si>
    <t>2025_Dec_218.pdf</t>
  </si>
  <si>
    <t xml:space="preserve">Lingyu Wang, Kai Wang, Dequan Wang, You Zuo, Chenming He, Chengzhen Meng, Xiaoran Fan, Haojie Ren, and Yanyong Zhang. 2025. MmMUSE: An mmWave-based Motion-resilient Universal Speech Enhancement System. Proc. ACM Interact. Mob. Wearable Ubiquitous Technol. 9, 4, Article 218 (December 2025), 33 pages. https://doi.org/10.1145/3770672</t>
  </si>
  <si>
    <t xml:space="preserve">Paired mmWave and audio datasets from 46 participants are described but not released for download.</t>
  </si>
  <si>
    <t xml:space="preserve">Requires TI IWR6843ISK and Infineon BGT60TR13C mmWave radars, a microphone, and a laptop for data capture.</t>
  </si>
  <si>
    <t xml:space="preserve">Uses TI mmWaveStudio GUI and Infineon Radar Fusion GUI for radar control plus Python scripts and standard deep-learning libraries.</t>
  </si>
  <si>
    <t xml:space="preserve">Paper specifies radar configurations, dataset collection, and network architecture but no end-to-end installation or run commands.</t>
  </si>
  <si>
    <t xml:space="preserve">Finally, in real-world scenarios, including running, public spaces, and driving, mmMUSE achieves WER below 10%.</t>
  </si>
  <si>
    <t>2025_Dec_219.pdf</t>
  </si>
  <si>
    <t xml:space="preserve">Qijun Wang, Chunqi Qian, Peihao Yan, Shichen Zhang, and Huacheng Zeng. 2025. A Batteryless Wireless Microphone Using RF Backscatter. Proc. ACM Interact. Mob. Wearable Ubiquitous Technol. 9, 4, Article 219 (December 2025), 18 pages. https://doi.org/10.1145/3770673</t>
  </si>
  <si>
    <t xml:space="preserve">No source code repository or download link is provided.</t>
  </si>
  <si>
    <t xml:space="preserve">Self collected TagMic RF and voice datasets are described but not released for download.</t>
  </si>
  <si>
    <t xml:space="preserve">Requires custom TagMic backscatter tags with piezoelectric sensors, a USRP N310, power amplifier, directional antennas, and a PC-based RF reader.</t>
  </si>
  <si>
    <t xml:space="preserve">Implements the RF reader signal processing pipeline in GNU Radio with a neural-network-based voice enhancement model.</t>
  </si>
  <si>
    <t xml:space="preserve">Implementation section details tag construction, RF reader setup, and model training configuration but does not provide end-to-end clone or run instructions.</t>
  </si>
  <si>
    <t xml:space="preserve">Extensive experiments demonstrate its effectiveness in achieving battery-free, continuous, and seamless wireless voice streaming in realistic applications.</t>
  </si>
  <si>
    <t>2025_Dec_220.pdf</t>
  </si>
  <si>
    <t xml:space="preserve">Ruiqi Wang, Peiqi Gao, Patrick Lynch, Tingjun Liu, Yejin Lee, Carolyn Baum, Lisa Tabor Connor, and Chenyang Lu. 2025. CHEF-VL: Detecting Cognitive Sequencing Errors in Cooking with Vision-language Models. Proc. ACM Interact. Mob. Wearable Ubiquitous Technol. 9, 4, Article 220 (December 2025), 35 pages. https://doi.org/10.1145/3770714</t>
  </si>
  <si>
    <t xml:space="preserve">No source code repository or implementation link is provided.</t>
  </si>
  <si>
    <t xml:space="preserve">The Oatmeal107 smart kitchen video dataset is described but not released for public download.</t>
  </si>
  <si>
    <t xml:space="preserve">Requires a smart kitchen setup with an overhead RGB camera and a workstation with an NVIDIA RTX 6000 Ada GPU for training and inference.</t>
  </si>
  <si>
    <t xml:space="preserve">Implements models using PyTorch, Hugging Face Transformers, Qwen2.5-VL-7B, LLaMA-Factory, ELAN, and vLLM, with GPT-4o used only as a cloud-based baseline.</t>
  </si>
  <si>
    <t xml:space="preserve">The paper details model architecture, prompts, training settings, and hardware configuration but does not provide step-by-step clone or run instructions.</t>
  </si>
  <si>
    <t xml:space="preserve">Empirical results demonstrate that CHEF-VL improves both action recognition and sequencing error detection performance, offering a promising solution for real-world assistive technologies in smart home settings.</t>
  </si>
  <si>
    <t>2025_Dec_221.pdf</t>
  </si>
  <si>
    <t xml:space="preserve">Yichao Wang, Yili Ren, and Jie Yang. 2025. Wi-Hand: 3D Hand Mesh Construction Using WiFi. Proc. ACM Interact. Mob. Wearable Ubiquitous Technol. 9, 4, Article 221 (December 2025), 32 pages. https://doi.org/10.1145/3770703</t>
  </si>
  <si>
    <t xml:space="preserve">WiFi CSI and 3D hand mesh datasets from 12 participants are described but not released for download.</t>
  </si>
  <si>
    <t xml:space="preserve">Requires commodity WiFi laptops with Intel 5300 NICs and a nine-antenna L-shaped array for CSI collection; NVIDIA RTX 3090 GPU.</t>
  </si>
  <si>
    <t xml:space="preserve">Implements signal processing and deep learning model in Python using the Linux 802.11 CSI tool and PyTorch.</t>
  </si>
  <si>
    <t xml:space="preserve">Paper details system design, model architecture, and training hyperparameters but provides no end-to-end installation or run commands.</t>
  </si>
  <si>
    <t xml:space="preserve">These evaluations collectively demonstrate that Wi-Hand can effectively and robustly leverage WiFi signals to construct accurate 3D hand meshes.</t>
  </si>
  <si>
    <t>2025_Dec_222.pdf</t>
  </si>
  <si>
    <t xml:space="preserve">Yiwen Wang, Hossein Khayami, Bongshin Lee, Amanda Lazar, Hernisa Kacorri, and Eun Kyoung Choe. 2025. Enabling Older Adults to Provide High-quality Activity Labels: Unpacking Accuracy, Precision, and Granularity in Activity Labeling. Proc. ACM Interact. Mob. Wearable Ubiquitous Technol. 9, 4, Article 222 (December 2025), 24 pages. https://doi.org/10.1145/3770649</t>
  </si>
  <si>
    <t>2025_Dec_223.pdf</t>
  </si>
  <si>
    <t xml:space="preserve">Fangting Xie, Zhen Liang, Ziyu Wu, Dongquan Zhang, Mingjie Zhao, Quan Wan, Changhai Ma, Jiayue Yuan, Siqi Lei, and Xiaohui Cai. 2025. Where to Improve? A Systematic Evaluation of Sampling Parameters for Pressure Sensor Matrix. Proc. ACM Interact. Mob. Wearable Ubiquitous Technol. 9, 4, Article 223 (December 2025), 26 pages. https://doi.org/10.1145/3770694</t>
  </si>
  <si>
    <t xml:space="preserve">Details to the downsampling framework, model architectures, and logistic/log-logistic fitting but does not provide any source code or repository link.</t>
  </si>
  <si>
    <t xml:space="preserve">Experiments use six named public pressure sensor matrix datasets (DS-TIP, DS-SLP, DS-TSP, DS-Garment, DS-IntelligentCarpet, DS-TMM) described in the paper but without explicit download URLs.</t>
  </si>
  <si>
    <t xml:space="preserve">All analyses are conducted on existing bedsheet, chair, garment, carpet, and insole pressure sensor matrix datasets without requiring new hardware.</t>
  </si>
  <si>
    <t xml:space="preserve">Implements ResNet- and GRU-based models and logistic/log-logistic growth curve fitting using standard deep learning and scientific computing libraries.</t>
  </si>
  <si>
    <t xml:space="preserve">The paper specifies datasets, downsampling procedures, model architectures, evaluation metrics, and sampling parameter grids but provides no clone/install/run instructions or scripts.</t>
  </si>
  <si>
    <t xml:space="preserve">In summary, our study provides preliminary theoretical guidance for selecting sampling parameters for the pressure sensor matrix and identifies clear directions for future improvements, helping pave the way from laboratory prototypes to practical applications.</t>
  </si>
  <si>
    <t>2025_Dec_224.pdf</t>
  </si>
  <si>
    <t xml:space="preserve">Peixuan Xiong, Jinhui Ouyang, Zhiqing Wu, Yukai Zhang, Xian Li, Chen Gong, Yuling Wang, and Mingming Fan. 2025. Toward Designing Motor Imagery-driven Hand Redirection in Virtual Reality for Upper Limb Rehabilitation. Proc. ACM Interact. Mob. Wearable Ubiquitous Technol. 9, 4, Article 224 (December 2025), 27 pages. https://doi.org/10.1145/3770642</t>
  </si>
  <si>
    <t xml:space="preserve">The paper describes the MI-HR system, CNN-based classifier, and VR application but does not provide any code repository or download link.</t>
  </si>
  <si>
    <t xml:space="preserve">EEG and VR hand-tracking data from stroke patients are collected and analyzed but not released for public download.</t>
  </si>
  <si>
    <t xml:space="preserve">Requires an Oculus Quest 2 VR headset with hand tracking, a Neuroelectrics Enobio 8 EEG system with 8 dry electrodes, and a PC with Intel Core i7 CPU and NVIDIA RTX 3070 Ti GPU.</t>
  </si>
  <si>
    <t xml:space="preserve">Implements the VR rehabilitation application in Unity and processes EEG data with standard signal processing and machine learning tools.</t>
  </si>
  <si>
    <t xml:space="preserve">The paper details system architecture, EEG preprocessing pipeline, neural network design, thresholds, and user study protocol but provides no step-by-step installation or run commands.</t>
  </si>
  <si>
    <t xml:space="preserve">Our findings suggest that compared to Default-HR, MI-HR can significantly enhance users’ engagement level while maintaining the same training effort and success rate in tasks, which can ensure patients put in sufficient training effort and enhance patients’ motivation by enhancing success rate in their tasks.</t>
  </si>
  <si>
    <t>2025_Dec_225.pdf</t>
  </si>
  <si>
    <t xml:space="preserve">Guixin Xu, Jinbo Chen, Haoyu Wang, Yuqin Yuan, Ganlin Zhang, Ziqian Zhang, Dongheng Zhang, Yang Hu, Qibin Sun, and Yan Chen. 2025. Robust HRV Monitoring via Massive Radio Sensing. Proc. ACM Interact. Mob. Wearable Ubiquitous Technol. 9, 4, Article 225 (December 2025), 30 pages. https://doi.org/10.1145/3770711</t>
  </si>
  <si>
    <t xml:space="preserve">Algorithm Development;Dataset Paper;Software Development;User Study</t>
  </si>
  <si>
    <t xml:space="preserve">The paper describes the Massive Radio Sensing framework and implementation but does not provide any source code repository or download link.</t>
  </si>
  <si>
    <t>http://github.com/gxxu0120/MENV_HRV_Dataset</t>
  </si>
  <si>
    <t xml:space="preserve">The self collected dataset is promised for release at the repository but is not available. Releases the MENV_HRV_Dataset with over 96 hours of radar and ECG recordings across 32 environments, while the large-scale clinical training dataset from prior work is only referenced.</t>
  </si>
  <si>
    <t xml:space="preserve">Requires TI AWR1843AOP and AWR6843AOP mmWave radar modules, a TI ADS1292R ECG module integrated with an STM32F103C8 microcontroller, and systems with Intel Core i7 CPU and NVIDIA RTX 4090 GPU for training and evaluation.</t>
  </si>
  <si>
    <t xml:space="preserve">Implements the deep learning framework and training pipeline using standard machine learning libraries with Adam optimization on GPU; no proprietary software is mentioned.</t>
  </si>
  <si>
    <t xml:space="preserve">Provides a detailed signal model, environment conditioned batch sampling algorithm, network backbone description, dataset splits, and training hyperparameters but no step-by-step installation or run commands.</t>
  </si>
  <si>
    <t xml:space="preserve">These results highlight the effectiveness of our approach and its strong potential for real-world deployment in radio-based HRV monitoring.</t>
  </si>
  <si>
    <t>2025_Dec_226.pdf</t>
  </si>
  <si>
    <t xml:space="preserve">Huatao Xu, Zilin Zeng, Panrong Tong, Mo Li, and Mani B Srivastava. 2025. AutoLife: Automatic Life Journaling with Smartphones and LLMs. Proc. ACM Interact. Mob. Wearable Ubiquitous Technol. 9, 4, Article 226 (December 2025), 29 pages. https://doi.org/10.1145/3770683</t>
  </si>
  <si>
    <t xml:space="preserve">No explicit source code release is mentioned; the only GitHub link is described as hosting the dataset and benchmark.</t>
  </si>
  <si>
    <t>https://github.com/WANDS-HKUST/AutoLife</t>
  </si>
  <si>
    <t xml:space="preserve">The paper states that the life journaling dataset and benchmark are publicly available at the linked GitHub repository, but the repository currently contains no dataset files.</t>
  </si>
  <si>
    <t xml:space="preserve">Requires commercial Android smartphones with motion and location sensors (accelerometer, gyroscope, barometer, GPS, WiFi) to collect the life journaling dataset</t>
  </si>
  <si>
    <t xml:space="preserve">Implements AutoLife and the AutoJournal app using Android, Django/Firebase services, and multiple proprietary LLM/VLM backends such as GPT-4o, GPT-3.5, Gemini 1.5, and Claude 3, together with open-weight models like Llama 3.</t>
  </si>
  <si>
    <t xml:space="preserve">Paper describes the AutoLife pipeline, Android app, cloud server, model configurations, and prompts but provides no step-by-step installation or run commands.</t>
  </si>
  <si>
    <t xml:space="preserve">We also demonstrate the real-world application of AutoLife by integrating it into a digital journaling app that automatically generates journals for users.</t>
  </si>
  <si>
    <t>2025_Dec_227.pdf</t>
  </si>
  <si>
    <r>
      <rPr/>
      <t xml:space="preserve">Xiangyu Xu, Minghao Cui, Ding Ding, and Zhen Ling. 2025. HandiSense: Left/Right Operating Hand Recognition for Multi-finger Touchscreen Interactions. Proc. ACM Interact. Mob. Wearable Ubiquitous Technol. 9, 4, Article 227 (December 2025), 24 pages. </t>
    </r>
    <r>
      <rPr>
        <u val="single"/>
        <color rgb="FF1155CC"/>
      </rPr>
      <t>https://doi.org/10.1145/3770677</t>
    </r>
  </si>
  <si>
    <t xml:space="preserve">The paper describes the HandiSense model and Android implementation but does not provide a source code repository or download link.</t>
  </si>
  <si>
    <t xml:space="preserve">The dataset of 72,000 multi-finger gesture samples from 40 participants is described but not released for public download.</t>
  </si>
  <si>
    <t xml:space="preserve">Experiments use four Android touchscreen devices (Huawei Nova11 Pro, OPPO Find X6, HONOR MagicPad, OPPO Pad Pro) and a workstation with an Intel Core i9 CPU and NVIDIA RTX 3090 GPU.</t>
  </si>
  <si>
    <t xml:space="preserve">Implements the model in an Android app and trains it using PyTorch with Adam optimization on a GPU equipped workstation.</t>
  </si>
  <si>
    <t xml:space="preserve">The paper specifies data collection, feature construction, model architecture, and training hyperparameters but provides no step-by-step installation or run commands.</t>
  </si>
  <si>
    <t xml:space="preserve">By offering a calibration-free, cross-device, and wholly software-based path to hand-aware interaction, HandiSense broadens the design space for personalized and context-adaptive touch interfaces.</t>
  </si>
  <si>
    <t>2025_Dec_228.pdf</t>
  </si>
  <si>
    <r>
      <rPr/>
      <t xml:space="preserve">Zhenyu Xu, Tianlin Lu, Yingying Zhao, Yujiang Wang, Mingzhi Dong, Yuhu Chang, Qin Lv, Robert P. Dick, Fan Yang, Tun Lu, Ning Gu, and Li Shang. 2025. ActiveEye: Enabling Continuous and Responsive Video Understanding for Smart Eyewear Systems. Proc. ACM Interact. Mob. Wearable Ubiquitous Technol. 9, 4, Article 228 (December 2025), 33 pages. </t>
    </r>
    <r>
      <rPr>
        <u val="single"/>
        <color rgb="FF1155CC"/>
      </rPr>
      <t>https://doi.org/10.1145/3770641</t>
    </r>
  </si>
  <si>
    <t xml:space="preserve">The paper describes the ActiveEye algorithms and system implementation but does not provide any source code repository or download link.</t>
  </si>
  <si>
    <t xml:space="preserve">Uses public egocentric video datasets such as EgoSchema, Ego4D, and EgoClip for training and evaluation but does not release a new dataset.</t>
  </si>
  <si>
    <t xml:space="preserve">Requires a custom smart eyewear prototype built around an ESP32-CAM board with OV2640 camera and 2.1 Wh battery, plus a smartphone (iPhone 16 Pro) and a cloud server for VLM processing.</t>
  </si>
  <si>
    <t xml:space="preserve">Implements ActiveEye using open-source VLMs such as LLaVA-OV-7B and EgoGPT-7B with standard machine learning libraries, and uses GPT-4o mini only as a cloud-based dialogue engine.</t>
  </si>
  <si>
    <t xml:space="preserve">The paper explains the architecture, models, and deployment but provides no installation or run instructions or repository README.</t>
  </si>
  <si>
    <t xml:space="preserve">ActiveEye achieves a visual question answering (VQA) accuracy of 61.6%, which is comparable to state-of-the-art VLM agents, despite their reliance on larger language decoders and more computationally intensive frame selection strategies.</t>
  </si>
  <si>
    <t>2025_Dec_229.pdf</t>
  </si>
  <si>
    <t xml:space="preserve">Ziyi Xuan, Yiwen Wu, Xuhai Xu, Vinod Namboodiri, Mooi Choo Chuah, and Yu Yang. 2025. Design and Evaluation of Generative Agent-based Platform for Human-Assistant Interaction Research: A Tale of 10 User Studies. Proc. ACM Interact. Mob. Wearable Ubiquitous Technol. 9, 4, Article 229 (December 2025), 46 pages. https://doi.org/10.1145/3770661</t>
  </si>
  <si>
    <t>https://dash-gidea.github.io/</t>
  </si>
  <si>
    <t xml:space="preserve">Project website provides additional resources and project materials, and the authors state they will open source the platform, but specific code release details are not given.</t>
  </si>
  <si>
    <t xml:space="preserve">Simulation outputs and logs are stored in structured text formats and authors state they will open source collected results, but no explicit dataset download link is specified.</t>
  </si>
  <si>
    <t xml:space="preserve">LLM-based simulations run on standard computing hardware with no special devices or sensors.</t>
  </si>
  <si>
    <t xml:space="preserve">GIDEA uses the proprietary GPT-4o API as the primary language model for assistant agents and avatars, together with other LLM APIs and open-source tools.</t>
  </si>
  <si>
    <t xml:space="preserve">The paper describes the system architecture, modules, and evaluation pipeline but does not provide installation or run commands.</t>
  </si>
  <si>
    <t xml:space="preserve">Our work provides a scalable and cost-effective approach for studying assistant agent design without requiring live human subjects.</t>
  </si>
  <si>
    <t>2025_Dec_230.pdf</t>
  </si>
  <si>
    <t xml:space="preserve">Hua Yan, Heng Tan, Yi Ding, Pengfei Zhou, Vinod Namboodiri, and Yu Yang. 2025. Large Language Model-guided Semantic Alignment for Human Activity Recognition. Proc. ACM Interact. Mob. Wearable Ubiquitous Technol. 9, 4, Article 230 (December 2025), 25 pages. https://doi.org/10.1145/3770652</t>
  </si>
  <si>
    <t>https://github.com/DASHLab/LanHAR</t>
  </si>
  <si>
    <t xml:space="preserve">Implements the LanHAR framework with text and sensor encoders in PyTorch, and the paper states that the source code is publicly available at the linked repository.</t>
  </si>
  <si>
    <t xml:space="preserve">Experiments are conducted on five named public IMU-based HAR datasets HHAR, UCI, Motion, Shoaib, PAMAP2.</t>
  </si>
  <si>
    <t xml:space="preserve">All main experiments use existing public IMU datasets, with an optional deployment case study on a Pixel 7 smartphone but no special hardware required.</t>
  </si>
  <si>
    <t xml:space="preserve">Uses GPT-4 API to generate semantic interpretations of sensor readings and activity labels, with additional experiments using GPT-3 and LLAMA2, and trains BERT-based encoders and a Transformer sensor encoder in PyTorch 1.9.0 on NVIDIA RTX A5000 GPUs.</t>
  </si>
  <si>
    <t xml:space="preserve">The paper provides detailed implementation settings, model architectures, training procedures, hyperparameters and also run commands in README.</t>
  </si>
  <si>
    <t xml:space="preserve">Experiments on five public datasets demonstrate that our approach significantly outperforms state-of-the-art methods in both cross-dataset HAR and new activity recognition.</t>
  </si>
  <si>
    <t>2025_Dec_231.pdf</t>
  </si>
  <si>
    <t xml:space="preserve">Baichen Yang, Xinyi Zhang, Xin He, Chi Xu, Wentao Xie, Zuru Liang, Shu-hang, Patrick Yung, and Qian Zhang. 2025. ACLGuard: Physics-Aware Knee Loading Monitoring System for Anterior Cruciate Ligament Injury Prevention Training. Proc. ACM Interact. Mob. Wearable Ubiquitous Technol. 9, 4, Article 231 (December 2025), 28 pages. https://doi.org/10.1145/3770692</t>
  </si>
  <si>
    <t>https://github.com/aclguard/ACLGuard</t>
  </si>
  <si>
    <t xml:space="preserve">GitHub repository with the ACLGuard implementation and model code.</t>
  </si>
  <si>
    <t xml:space="preserve">Uses a privately collected dataset from 10 athletes and 9 non-athletes with no public download link.</t>
  </si>
  <si>
    <t xml:space="preserve">Requires IMUs, an RGB-D camera (Azure Kinect), motion capture and force plate systems, and NVIDIA RTX 4090 GPUs for training and evaluation.</t>
  </si>
  <si>
    <t xml:space="preserve">Implements models in Python 3.10 and PyTorch 2.5 and uses OpenSim’s inverse dynamics tool for ground-truth KAM computation.</t>
  </si>
  <si>
    <t xml:space="preserve">The linked GitHub repository provides code but no explicit installation or run commands.</t>
  </si>
  <si>
    <t xml:space="preserve">Evaluations show that ACLGuard achieves an average root mean square error of 0.176 Nm/kg and a normalized root mean square error of 11.5% in KAM estimation, comparable to existing markerless motion capture solutions but offers an on-field monitoring potential with a significantly simpler setup.</t>
  </si>
  <si>
    <t>2025_Dec_232.pdf</t>
  </si>
  <si>
    <t xml:space="preserve">Qiang Yang, Yang Liu, Jake Stuchbury-Wass, Mathias Ciliberto, Tobias Röddiger, Kayla-Jade Butkow, Adam Luke Pullin, Emeli Panariti, Dong Ma, and Cecilia Mascolo. 2025. HearForce: Force Estimation for Manual Toothbrushing with Earables. Proc. ACM Interact. Mob. Wearable Ubiquitous Technol. 9, 4, Article 232 (December 2025), 22 pages. https://doi.org/10.1145/3770688</t>
  </si>
  <si>
    <t xml:space="preserve">The paper describes the HearForce deep learning pipeline but does not provide any source code repository or download link.</t>
  </si>
  <si>
    <t xml:space="preserve">Uses in-ear audio and force measurements collected from 16 participants over five days plus an unlabeled brushing audio corpus; these datasets are not released for public download.</t>
  </si>
  <si>
    <t xml:space="preserve">Requires OpenEarable 1.4 earable devices for in-ear audio capture and manual toothbrushes with integrated force sensors, including a modified commercial electric toothbrush and the OpenBrush prototype with strain gauge and Raspberry Pi Pico.</t>
  </si>
  <si>
    <t xml:space="preserve">Uses TensorFlow, OpenSMILE, and Python.</t>
  </si>
  <si>
    <t xml:space="preserve">The paper details system design, preprocessing, model architecture, training settings, and calibration but provides no installation, execution instructions.</t>
  </si>
  <si>
    <t xml:space="preserve">Our study makes the first step in the use of everyday earbuds for manual toothbrushing force monitoring, paving the way for accessible solutions to improve brushing habits for manual toothbrush users globally.</t>
  </si>
  <si>
    <t>2025_Dec_233.pdf</t>
  </si>
  <si>
    <t xml:space="preserve">Qirui Yang, Huatao Xu, Mengxuan Song, and Mo Li. 2025. WiMU: Real-time Indoor Localization via Wi-Fi/IMU Fusion with Minimal Site Survey. Proc. ACM Interact. Mob. Wearable Ubiquitous Technol. 9, 4, Article 233 (December 2025), 25 pages. https://doi.org/10.1145/3770667</t>
  </si>
  <si>
    <t xml:space="preserve">The paper describes the WiMU indoor localization framework and its PyTorch implementation but does not provide any source code repository or download link.</t>
  </si>
  <si>
    <t>https://github.com/location-competition/indoor-location-competition-20</t>
  </si>
  <si>
    <t xml:space="preserve">Uses the public Microsoft Indoor Location and Navigation competition dataset plus private campus and warehouse data that are not released.</t>
  </si>
  <si>
    <t xml:space="preserve">Requires Android smartphones with WiFi and IMU sensors and existing WiFi access points, with experiments trained on a GPU equipped machine such as an RTX 5880 Ada.</t>
  </si>
  <si>
    <t xml:space="preserve">Implements WiMU in PyTorch with an Android data collection app and standard machine learning libraries.</t>
  </si>
  <si>
    <t xml:space="preserve">The paper details system design, models, datasets, and hyperparameters but provides no installation or run commands.</t>
  </si>
  <si>
    <t xml:space="preserve">WiMU has also been successfully deployed in real-world environments, including a university campus and a warehouse, demonstrating its practical effectiveness for real-time indoor localization.</t>
  </si>
  <si>
    <t>2025_Dec_234.pdf</t>
  </si>
  <si>
    <t xml:space="preserve">Zhuohan Ye, Xiaolin Su, Ding He, Zijing Zhang, Yilu Sun, Junxiang Ji, Xiuhuai Xie, Jiaru Wang, Rongbao Wei, Yongcheng Zhang, Yuan Li, and Longbiao Chen. 2025. TourismMinds: A Geo-augmented LLM Framework for Semantic-aware Trajectory Analytics and Generation. Proc. ACM Interact. Mob. Wearable Ubiquitous Technol. 9, 4, Article 234 (December 2025), 32 pages. https://doi.org/10.1145/3770697</t>
  </si>
  <si>
    <t xml:space="preserve">The paper describes the TourismMinds framework and mentions an online Kulangsu Smart Tourism Trajectory System at https://trajectory-model.crowdsensing.cn/ but does not release source code.</t>
  </si>
  <si>
    <t>https://www.microsoft.com/en-us/research/publication/geolife-gps-trajectory-dataset-user-guide/</t>
  </si>
  <si>
    <t xml:space="preserve">Uses public datasets such as Microsoft GeoLife and UM WiFi records together with a proprietary Kulangsu multi-source dataset that is not publicly released.</t>
  </si>
  <si>
    <t xml:space="preserve">Experiments run on an Intel Xeon Silver 4310 server with 128GB RAM and dual NVIDIA RTX A40 GPUs, and GNSS devices are used for trajectory collection.</t>
  </si>
  <si>
    <t xml:space="preserve">Implements TourismMinds using open-source LLMs such as Meta-Llama-3-8B-Instruct and Qwen2-7B-Instruct, the SWIFT fine-tuning framework, and Milvus vector database, with GPT-4 used only as a baseline.</t>
  </si>
  <si>
    <t xml:space="preserve">The paper details the framework, datasets, and experimental setup but provides no step-by-step installation or run commands.</t>
  </si>
  <si>
    <t xml:space="preserve">This approach reduces hallucinations by 15% and boosts geographic reasoning accuracy, achieving state-of-the-art intent recognition (15% gain) and landmark identification (72% accuracy).</t>
  </si>
  <si>
    <t>2025_Dec_235.pdf</t>
  </si>
  <si>
    <t xml:space="preserve">Zhigang Yin, Marko Radeta, Kevin Post, Mohan Liyanage, Mayowa Olapade, Reo Kuchida, Abdul-Rasheed Ottun, Adeyinka Akintola, Petteri Nurmi, and Huber Flores. 2025. BEE: Opportunistic Heat-based Bio-sensing for Produce Quality Monitoring. Proc. ACM Interact. Mob. Wearable Ubiquitous Technol. 9, 4, Article 235 (December 2025), 32 pages. https://doi.org/10.1145/3770645</t>
  </si>
  <si>
    <t xml:space="preserve">The paper presents the BEE sensing and inference pipeline but does not provide any source code repository or download link.</t>
  </si>
  <si>
    <t xml:space="preserve">Thermal and environmental measurements and ground-truth quality labels for multiple types of produce are collected but not publicly released.</t>
  </si>
  <si>
    <t xml:space="preserve">Experiments use a CAT S61 smartphone thermal camera, JANOEL18S incubator, Netatmo weather station, thermal scanner, ESP32-based sensing setups, and a Turoni durometer for produce firmness.</t>
  </si>
  <si>
    <t xml:space="preserve">Implements the BEE pipeline using standard computer vision and deep learning tools such as OpenCV and CNN-based models for regression and classification.</t>
  </si>
  <si>
    <t xml:space="preserve">The paper describes the testbed, data collection procedures, and model training settings but provides no installation or run commands.</t>
  </si>
  <si>
    <t xml:space="preserve">Our results indicate that BEE can achieve over 95% accuracy in estimating produce quality while operating robustly across varying environmental conditions and outperforming existing state-of-the-art solutions. Additionally, user studies reveal that BEE is intuitive and user-friendly, achieving the 90th percentile in an user satisfaction survey.</t>
  </si>
  <si>
    <t>2025_Dec_236.pdf</t>
  </si>
  <si>
    <t xml:space="preserve">Fangxu Yuan, Navreet Kaur, Zhiyuan Wang, Manuel Gonzales IV, Cristian Garcia Alcaraz, Gabriel Estrella, Kristen Wells, and Laura Barnes. 2025. Multimodal Sensing and Modeling of Endocrine Therapy Adherence in Breast Cancer Survivors. Proc. ACM Interact. Mob. Wearable Ubiquitous Technol. 9, 4, Article 236 (December 2025), 33 pages. https://doi.org/10.1145/3770864</t>
  </si>
  <si>
    <t>https://github.com/BarnesLab/Endocrine-Therapy-Adherence-in-Breast-Cancer-Survivor</t>
  </si>
  <si>
    <t xml:space="preserve">The authors release complete source code and documentation replicating preprocessing, modeling, and evaluation.</t>
  </si>
  <si>
    <t xml:space="preserve">The multimodal dataset cannot be publicly released due to IRB restrictions; The authors state that researchers may contact the corresponding author to discuss potential options for data access.</t>
  </si>
  <si>
    <t xml:space="preserve">Requires Fitbit Sense smartwatches, RxCap MEMS pill bottles with the RxCap Engage system, and participants smartphones.</t>
  </si>
  <si>
    <t xml:space="preserve">Uses proprietary Fitabase and RxCap Engage platforms together with Python-based machine learning tools.</t>
  </si>
  <si>
    <t xml:space="preserve">A public GitHub repository with code and documentation is provided to replicate preprocessing, modeling, and evaluation steps.</t>
  </si>
  <si>
    <t xml:space="preserve">The findings offer valuable insights for advancing adherence monitoring systems, suggesting that incorporating personalized and temporally adaptive data fusion strategies may significantly enhance the effectiveness of intervention design and delivery.</t>
  </si>
  <si>
    <t>2025_Dec_237.pdf</t>
  </si>
  <si>
    <t xml:space="preserve">AoXiang Yue, Zhi Lu, Yang Hu, Zhenzhen Cao, and Yan Chen. 2025. Translation of Radar Signals into Latent Cardiac Event Space for Scalable, Annotation-free Heart Disease Diagnosis. Proc. ACM Interact. Mob. Wearable Ubiquitous Technol. 9, 4, Article 237 (December 2025), 30 pages. https://doi.org/10.1145/3770693</t>
  </si>
  <si>
    <t xml:space="preserve">No code repository or download link is mentioned.</t>
  </si>
  <si>
    <t xml:space="preserve">The method requires both a large publicly available multi-dataset ECG corpus and the authors own radar–ECG clinical dataset, but only the external ECG datasets are publicly available.</t>
  </si>
  <si>
    <t xml:space="preserve">Requires a self-designed FMCW radar platform; NVIDIA RTX 4090 GPU; and a clinical 12-lead ECG system deployed in hospital wards and clinics.</t>
  </si>
  <si>
    <t xml:space="preserve">Models are trained using PyTorch with the Adam optimizer and other standard deep learning tools.</t>
  </si>
  <si>
    <t xml:space="preserve">Paper specifies radar configuration, dataset splits, network architecture, and training hyperparameters but does not provide a runnable code repository or step-by-step execution commands.</t>
  </si>
  <si>
    <t xml:space="preserve">Evaluated on a large-scale real-world dataset of 7,336 clinical recordings, R2E-Net achieves an average F1 score of 82.4% without radar labels, which can even outperform radar models trained under full supervision.</t>
  </si>
  <si>
    <t>2025_Dec_238.pdf</t>
  </si>
  <si>
    <t xml:space="preserve">Xinran Zhang, Wuyang Zhang, Hanqi Zhu, Yifan Duan, Jianmin Ji, and Yanyong Zhang. 2025. PocketMap: An Interaction-centric 3D Map Serving System for Spatial Understanding on Mobile Devices. Proc. ACM Interact. Mob. Wearable Ubiquitous Technol. 9, 4, Article 238 (December 2025), 28 pages. https://doi.org/10.1145/3770680</t>
  </si>
  <si>
    <t xml:space="preserve">Uses two public 3D reconstruction benchmarks (Complex-campus and Structured-city) and two real-world datasets (Green-park and Glass-hall) that are not released.</t>
  </si>
  <si>
    <t xml:space="preserve">Requires a server workstation and a client device such as an NVIDIA Jetson Xavier or smartphone to run PocketMap and collect images in the four environments.</t>
  </si>
  <si>
    <t xml:space="preserve">Implements PocketMap in Python using 3D Gaussian Splatting, COLMAP, YOLOv9, SAM, Depth Anything V2, StableNormal, OpenCV, and the proprietary GPT-4o API for LLM-based prompt parsing.</t>
  </si>
  <si>
    <t xml:space="preserve">The paper details the system architecture, modules, datasets, and experimental setup but provides no installation or run commands or code repository.</t>
  </si>
  <si>
    <t xml:space="preserve">User studies show that PocketMap improves user satisfaction by 35.5% compared to the baseline. Extensive evaluations further demonstrate a 45.1% reduction in transmission volume and a 13.7% improvement in task performance compared to the baseline.</t>
  </si>
  <si>
    <t>2025_Dec_239.pdf</t>
  </si>
  <si>
    <t xml:space="preserve">Youwei Zhang, Zhi Liu, and Suhua Tang. 2025. VibeAlign: Maximizing Variation of Heart Beat in CSI of COTS Wi-Fi Devices via Signal Alignment. Proc. ACM Interact. Mob. Wearable Ubiquitous Technol. 9, 4, Article 239 (December 2025), 31 pages. https://doi.org/10.1145/3770704</t>
  </si>
  <si>
    <t xml:space="preserve">No source code URL or repository is provided.</t>
  </si>
  <si>
    <t xml:space="preserve">The paper does not provide a public download link for the CSI or ECG datasets used in the experiments.</t>
  </si>
  <si>
    <t xml:space="preserve">Uses COTS WiFi transceivers with Intel 5300 NICs, directional and omni antennas, mini-PCs, and a Polar H10 heart rate strap for ground truth.</t>
  </si>
  <si>
    <t xml:space="preserve">MATLAB R2021B; CSI-Tool for data collection.</t>
  </si>
  <si>
    <t xml:space="preserve">Paper describes the algorithm and experimental setup but provides no step-by-step implementation or run commands.</t>
  </si>
  <si>
    <t xml:space="preserve">Experiment results confirm that the proposed method helps to better detect the weak heartbeat signal, and extends the detection range as well.</t>
  </si>
  <si>
    <t>2025_Dec_240.pdf</t>
  </si>
  <si>
    <t xml:space="preserve">Zeyu Zhang, Hua Huang, Penghao Dong, Shanshan Yao, and Shan Lin. 2025. MagSkin: Enabling Touchless Human-Computer Interaction with Soft Epidermal Magnetic Material. Proc. ACM Interact. Mob. Wearable Ubiquitous Technol. 9, 4, Article 240 (December 2025), 30 pages. https://doi.org/10.1145/3770675</t>
  </si>
  <si>
    <t xml:space="preserve">No source code or repository link is provided.</t>
  </si>
  <si>
    <t xml:space="preserve">Evaluation uses MagSkin datasets collected from volunteers, but no dataset download link is provided.</t>
  </si>
  <si>
    <t xml:space="preserve">Requires custom soft magnetic skin worn on the fingertip, a smartphone magnetometer, a 3D positioning system with robotic arm, and a Hall gaussmeter for evaluation.</t>
  </si>
  <si>
    <t xml:space="preserve">Uses Ansys Maxwell for magnetic field simulation and standard machine learning tools for gesture classification.</t>
  </si>
  <si>
    <t xml:space="preserve">The paper details models, algorithms, and experimental setup but provides no step-by-step implementation or run commands.</t>
  </si>
  <si>
    <t xml:space="preserve">We have conducted experiments with 15 volunteers for 18 hours, experimental results show localization accuracy is 6.2 mm in 3D, 4.5 mm in 2D, and recognition accuracy is 94% for classical gesture and 92% for novel gesture.</t>
  </si>
  <si>
    <t>2025_Dec_241.pdf</t>
  </si>
  <si>
    <t xml:space="preserve">Chong Zhao, Maria Ana Cardei, Matthew Clark, Runze Yan, and Afsaneh Doryab. 2025. Biobehavioral Rhythms in Everyday Life: Data and Models for Capturing Cyclic Behavior in Naturalistic Settings. Proc. ACM Interact. Mob. Wearable Ubiquitous Technol. 9, 4, Article 241 (December 2025), 36 pages. https://doi.org/10.1145/3770698</t>
  </si>
  <si>
    <t>https://github.com/HAI-lab-UVA/Human-Rhythms-Dataset</t>
  </si>
  <si>
    <t xml:space="preserve">The official Human Rhythms Dataset repository includes rhythms_cosinor.py for rhythm analysis.</t>
  </si>
  <si>
    <t xml:space="preserve">Provides the Human Rhythms Dataset with raw sensor data, derived behavioral features, rhythm parameters, and external context files via GitHub.</t>
  </si>
  <si>
    <t xml:space="preserve">Uses Fitbit Sense wearables and participants smartphones running the AWARE mobile sensing app for passive data collection.</t>
  </si>
  <si>
    <t xml:space="preserve">Data analysis uses Python libraries (RAPIDS, CosinorPy); data collection used the open-source AWARE framework.</t>
  </si>
  <si>
    <t xml:space="preserve">The paper and dataset README describe sensing setup and dataset usage but do not provide end-to-end installation or run commands.</t>
  </si>
  <si>
    <t xml:space="preserve">These findings highlight the value of these metrics in capturing nuanced differences in biobehavioral rhythms and underscore their potential to enhance our understanding of how human cyclic behavior varies across populations and temporal contexts.</t>
  </si>
  <si>
    <t>2025_Dec_242.pdf</t>
  </si>
  <si>
    <t xml:space="preserve">Xuerong Zhao, Xuan Wang, Jian Wu, Chao Feng, Dingyi Fang, Xiaojiang Chen, and Zheng Wang. 2025. SpikeTouch: Optimizing Spike Neural Networks for Tactile Perception. Proc. ACM Interact. Mob. Wearable Ubiquitous Technol. 9, 4, Article 242 (December 2025), 24 pages. https://doi.org/10.1145/3770658</t>
  </si>
  <si>
    <t xml:space="preserve">No source code repository or implementation link for SpikeTouch is provided.</t>
  </si>
  <si>
    <t xml:space="preserve">Tactile datasets collected from 20 volunteers with a pressure-sensor glove are used but not released for public download.</t>
  </si>
  <si>
    <t xml:space="preserve">Requires a flexible glove with pressure sensors (RX-G0505M), the Tianjic neuromorphic chip (Lynxi HS140 platform) and a PC with an NVIDIA RTX 2080Ti GPU for training.</t>
  </si>
  <si>
    <t xml:space="preserve">Uses proprietary tools such as MATLAB, the LynSDK software stack, and the Lyngor graphical programming framework in addition to Python and PyTorch.</t>
  </si>
  <si>
    <t xml:space="preserve">The paper details system design, hyperparameters, and deployment setup but does not provide runnable code, installation instructions, or step-by-step commands.</t>
  </si>
  <si>
    <t xml:space="preserve">It is also highly energy and computationally efficient, operating at just 1 Watt of power - significantly lower than the hundreds or thousands of Watts typically required by a GPU - and delivering a response in under 20 ms - well below the average human reflex time of over 100 ms.</t>
  </si>
  <si>
    <t>2025_Dec_243.pdf</t>
  </si>
  <si>
    <t xml:space="preserve">Yukun Zhao, Xinyuan Song, Huajian Huang, and Tristan Braud. 2025. From Motion to Localization: Cross-view Optimization with Stationary Event and RGB Cameras for Enhanced Pose Estimation. Proc. ACM Interact. Mob. Wearable Ubiquitous Technol. 9, 4, Article 243 (December 2025), 25 pages. https://doi.org/10.1145/3770631</t>
  </si>
  <si>
    <t xml:space="preserve">The authors state they open source the implementation code, but no repository URL is provided in the text.</t>
  </si>
  <si>
    <t xml:space="preserve">Authors contribute a new cross-view pose estimation dataset but do not provide a public download link.</t>
  </si>
  <si>
    <t xml:space="preserve">Requires a stationary sensing platform (Sony camera, RGB camera, Livox Avia LiDAR, NUC mini-computer) and a user device (iPhone 16 Pro); server uses NVIDIA GeForce RTX 3090.</t>
  </si>
  <si>
    <t xml:space="preserve">Uses proprietary ARKit 5.1.5 for the data capture app, Metavision SDK, and Halcon software, with the EVS-CVPO pipeline implemented in PyTorch.</t>
  </si>
  <si>
    <t xml:space="preserve">The paper describes the sensing platform, dataset collection, and algorithms but does not provide runnable code, installation instructions, or step-by-step commands.</t>
  </si>
  <si>
    <t xml:space="preserve">Our approach shows significant improvement over existing methods, reducing translation and rotation errors by 12.9% and 13.4%, respectively, for weekly data over 4 weeks, and by 38.5% and 16.2% for monthly data over 4 months, compared to HLoc (SP+SG). It also reduces performance degradation by up to 50% after only 4 weeks.</t>
  </si>
  <si>
    <t>2025_Sep_068.pdf</t>
  </si>
  <si>
    <r>
      <rPr/>
      <t xml:space="preserve">Azhar A. Alsufyani, Omer Rana, and Charith Perera. 2025. Enabling Collaborative Anomaly Exploration in Smart Homes: Eliciting User Requirements and Security Scenarios. Proc. ACM Interact. Mob. Wearable Ubiquitous Technol. 9, 3, Article 68 (September 2025), 34 pages. </t>
    </r>
    <r>
      <rPr>
        <u val="single"/>
        <color rgb="FF1155CC"/>
      </rPr>
      <t>https://doi.org/10.1145/3749490</t>
    </r>
  </si>
  <si>
    <t>Sep</t>
  </si>
  <si>
    <t xml:space="preserve">Users need Smarthome experience</t>
  </si>
  <si>
    <t xml:space="preserve">Methodology describes the Questionnaire,  Online; Focus Group Approach</t>
  </si>
  <si>
    <t xml:space="preserve">a comprehensive perspective on designing next-generation smart homes that are user-friendly and secure, design principles</t>
  </si>
  <si>
    <t>2025_Sep_069.pdf</t>
  </si>
  <si>
    <r>
      <rPr/>
      <t xml:space="preserve">Chandler Jackson Bauder, Tianhao Wu, Syed Irfan Ali Meerza, Aly Fathy, and Jian Liu. 2025. MM-RunAssist: mmWave-based Respiratory and Running Rhythm Analysis during Treadmill Workouts. Proc. ACM Interact. Mob. Wearable Ubiquitous Technol. 9, 3, Article 69 (September 2025), 24 pages. </t>
    </r>
    <r>
      <rPr>
        <u val="single"/>
        <color rgb="FF1155CC"/>
      </rPr>
      <t>https://doi.org/10.1145/3749458</t>
    </r>
  </si>
  <si>
    <t xml:space="preserve">Disclaimer in Discussion: At this time, we are in the process of pursuing commercialization and intellectual property (IP) protection for mm-RunAssist. Additionally, our dataset contains biometric and physiological data (e.g., video recordings) collected from human subjects, which requires careful handling to ensure participant privacy and compliance with institutional data-sharing policies of the IRB. For these reasons, we are unable to release the full source code and raw sensor data immediately.</t>
  </si>
  <si>
    <t>Disclaimer</t>
  </si>
  <si>
    <t xml:space="preserve">mmWave FMCW radar, , Custom 3D printed Housing for mmwave Radar; (depth-sensing camera; wearable respiration belt)?</t>
  </si>
  <si>
    <t xml:space="preserve">System Overview, Model describtion, Evaluation Study describtion</t>
  </si>
  <si>
    <t xml:space="preserve">Experiments on 12 subjects with 500+ minutes of treadmill workout data over 3 months show that mm-RunAssist outperforms three state-of-the-art baselines in respiration waveform reconstruction, achieving an average cosine similarity above 0.8</t>
  </si>
  <si>
    <t>2025_Sep_070.pdf</t>
  </si>
  <si>
    <r>
      <rPr/>
      <t xml:space="preserve">Ayush Bhardwaj, Ashish Pratap, Edilberto F. Carrizales, Dongbeom Ko, Sungjoo Kang, and Jin Ryong Kim. 2025. MetaTwin: A Collaborative XR Platform for Seamless Physical-Virtual Synchronization. Proc. ACM Interact. Mob. Wearable Ubiquitous Technol. 9, 3, Article 70 (September 2025), 32 pages. </t>
    </r>
    <r>
      <rPr>
        <u val="single"/>
        <color rgb="FF1155CC"/>
      </rPr>
      <t>https://doi.org/10.1145/3749533</t>
    </r>
  </si>
  <si>
    <t xml:space="preserve">server architechture(three servers, each addressing a specific layer of functionality), VR equipment, Intel RealSense L515 LiDAR camera, smart devices</t>
  </si>
  <si>
    <t xml:space="preserve">AWS; multiple links in paper</t>
  </si>
  <si>
    <t xml:space="preserve">System Architecture and implementation described, Links to Used Software/</t>
  </si>
  <si>
    <t xml:space="preserve">end of intro, findings inform the development of operational guidelines for future collaborative XR platforms</t>
  </si>
  <si>
    <t>2025_Sep_071.pdf</t>
  </si>
  <si>
    <r>
      <rPr/>
      <t xml:space="preserve">Ang Cai, Chao Yao, Hongjun Liu, Changsheng Li, Yongyue Zhang, Yu Guo, Xiaokun Wang, and Xiaojuan Ban. 2025. HPIPainting: A Hand-Pen Interaction for VR Painting. Proc. ACM Interact. Mob. Wearable Ubiquitous Technol. 9, 3, Article 71 (September 2025), 26 pages. </t>
    </r>
    <r>
      <rPr>
        <u val="single"/>
        <color rgb="FF1155CC"/>
      </rPr>
      <t>https://doi.org/10.1145/3749538</t>
    </r>
  </si>
  <si>
    <t xml:space="preserve">VR equipment (Meta Quest 2)</t>
  </si>
  <si>
    <t xml:space="preserve">Excel, Origin 2025 Pro (Study 2)</t>
  </si>
  <si>
    <t xml:space="preserve">System described, 3 Studys described</t>
  </si>
  <si>
    <t xml:space="preserve">achieves controller-level drawing accuracy with a mean error of 1.21 mm, fast and reliable mode-switching within 222 ms, and significantly higher ratings for ease of use, hand fatigue, and naturalness compared to pinch- and controller-based input</t>
  </si>
  <si>
    <t>2025_Sep_072.pdf</t>
  </si>
  <si>
    <r>
      <rPr/>
      <t xml:space="preserve">Haoran Cao, Jiadi Yu, Hao Kong, Yi-Chao Chen, Yanmin Zhu, Linghe Kong, and Feilong Tang. 2025. OccMesh: Occlusion-aware Multi-user 3D Human Mesh Reconstruction Using mmWave Signals. Proc. ACM Interact. Mob. Wearable Ubiquitous Technol. 9, 3, Article 72 (September 2025), 22 pages. </t>
    </r>
    <r>
      <rPr>
        <u val="single"/>
        <color rgb="FF1155CC"/>
      </rPr>
      <t>https://doi.org/10.1145/3749514</t>
    </r>
  </si>
  <si>
    <t xml:space="preserve">COTS mmWave Radar Texas Instruments (TI) IWR1443, data capture card TI DCA1000EVM, Two Kinect V2</t>
  </si>
  <si>
    <t xml:space="preserve">TI mmWave Studio software (free)</t>
  </si>
  <si>
    <t xml:space="preserve">Description of system, mmWave signal Processing, and evaluation studys</t>
  </si>
  <si>
    <t xml:space="preserve">OccMesh achieves a comparable performance to vision-based methods; OccMesh, the MPJPE and MPVE of occluded users are 76.7𝑚𝑚 and 95.2𝑚𝑚</t>
  </si>
  <si>
    <t>2025_Sep_073.pdf</t>
  </si>
  <si>
    <r>
      <rPr/>
      <t xml:space="preserve">Mark Cardamis, Chun Tung Chou, and Wen Hu. 2025. MotionLeaf: Fine-grained Multi-leaf Damped Vibration Monitoring for Plant Water Stress Using Cost-effective mmWave Sensors. Proc. ACM Interact. Mob. Wearable Ubiquitous Technol. 9, 3, Article 73 (September 2025), 27 pages. </t>
    </r>
    <r>
      <rPr>
        <u val="single"/>
        <color rgb="FF1155CC"/>
      </rPr>
      <t>https://doi.org/10.1145/3749547</t>
    </r>
  </si>
  <si>
    <t xml:space="preserve">radar: TI AWR1843BOOST $30 in bulk, data-collection board: TI DCA1000EVM; small solenoid to tap the plant (approx. $50); mini-PC</t>
  </si>
  <si>
    <t xml:space="preserve">System and Experiment is decribed in detail, no code Instructions</t>
  </si>
  <si>
    <t xml:space="preserve">MotionLeaf measures leaf vibration frequencies with an average error of 0.0176 Hz, less than half of the 0.0416 Hz error of the state-of-the-art approach (mmVib [26]). In practical drought experiments, MotionLeaf effectively indicated water stress through observed day-night frequency variations below 0.06 Hz over a seven-day trial.</t>
  </si>
  <si>
    <t>2025_Sep_074.pdf</t>
  </si>
  <si>
    <r>
      <rPr/>
      <t xml:space="preserve">Yunzhong Chen, Jiadi Yu, Hao Kong, Daqiang Zhang, Yanmin Zhu, Hong-Ning Dai, Yi-Chao Chen, and Linghe Kong. 2025. EMTap: Eavesdropping on Sound Transmitted via Audio Cables by Sensing Electromagnetic Variation Using RFID. Proc. ACM Interact. Mob. Wearable Ubiquitous Technol. 9, 3, Article 74 (September 2025), 25 pages. </t>
    </r>
    <r>
      <rPr>
        <u val="single"/>
        <color rgb="FF1155CC"/>
      </rPr>
      <t>https://doi.org/10.1145/3749459</t>
    </r>
  </si>
  <si>
    <r>
      <rPr>
        <u val="single"/>
        <color rgb="FF434343"/>
      </rPr>
      <t>https://datashare.is.ed.ac.uk/handle/10283/3443</t>
    </r>
    <r>
      <rPr/>
      <t>;</t>
    </r>
  </si>
  <si>
    <t xml:space="preserve">recorded data not available, sound datasets used are referenced;"Philippa Demonte. 2019. HARVARD speech corpus-audio recording. (2019)"</t>
  </si>
  <si>
    <t xml:space="preserve">Impinj Speedway R420 Commercial off-the-shelf (COTS) RFID reader, USRP N210 with a SBX daugtherboard</t>
  </si>
  <si>
    <t xml:space="preserve">Algorithm and Experiment is decribed in detail, no code Instructions</t>
  </si>
  <si>
    <t xml:space="preserve">EMTap achieves an average Mel-Cepstral Distortion (MCD) of 5.49 and Word Error Rate (WER) of 16.19% for eavesdropping on sound transmitted via audio cables.</t>
  </si>
  <si>
    <t>2025_Sep_075.pdf</t>
  </si>
  <si>
    <r>
      <rPr/>
      <t xml:space="preserve">Shaan Chopra, Katherine Juarez, James Fogarty, and Sean A. Munson. 2025. Engagements with Generative AI and Personal Health Informatics: Opportunities for Planning, Tracking, Reflecting, and Acting around Personal Health Data. Proc. ACM Interact. Mob. Wearable Ubiquitous Technol. 9, 3, Article 75 (September 2025), 33 pages. </t>
    </r>
    <r>
      <rPr>
        <u val="single"/>
        <color rgb="FF1155CC"/>
      </rPr>
      <t>https://doi.org/10.1145/3749503</t>
    </r>
  </si>
  <si>
    <t xml:space="preserve">Survey and Study Protocol available,</t>
  </si>
  <si>
    <t xml:space="preserve">Participants formulated questions based on their data and reflected on GAI responses in a variety of ways; participants described opportunities for GAI support in self-tracking for health: deciding what to track and how, tracking regimes, interpreting and acting on data-based insights</t>
  </si>
  <si>
    <t>2025_Sep_076.pdf</t>
  </si>
  <si>
    <r>
      <rPr/>
      <t xml:space="preserve">Akshat Choube, Ha Le, Jiachen Li, Kaixin Ji, Vedant Das Swain, and Varun Mishra. 2025. GLOSS: Group of LLMs for Open-ended Sensemaking of Passive Sensing Data for Health and Wellbeing. Proc. ACM Interact. Mob. Wearable Ubiquitous Technol. 9, 3, Article 76 (September 2025), 32 pages. </t>
    </r>
    <r>
      <rPr>
        <u val="single"/>
        <color rgb="FF1155CC"/>
      </rPr>
      <t>https://doi.org/10.1145/3749474</t>
    </r>
  </si>
  <si>
    <t>https://github.com/UbiWell/GLOSS</t>
  </si>
  <si>
    <t xml:space="preserve">The first author provided one day (08/28/2025) of their data as sample data, except location database in CSV Format. So after setting up GLOSS, users can query the data. (GitHuB)</t>
  </si>
  <si>
    <t xml:space="preserve">to gather data to use you would need a phone, wearable</t>
  </si>
  <si>
    <t xml:space="preserve">API keys; app to gather data</t>
  </si>
  <si>
    <t xml:space="preserve">Instructions in the Github repo; Method and System described</t>
  </si>
  <si>
    <t xml:space="preserve">GLOSS significantly outperforms commonly used Retrieval-Augmented Generation (RAG) technique, achieving 87.93% accuracy and 66.19% consistency compared to RAG’s 29.31% accuracy and 52.85% consistency</t>
  </si>
  <si>
    <t>2025_Sep_077.pdf</t>
  </si>
  <si>
    <r>
      <rPr/>
      <t xml:space="preserve">Alvise Dei Rossi, Davide Marzorati, Tiziano Gerosa, Radoslava Švihrová, Silvia Santini, and Francesca Faraci. 2025. Unobtrusive Perceived Sleep Quality Monitoring in the Wild. Proc. ACM Interact. Mob. Wearable Ubiquitous Technol. 9, 3, Article 77 (September 2025), 26 pages. </t>
    </r>
    <r>
      <rPr>
        <u val="single"/>
        <color rgb="FF1155CC"/>
      </rPr>
      <t>https://doi.org/10.1145/3749502</t>
    </r>
  </si>
  <si>
    <t xml:space="preserve">Recorded dataset missing</t>
  </si>
  <si>
    <t xml:space="preserve">Garmin Vivosmart 5 for participants of study</t>
  </si>
  <si>
    <t xml:space="preserve">RENEWAL, a multi-source, multi-method data collection system [24]</t>
  </si>
  <si>
    <t xml:space="preserve">modeling and data handling described, study protocol</t>
  </si>
  <si>
    <t xml:space="preserve">population-level models are viable for unobtrusive prediction of perceived sleep quality on a daily basis, achieving the best median performance of ROC AUC 0.715, F1 0.494, and BA 0.666</t>
  </si>
  <si>
    <t>2025_Sep_078.pdf</t>
  </si>
  <si>
    <r>
      <rPr/>
      <t xml:space="preserve">Yongheng Deng, Ningxin He, Xinyi Li, Fan Wu, Yaoxue Zhang, and Ju Ren. 2025. Cross-Modal Federated Learning among Unimodal Devices. Proc. ACM Interact. Mob. Wearable Ubiquitous Technol. 9, 3, Article 78 (September 2025), 26 pages. </t>
    </r>
    <r>
      <rPr>
        <u val="single"/>
        <color rgb="FF1155CC"/>
      </rPr>
      <t>https://doi.org/10.1145/3749467</t>
    </r>
  </si>
  <si>
    <t xml:space="preserve">Software Development</t>
  </si>
  <si>
    <t xml:space="preserve">Framework is not available</t>
  </si>
  <si>
    <r>
      <rPr>
        <u val="single"/>
        <color rgb="FF434343"/>
      </rPr>
      <t>https://archive.ics.uci.edu/dataset/240/human+activity+recognition+using+smartphones</t>
    </r>
    <r>
      <rPr>
        <color indexed="64"/>
      </rPr>
      <t>;</t>
    </r>
    <r>
      <rPr>
        <u val="single"/>
        <color rgb="FF1155CC"/>
      </rPr>
      <t>https://www.kaggle.com/datasets/niloy333/kuhar</t>
    </r>
    <r>
      <rPr>
        <color indexed="64"/>
      </rPr>
      <t>;</t>
    </r>
    <r>
      <rPr>
        <u val="single"/>
        <color rgb="FF1155CC"/>
      </rPr>
      <t>https://archive.ics.uci.edu/dataset/231/pamap2+physical+activity+monitoring</t>
    </r>
    <r>
      <rPr>
        <color indexed="64"/>
      </rPr>
      <t>;</t>
    </r>
    <r>
      <rPr>
        <u val="single"/>
        <color rgb="FF1155CC"/>
      </rPr>
      <t>https://www.kaggle.com/datasets/dasmehdixtr/berkeley-multimodal-human-action-database</t>
    </r>
    <r>
      <rPr>
        <color indexed="64"/>
      </rPr>
      <t>;</t>
    </r>
    <r>
      <rPr>
        <u val="single"/>
        <color rgb="FF1155CC"/>
      </rPr>
      <t>https://archive.ics.uci.edu/dataset/256/daily+and+sports+activities</t>
    </r>
  </si>
  <si>
    <t xml:space="preserve">Input Data is used to show the perfomance of the framework</t>
  </si>
  <si>
    <t xml:space="preserve">no hardware is required since input data, which is supposed to come from other devices, is already given</t>
  </si>
  <si>
    <t xml:space="preserve">Abstract Descprition of the baseline Algorithm is given. There are no Instructions to replicate the results or the experiments, since the framework itself is not been made public.</t>
  </si>
  <si>
    <t xml:space="preserve">new learning method to train a multimodal model with unimodal devices with missing labels; Development of a new Framework to use this method; This novel Framework outperfoms state-of-the-art baselines significantly (conclusion).</t>
  </si>
  <si>
    <t>2025_Sep_079.pdf</t>
  </si>
  <si>
    <r>
      <rPr/>
      <t xml:space="preserve">Long Fan, Lei Xie, Shiyuan Ma, Yanling Bu, Chuyu Wang, Weibang Pan, Lu Ke, and Sanglu Lu. 2025. SpiroSense: Transforming Smartphones into Pulmonary Metrics Monitors with Ultrasonic Technology. Proc. ACM Interact. Mob. Wearable Ubiquitous Technol. 9, 3, Article 79 (September 2025), 26 pages. </t>
    </r>
    <r>
      <rPr>
        <u val="single"/>
        <color rgb="FF1155CC"/>
      </rPr>
      <t>https://doi.org/10.1145/3749489</t>
    </r>
  </si>
  <si>
    <t xml:space="preserve">A dataset is collected for training the NoiseClear, Machine learning Algorithm, which is used to reduce the Noise of the input, when  using the Spirosense System.</t>
  </si>
  <si>
    <t xml:space="preserve">a self made 3d model is used in the experiments. Also a Anemometer, a Blower, and a Spirometer.</t>
  </si>
  <si>
    <t xml:space="preserve">Authors describe the experimental Setup , the theoretical background of the Algorithm ,  also how the dataset was collected. However, any Instuctions for reproducing their empirical study with the novel spirosense software is not given.</t>
  </si>
  <si>
    <t xml:space="preserve">Spirosense is a low cost system, build for use at home, for assessing respiratoral health. it is claimed, that it outputs medical metrics like FED and FVC accurately, while it also costs a fraction of the equipment that is normally used to assess these metrics.  </t>
  </si>
  <si>
    <t>2025_Sep_080.pdf</t>
  </si>
  <si>
    <r>
      <rPr/>
      <t xml:space="preserve">Nan Gao, Yibin Liu, Xin Tang, Yanyan Liu, Chun Yu, Yun Huang, Yuntao Wang, Flora D. Salim, Xuhai Xu, Jun Wei, and Yuanchun Shi. 2025. The Homework Wars: Exploring Emotions, Behaviours, and Conflicts in Parent-Child Homework Interactions. Proc. ACM Interact. Mob. Wearable Ubiquitous Technol. 9, 3, Article 80 (September 2025), 37 pages. </t>
    </r>
    <r>
      <rPr>
        <u val="single"/>
        <color rgb="FF1155CC"/>
      </rPr>
      <t>https://doi.org/10.1145/3749517</t>
    </r>
  </si>
  <si>
    <t xml:space="preserve">Software Development;User Study</t>
  </si>
  <si>
    <t xml:space="preserve">The authors conducted a User Study for building their own dataset. They then analysed this dataset with a LLM-based framework, that is not referenced in the Publication.</t>
  </si>
  <si>
    <t xml:space="preserve">questionnaire's, survey's, audio recordings with an additional questionnaire each are needed, but not given. The Authors give insight about how the structure of the data, and how one could reproduce this user study.</t>
  </si>
  <si>
    <t xml:space="preserve">The LLM-based framework, which the authors developed and validated , is not given. originally it was used, to work on the input data, by extracting the  underlying   parental behaviour or the category of a conflict.</t>
  </si>
  <si>
    <t xml:space="preserve">The Strucure of the data is described, so one could collect a dataset by himself.</t>
  </si>
  <si>
    <t xml:space="preserve">The output of the Author's LLm-based framework, which descirbed the Conflicts and the parental Behaviour in relation to their child, were in agreement with Annotations of four human experts. 2.: Positive, Negative and neutral parental behaviours were significantly linked to certain conflicts.</t>
  </si>
  <si>
    <t>2025_Sep_081.pdf</t>
  </si>
  <si>
    <r>
      <rPr/>
      <t xml:space="preserve">Yifan Guo, Zhu Wang, Qian Qin, Yangqian Lei, Qiwen Gan, Zhuo Sun, Chao Chen, Bin Guo, and Zhiwen Yu. 2025. MmPencil: Toward Writing-Style-Independent In-Air Handwriting Recognition via mmWave Radar and Large Vision-Language Model. Proc. ACM Interact. Mob. Wearable Ubiquitous Technol. 9, 3, Article 81 (September 2025), 30 pages. </t>
    </r>
    <r>
      <rPr>
        <u val="single"/>
        <color rgb="FF1155CC"/>
      </rPr>
      <t>https://doi.org/10.1145/3749504</t>
    </r>
  </si>
  <si>
    <t>1www.kaggle.com/datasets/mmpencil/mmpencil-dataset</t>
  </si>
  <si>
    <t xml:space="preserve">The referenced Dataset is used to train the VLM, in order to detect which word was written based on the mm Wave Data.</t>
  </si>
  <si>
    <t xml:space="preserve">no custom, or restricted-acecss hardware is being used</t>
  </si>
  <si>
    <t xml:space="preserve">Open Source VLM's are being used, no proprietary software is needed</t>
  </si>
  <si>
    <t xml:space="preserve">Experiment Setup is explained</t>
  </si>
  <si>
    <t xml:space="preserve">The proposed mmPencil System is able to accurately recognize handwritten words written in air, while it performs really robust. Results are not influenced by diverse writing styles( varying angles, ranges, sizes, directions), varying word lengths or enviromental conditions or user actions.</t>
  </si>
  <si>
    <t>2025_Sep_082.pdf</t>
  </si>
  <si>
    <r>
      <rPr/>
      <t xml:space="preserve">Zehan Guo, Binbin Zhang, Jinbo Chen, Yang Hu, and Yan Chen. 2025. Contactless Fine-grained Cardiac Events Detection and Segmentation with Radio Frequency Signals. Proc. ACM Interact. Mob. Wearable Ubiquitous Technol. 9, 3, Article 82 (September 2025), 28 pages. </t>
    </r>
    <r>
      <rPr>
        <u val="single"/>
        <color rgb="FF1155CC"/>
      </rPr>
      <t>https://doi.org/10.1145/3749457</t>
    </r>
  </si>
  <si>
    <t xml:space="preserve">Hardware Development</t>
  </si>
  <si>
    <t xml:space="preserve">The required data is needed for the correct function of the proposed diagnosis System. The System works on the basis of this data and serves as a monitoring system for cardiac Events from Patients. Beacuse of Data Protection Rights the data was not allowed to be published, therefore it is described how it was collected, so people could collect them themselves.</t>
  </si>
  <si>
    <t xml:space="preserve">mm Wave Radar, 3 Transmitters, 4 Receivers, ECG Device, Nvidia RTX 4090, Intel Xeon Gold 5218R</t>
  </si>
  <si>
    <t xml:space="preserve">Python 3.9, Matlab R2023a, several Modules for Python,</t>
  </si>
  <si>
    <t xml:space="preserve">Instructions refer to establish a dataset by yourself. Instructions on how to structure and analyze your data is made transparent.</t>
  </si>
  <si>
    <t xml:space="preserve">a mmWave-based sensing systems is proposed, which accurately detects and segments fine-grained cardiac events, without the needability of body-contact. The System outperforms existing baselines, reducing the estimation error for cardiac intervals to 14.9 ms.</t>
  </si>
  <si>
    <t>2025_Sep_083.pdf</t>
  </si>
  <si>
    <r>
      <rPr/>
      <t xml:space="preserve">Philipp Hallgarten, Verena Jasmin Hallitschke, Enkelejda Kasneci, Michael Beigl, and Tobias Grosse-Puppendahl. 2025. RouteLLM: A Large Language Model with Native Route Context Understanding to Enable Context-Aware Reasoning. Proc. ACM Interact. Mob. Wearable Ubiquitous Technol. 9, 3, Article 83 (September 2025), 34 pages. </t>
    </r>
    <r>
      <rPr>
        <u val="single"/>
        <color rgb="FF1155CC"/>
      </rPr>
      <t>https://doi.org/10.1145/3749552</t>
    </r>
  </si>
  <si>
    <t xml:space="preserve">https://mistral.ai/news/announcing-mistral-7b, RouteLLM toolkit: https://github.com/verena-hallitschke/routellm</t>
  </si>
  <si>
    <t xml:space="preserve">Reproducing the Results requires a lot of Data for training the LLM. While at first glance everything needed is made public, it could still be, that something is missing. Clarification needs further analysis.</t>
  </si>
  <si>
    <r>
      <rPr>
        <u val="single"/>
        <color rgb="FF434343"/>
      </rPr>
      <t>https://huggingface.co/RouteLLM-Dataset</t>
    </r>
    <r>
      <rPr/>
      <t xml:space="preserve"> </t>
    </r>
  </si>
  <si>
    <t xml:space="preserve">The LLM needs to be runned on local Hardware</t>
  </si>
  <si>
    <t xml:space="preserve">Instructions are present in the Readme file of the git Repo. It is described what needs to be downloaded and installed, and also which commands needs to be runned.</t>
  </si>
  <si>
    <t xml:space="preserve">Proof of concept, thath LLM's can work and reason with geographical route context data. Two Datasets namely ContextualRoutes and LabeledRoutes are published. a Route Tokenizer is porsed, that converst route context into tokens. RouteLLM was developed, which is claimed to be the first LLM, able to unerstand routes context natively, at token-level. Route LLM performs Zeo-Shot reasoning on route context data.</t>
  </si>
  <si>
    <t>2025_Sep_084.pdf</t>
  </si>
  <si>
    <r>
      <rPr/>
      <t xml:space="preserve">Yinghui He, Mingming Xu, Zhe Chen, Fu Xiao, and Jun Luo. 2025. Beam-Fi: Integrated Sensing and Communication via MU-MIMO upon Commodity Wi-Fi. Proc. ACM Interact. Mob. Wearable Ubiquitous Technol. 9, 3, Article 84 (September 2025), 22 pages. </t>
    </r>
    <r>
      <rPr>
        <u val="single"/>
        <color rgb="FF1155CC"/>
      </rPr>
      <t>https://doi.org/10.1145/3749477</t>
    </r>
  </si>
  <si>
    <t xml:space="preserve">Beam-Fi utilizes a custom modification of a AP's firmware. However, it can still be implemented without this, using a raspberry Pi equipped with ALFA AWUS036ACM.</t>
  </si>
  <si>
    <t xml:space="preserve">Multiple Wifi-Devices (Smartphones), Access-Point(AP), (Raspberry Pi + Alfa AWUS036ACM) Sensing receivers,no proprietary hardware is needed.</t>
  </si>
  <si>
    <t xml:space="preserve">Nothing proprietary, Python Pytorch,</t>
  </si>
  <si>
    <t xml:space="preserve">subalgorithms like User Discovery and User grouping strategy in Beam-Fi are explained. There is no Repo, therefore there are no instructions for executing code</t>
  </si>
  <si>
    <t xml:space="preserve">Beam-FI is proposed, a WI-Fi ISAC system exploiting MU-MIMO upon commodity Wi-Fi.  Beam-FI supports Wi-Fi ISAC while incurring almost no cost of communications in scenarios like file download and video streaming.</t>
  </si>
  <si>
    <t>2025_Sep_085.pdf</t>
  </si>
  <si>
    <r>
      <rPr/>
      <t xml:space="preserve">Zhixiang He, Fengyuan Ran, Jing Chen, Yangyang Gu, Kun He, Ruiying Du, Ju Jia, and Cong Wu. 2025. HT-Auth: Secure VR Headset Authentication via Subtle Head Tremors. Proc. ACM Interact. Mob. Wearable Ubiquitous Technol. 9, 3, Article 85 (September 2025), 26 pages. </t>
    </r>
    <r>
      <rPr>
        <u val="single"/>
        <color rgb="FF1155CC"/>
      </rPr>
      <t>https://doi.org/10.1145/3749980</t>
    </r>
  </si>
  <si>
    <t>https://anonymous.4open.science/r/HT-OpenSource-10C3/.</t>
  </si>
  <si>
    <t xml:space="preserve">Repo includes only the source code with a to-be downloaded readme. The Readme describes where the to be used dataset is located and can be downloaded from.</t>
  </si>
  <si>
    <t>https://www.kaggle.com/datasets/miracle0723/ht-dataset</t>
  </si>
  <si>
    <t xml:space="preserve">described in the Readme of the Repo</t>
  </si>
  <si>
    <t xml:space="preserve">2 VR-Headsets are used: one mobile and one standalone version</t>
  </si>
  <si>
    <t xml:space="preserve">described in 4.1.3: two experimental platforms are being used in the setup, which are both developed by the Authors. They are not made accessible</t>
  </si>
  <si>
    <t xml:space="preserve">Repo describes Structore of data, and which should be runned via python interpreter.</t>
  </si>
  <si>
    <t xml:space="preserve">HT_Auth is proposed, which is a novel authentification method for VR-users uitilizing subtle head tremors. also a siamese network based transfer learning algorithm is proposed, to authenticate newly registered users efficiently. HT_auth defends against blind and impersonation attacks.</t>
  </si>
  <si>
    <t>2025_Sep_086.pdf</t>
  </si>
  <si>
    <r>
      <rPr/>
      <t xml:space="preserve">Haiyan Hu, Yinan Zhu, Shanwen Chen, Qianyi Huang, and Qian Zhang. 2025. FruitPhone: Detecting Sugar Content in Fruits Using Unmodified Smartphones with Spectral Imaging. Proc. ACM Interact. Mob. Wearable Ubiquitous Technol. 9, 3, Article 86 (September 2025), 29 pages. </t>
    </r>
    <r>
      <rPr>
        <u val="single"/>
        <color rgb="FF1155CC"/>
      </rPr>
      <t>https://doi.org/10.1145/3749470</t>
    </r>
  </si>
  <si>
    <t xml:space="preserve">The software, which was developed for assessing the Fruit Quality, was not published</t>
  </si>
  <si>
    <t>https://drive.google.com/drive/folders/1jJQgOuB_yFYtod44AE5TEXKQXsivVbmj?usp=sharing</t>
  </si>
  <si>
    <t xml:space="preserve">no proprietary hardware is needed.</t>
  </si>
  <si>
    <t xml:space="preserve">Instructions include the general Algorithm and Structure of the FruitPhone Software, that was not published. They also include how to reproduce the Experiments, where the FruitSugar was assesed, compared to Devices like Sacharometers which offer a ground truth.</t>
  </si>
  <si>
    <t xml:space="preserve">FruitPhone, smartphone-based spectral imaging system, can accurately quantify the sugar content of various fruits. It offers a high degree of accuracy, closely rivaling expensive desktop spectrometers. It can be used effortlessly.</t>
  </si>
  <si>
    <t>2025_Sep_087.pdf</t>
  </si>
  <si>
    <r>
      <rPr/>
      <t xml:space="preserve">Shuming Hu, Na Wang, Kaixing Zhao, Yao Jing, Ying Zhang, Zhu Wang, Bin Guo, and Zhiwen Yu. 2025. Masterpiece Creation: An AI-powered Robotic Calligraphy Creation System. Proc. ACM Interact. Mob. Wearable Ubiquitous Technol. 9, 3, Article 87 (September 2025), 34 pages. </t>
    </r>
    <r>
      <rPr>
        <u val="single"/>
        <color rgb="FF1155CC"/>
      </rPr>
      <t>https://doi.org/10.1145/3749957</t>
    </r>
  </si>
  <si>
    <t xml:space="preserve">Hardware Development;Software Development</t>
  </si>
  <si>
    <t xml:space="preserve">the Masterpiece Creation model is proposed, which is a system that consists of the  Authors written Software, a Writing Robot(Hardware), and a LLM which evaluates the style of the users caligraphy</t>
  </si>
  <si>
    <t xml:space="preserve">generation of calligraphers' fonts : Lanting and Baota datasets, Section 4.5.1 it is said, that the authors collected a dataset for the evaluating LLM themselves. Unfortunately is not referenced/published.</t>
  </si>
  <si>
    <t xml:space="preserve">proprietary hardware needed. robotic Arm is Author's developed hardware.. ~ 162$. Raspberry Pi 4B platform</t>
  </si>
  <si>
    <t xml:space="preserve">workflow of the robot is shown.</t>
  </si>
  <si>
    <t xml:space="preserve">Masterpiece Creation System is a poertablel low cost, mobile, real time interactice caligraphy taching tool. Judging by a User- Diary Experiment with 10 Participants, it simplifies the caligraphy learning journey of Participants, while keeping them engaced and motivated.</t>
  </si>
  <si>
    <t>2025_Sep_088.pdf</t>
  </si>
  <si>
    <t xml:space="preserve">Yifei Huang, Jilan Xu, Baoqi Pei, Lijin Yang, Mingfang Zhang, Yuping He, Guo Chen, Xinyuan Chen, Yaohui Wang, Zheng Nie, Jinyao Liu, Dechen Lin, Fang Fang, Kunpeng Li, Chang Yuan, Yu Qiao, Yali Wang, and Limin Wang. 2025. Vinci: A Real-time Smart Assistant Based on Egocentric Vision-language Model for Portable Devices. Proc. ACM Interact. Mob. Wearable Ubiquitous Technol. 9, 3, Article 88 (September 2025), 33 pages. https://doi.org/10.1145/3749513</t>
  </si>
  <si>
    <t>https://github.com/OpenGVLab/vinci</t>
  </si>
  <si>
    <t xml:space="preserve">Public repository includes frontend, backend, and models.</t>
  </si>
  <si>
    <t xml:space="preserve">Uses public datasets for training/evaluation; no new dataset released; links not provided in paper.</t>
  </si>
  <si>
    <t xml:space="preserve">devices (smartphone/smart glasses/wearable cameras) and a commodity GPU; no custom hardware.</t>
  </si>
  <si>
    <t xml:space="preserve">Open-source/public code; no proprietary software required.</t>
  </si>
  <si>
    <t xml:space="preserve">Paper and repo describe setup/usage; no complete step-by-step for all experiments.</t>
  </si>
  <si>
    <t xml:space="preserve">In this paper, we introduced Vinci, a vision-language system designed to provide real-time, comprehensive AI assistance on portable devices.</t>
  </si>
  <si>
    <t>2025_Sep_089.pdf</t>
  </si>
  <si>
    <t xml:space="preserve">Yongzhi Huang, Jiayi Zhao, and Kaishun Wu. 2025. Reconstructing Ear Canal Channels for Fine-Grained Detection of Tympanic Membrane Changes. Proc. ACM Interact. Mob. Wearable Ubiquitous Technol. 9, 3, Article 89 (September 2025), 48 pages. https://doi.org/10.1145/3749516</t>
  </si>
  <si>
    <t xml:space="preserve">Data collected from 44 volunteers (88 ears) and phantoms.</t>
  </si>
  <si>
    <t xml:space="preserve">in-ear headphones with MEMS mic plus Android smartphone; no custom medical hardware.</t>
  </si>
  <si>
    <t xml:space="preserve">Android app (AAudio/MMAP) on commodity phone; no proprietary software required.</t>
  </si>
  <si>
    <t xml:space="preserve">Algorithms, setup, and evaluation described; no complete step-by-step reproduction.</t>
  </si>
  <si>
    <t xml:space="preserve">EarCSI achieves over 95% classification accuracy and under 5% reconstruction error across 88 ears using multiple commercial headphones, operating in real-time (168 ms latency). It enables passive and continuous monitoring of tympanic responses during everyday listening, offering a new pathway for personalized auditory health sensing.</t>
  </si>
  <si>
    <t>2025_Sep_090.pdf</t>
  </si>
  <si>
    <r>
      <rPr/>
      <t xml:space="preserve">Goshi Imamura and Atsushi Nakazawa. 2025. Presentation Quality Assessment through Audience 3D Facial and Head Direction Using Conventional Cameras. Proc. ACM Interact. Mob. Wearable Ubiquitous Technol. 9, 3, Article 90 (September 2025), 15 pages. </t>
    </r>
    <r>
      <rPr>
        <u val="single"/>
        <color rgb="FF1155CC"/>
      </rPr>
      <t>https://doi.org/10.1145/3749540</t>
    </r>
  </si>
  <si>
    <t xml:space="preserve">Video dataset (18 presenters, 28–32 audience members) with subjective ratings; no dataset release or link.</t>
  </si>
  <si>
    <t xml:space="preserve">Two conventional cameras (GoPro Hero 12 ×2; Panasonic VX-2M); no custom hardware.</t>
  </si>
  <si>
    <t xml:space="preserve">Uses Amazon Rekognition for face landmarks/orientation and PnP-based 3D estimation; no repository provided.</t>
  </si>
  <si>
    <t xml:space="preserve">Methods, camera setup, RoIs, and equations described; no full step-by-step or runnable pipeline.</t>
  </si>
  <si>
    <t xml:space="preserve">We proposed a novel metric, the target gaze rate (TGR), which represents the percentage of the audience looking at the presentation material or the presenter per unit of time and showed a significant correlation with the subjective evaluation of the presentation.</t>
  </si>
  <si>
    <t>2025_Sep_091.pdf</t>
  </si>
  <si>
    <r>
      <rPr/>
      <t xml:space="preserve">Shakyani Jayasiriwardene, Benjamin Tag, Anusha Withana, and Zhanna Sarsenbayeva. 2025. More Than Words: The Impact of Voice Assistant Personality Traits on Failure Mitigation. Proc. ACM Interact. Mob. Wearable Ubiquitous Technol. 9, 3, Article 91 (September 2025), 33 pages. </t>
    </r>
    <r>
      <rPr>
        <u val="single"/>
        <color rgb="FF1155CC"/>
      </rPr>
      <t>https://doi.org/10.1145/3749518</t>
    </r>
  </si>
  <si>
    <t>2025_Sep_092.pdf</t>
  </si>
  <si>
    <r>
      <rPr/>
      <t xml:space="preserve">Kaixin Ji, Danula Hettiachchi, Falk Scholer, Flora D. Salim, and Damiano Spina. 2025. SenseSeek Dataset: Multimodal Sensing to Study Information Seeking Behaviors. Proc. ACM Interact. Mob. Wearable Ubiquitous Technol. 9, 3, Article 92 (September 2025), 29 pages. </t>
    </r>
    <r>
      <rPr>
        <u val="single"/>
        <color rgb="FF1155CC"/>
      </rPr>
      <t>https://doi.org/10.1145/3749501</t>
    </r>
  </si>
  <si>
    <t xml:space="preserve">Dataset Paper;User Study</t>
  </si>
  <si>
    <t>https://github.com/ADMSCentre/SenseSeek-Dataset-code</t>
  </si>
  <si>
    <t xml:space="preserve">Repository includes instructions, notebooks, and training/analysis code.</t>
  </si>
  <si>
    <t>https://osf.io/waunb/?view_only=94756f9d2c7a49e094ae42d494c9516a</t>
  </si>
  <si>
    <t xml:space="preserve">Public OSF release with raw &amp; cleaned sensor data, 258 extracted features, task materials, and gaze-annotated recordings.</t>
  </si>
  <si>
    <t xml:space="preserve">Consumer-grade devices (Empatica E4 wristband, Emotiv EPOC X EEG headset, Tobii Fusion eye-tracker); no custom hardware. (Not needed if reusing the released dataset.)</t>
  </si>
  <si>
    <t xml:space="preserve">Python toolchain used in the repo (e.g., MNE, NeuroKit2, PyPlr, scikit-learn).</t>
  </si>
  <si>
    <t xml:space="preserve">OSF page and GitHub repo provide usage instructions and notebooks.</t>
  </si>
  <si>
    <t xml:space="preserve">To our knowledge, SenseSeek is the first dataset that characterizes multiple stages involved in information seeking with physiological signals collected from multiple sensors.</t>
  </si>
  <si>
    <t>2025_Sep_093.pdf</t>
  </si>
  <si>
    <r>
      <rPr/>
      <t xml:space="preserve">Le Kang, Ruotong Yang, Yihui Liu, Anfu Zhou, Huadong Ma, and Hao Cui. 2025. PASS: A Novel PPG-based Aortic Stenosis Screening System. Proc. ACM Interact. Mob. Wearable Ubiquitous Technol. 9, 3, Article 93 (September 2025), 25 pages. </t>
    </r>
    <r>
      <rPr>
        <u val="single"/>
        <color rgb="FF1155CC"/>
      </rPr>
      <t>https://doi.org/10.1145/3749548</t>
    </r>
  </si>
  <si>
    <t xml:space="preserve">Clinical dataset of 325 subjects; paper states it will be made public, but no link is provided.</t>
  </si>
  <si>
    <t xml:space="preserve">COTS PPG sensor (MAX30101) with a 3D-printed finger-clip enclosure; no custom medical hardware required.</t>
  </si>
  <si>
    <t xml:space="preserve">MATLAB 2021b for acquisition; Python (SciPy/NumPy) for preprocessing; PyTorch training on Ubuntu with NVIDIA GPU.</t>
  </si>
  <si>
    <t xml:space="preserve">Detailed pipeline, hyperparameters, and implementation info; no full replication package.</t>
  </si>
  <si>
    <t xml:space="preserve">Our system achieves 91.92% sensitivity and 92.75% specificity, demonstrating strong potential for population-level AS screening using consumer-grade devices.</t>
  </si>
  <si>
    <t>2025_Sep_094.pdf</t>
  </si>
  <si>
    <r>
      <rPr/>
      <t xml:space="preserve">Yumin Kang, Jeongju Park, Seokhyun Hwang, Minwoo Seong, Gwangbin Kim, and SeungJun Kim. 2025. You're the One Whom I'm Talking To: The Role of Contextual External Human-Machine Interfaces in Multi-Road User Conflict Scenarios. Proc. ACM Interact. Mob. Wearable Ubiquitous Technol. 9, 3, Article 94 (September 2025), 37 pages. </t>
    </r>
    <r>
      <rPr>
        <u val="single"/>
        <color rgb="FF1155CC"/>
      </rPr>
      <t>https://doi.org/10.1145/3749473</t>
    </r>
  </si>
  <si>
    <t>2025_Sep_095.pdf</t>
  </si>
  <si>
    <r>
      <rPr/>
      <t xml:space="preserve">Mohammad Nur Hossain Khan, David creswell, Jordan Albert, Patrick O'Connell, Shawn Fallon, Mathew Polowitz, Xuhai orson Xu, and Bashima islam. 2025. Mindfulness Meditation and Respiration: Accelerometer-based Respiration Rate and Mindfulness Progress Estimation to Enhance App Engagement and Mindfulness Skills. Proc. ACM Interact. Mob. Wearable Ubiquitous Technol. 9, 3, Article 95 (September 2025), 32 pages. </t>
    </r>
    <r>
      <rPr>
        <u val="single"/>
        <color rgb="FF1155CC"/>
      </rPr>
      <t>https://doi.org/10.1145/3749498</t>
    </r>
  </si>
  <si>
    <t>https://bashlab.github.io/meditite_project/</t>
  </si>
  <si>
    <t xml:space="preserve">Project page with released code referenced in the paper.</t>
  </si>
  <si>
    <t xml:space="preserve">Released dataset referenced by the paper (respiration/accelerometer sessions).</t>
  </si>
  <si>
    <t xml:space="preserve">Commodity smartphone accelerometer; Hexoskin used for ground-truth collection; no custom hardware required.</t>
  </si>
  <si>
    <t xml:space="preserve">Python-based backend; cloud pipeline (Firebase/Cloud Functions) described; standard DL toolchain.</t>
  </si>
  <si>
    <t xml:space="preserve">Paper details algorithms and app integration; links to code/data provided, but no full end-to-end replication guide.</t>
  </si>
  <si>
    <t xml:space="preserve">Additionally, our deep learning model for mindfulness skill estimation using accelerometer data achieved robust performance, with F1 scores of 82% for concentration, 80% for sensory clarity, and 84% for equanimity.</t>
  </si>
  <si>
    <t>2025_Sep_096.pdf</t>
  </si>
  <si>
    <r>
      <rPr/>
      <t xml:space="preserve">Youngji Koh, Chanhee Lee, Eunki Joung, Hyunsoo Lee, and Uichin Lee. 2025. Harnessing Home IoT for Self-tracking Emotional Wellbeing: Behavioral Patterns, Self-reflection, and Privacy Concerns. Proc. ACM Interact. Mob. Wearable Ubiquitous Technol. 9, 3, Article 96 (September 2025), 36 pages. </t>
    </r>
    <r>
      <rPr>
        <u val="single"/>
        <color rgb="FF1155CC"/>
      </rPr>
      <t>https://doi.org/10.1145/3749485</t>
    </r>
  </si>
  <si>
    <t xml:space="preserve">no public dataset link provided.</t>
  </si>
  <si>
    <t xml:space="preserve">Off-the-shelf devices only (Aqara sensors: vibration, door, motion, temp/humidity, light; Withings sleep mat; Google Nest Hub 2nd Gen; Fitbit Inspire 2); no custom hardware.</t>
  </si>
  <si>
    <t xml:space="preserve">Research smartphone data-logger, context-aware ESM on Google Nest Hub, and a visualization tool; not released.</t>
  </si>
  <si>
    <t xml:space="preserve">Methods, sensor setup/placement, measures, and analysis described (figures/tables); no end-to-end replication materials.</t>
  </si>
  <si>
    <t xml:space="preserve">Our findings highlight home IoT sensing as a promising tool for tracking emotional wellbeing and provide design implications for future sensor-enabled home healthcare services.</t>
  </si>
  <si>
    <t>2025_Sep_097.pdf</t>
  </si>
  <si>
    <r>
      <rPr/>
      <t xml:space="preserve">Maisy Lam, Joshua Herrera, Sayed Saad Afzal, Kaichen Zhou, and Fadel Adib. 2025. MiNav: Autonomous Drone Navigation Indoors Using Millimeter-Waves. Proc. ACM Interact. Mob. Wearable Ubiquitous Technol. 9, 3, Article 97 (September 2025), 32 pages. </t>
    </r>
    <r>
      <rPr>
        <u val="single"/>
        <color rgb="FF1155CC"/>
      </rPr>
      <t>https://doi.org/10.1145/3749464</t>
    </r>
  </si>
  <si>
    <t xml:space="preserve">Algorithm Development;Hardware Development;Software Development</t>
  </si>
  <si>
    <t xml:space="preserve">No dataset release or download link; results based on authors’ flights and lab/tunnel experiments.</t>
  </si>
  <si>
    <t xml:space="preserve">Custom-built drone and custom 24 GHz mmWave backscatter tags; COTS components incl. Infineon Position2Go radar, Pixhawk V6X controller, Raspberry Pi 4, and Benewake TFMini Plus LiDAR.</t>
  </si>
  <si>
    <t xml:space="preserve">Ubuntu-based pipeline with Python value-iteration path planning and onboard localization; no proprietary software required.</t>
  </si>
  <si>
    <t xml:space="preserve">Paper details architecture, algorithms, component list, and evaluation setup; no full build guide or replication package.</t>
  </si>
  <si>
    <t xml:space="preserve">We present MiNav, the first fully autonomous end-to-end millimeter wave navigation system for indoor drones.</t>
  </si>
  <si>
    <t>2025_Sep_098.pdf</t>
  </si>
  <si>
    <t xml:space="preserve">Bo Lan, Pei Li, Jiaxi Yin, Yunpeng Song, Ge Wang, Han Ding, Jinsong Han, and Fei Wang. 2025. XRF V2: A Dataset for Action Summarization with Wi-Fi Signals, and IMUs in Phones, Watches, Earbuds, and Glasses. Proc. ACM Interact. Mob. Wearable Ubiquitous Technol. 9, 3, Article 98 (September 2025), 41 pages. https://doi.org/10.1145/3749521</t>
  </si>
  <si>
    <t>https://github.com/aiotgroup/XRFV2</t>
  </si>
  <si>
    <t xml:space="preserve">link to datasets in github</t>
  </si>
  <si>
    <t xml:space="preserve">nvidia gpu</t>
  </si>
  <si>
    <t>cuda</t>
  </si>
  <si>
    <t xml:space="preserve">Instructions in Github;Links to dataset;Cuda Install instruction;Instruction in paper under 7 DATASET AND CODE AVAILABILITY</t>
  </si>
  <si>
    <t xml:space="preserve">novel XRF V2 dataset, designed for indoor daily activity Temporal Action Localization (TAL) and Action Summarization; XRFMamba neural network, which captures long-term dependencies in untrimmed sensory sequences and achieves the best performance with an average mAP of 78.74, outperforming the recent WiFiTAD by 5.49 points in mAP@avg while using 35% fewer parameters; new metric, Response Meaning Consistency (RMC)</t>
  </si>
  <si>
    <t>2025_Sep_099.pdf</t>
  </si>
  <si>
    <t xml:space="preserve">Chi-Jung Lee, Jiaxin Li, Tianhong Catherine Yu, Ruidong Zhang, Vipin Gunda, François Guimbretière, and Cheng Zhang. 2025. Grab-n-Go: On-the-Go Microgesture Recognition with Objects in Hand. Proc. ACM Interact. Mob. Wearable Ubiquitous Technol. 9, 3, Article 99 (September 2025), 27 pages. https://doi.org/10.1145/3749469</t>
  </si>
  <si>
    <t>https://github.com/cjlisalee/Grab-n-Go_Data;https://doi.org/10.7298/7kbd-vv75</t>
  </si>
  <si>
    <t xml:space="preserve">github just readme and information about evaluation results; doi: dataset</t>
  </si>
  <si>
    <t xml:space="preserve">wristband prototype: microphones, custom circuit boards, etc</t>
  </si>
  <si>
    <t xml:space="preserve">github readme describes ML and hardware prototype</t>
  </si>
  <si>
    <t xml:space="preserve">Grab-n-Go achieved an average recognition accuracy of 92.0%;dataset, comprising a total of 20,160 microgesture instances performed by 18 participants across 35 distinct objects, to facilitate further research</t>
  </si>
  <si>
    <t>2025_Sep_100.pdf</t>
  </si>
  <si>
    <t xml:space="preserve">Chenggao Li, Junyao Peng, Qingyong Hu, Lin Chen, Yandao Huang, Shun Wu, Weibin Cheng, and Qian Zhang. 2025. PracticalBP: Continuous Cuffless Blood Pressure Monitoring with Only One Record for Calibration. Proc. ACM Interact. Mob. Wearable Ubiquitous Technol. 9, 3, Article 100 (September 2025), 31 pages. https://doi.org/10.1145/3749486</t>
  </si>
  <si>
    <t xml:space="preserve">We collect a dataset from 25 healthy subjects and 18 hypertension patients</t>
  </si>
  <si>
    <t xml:space="preserve">a customized wristband that comprises a sensor module a main circuit, and a nylon strap, CNAP Monitor 100D</t>
  </si>
  <si>
    <t xml:space="preserve">for groundtruth collection: AcqKnowledge software</t>
  </si>
  <si>
    <t xml:space="preserve">dataset from 25 healthy subjects and 18 hypertension patients;PracticalBP achieves an overall systolic BP (SBP) and diastolic BP (DBP) estimated error (mean ± standard deviation) of (−1.49 ± 7.89) mmHg and (−0.83 ± 6.23) mmHg, respectively;Notably, our system achieves comparable accuracy to state-of-the-art solutions while reducing the calibration time by a factor of five and eliminating the need for complex BP intervention tasks</t>
  </si>
  <si>
    <t>2025_Sep_101.pdf</t>
  </si>
  <si>
    <r>
      <rPr/>
      <t xml:space="preserve">Jiachen Li, Xiwen Li, Justin Steinberg, Akshat Choube, Bingsheng Yao, Xuhai Xu, Dakuo Wang, Elizabeth Mynatt, and Varun Mishra. 2025. Vital Insight: Assisting Experts' Context-Driven Sensemaking of Multi-modal Personal Tracking Data Using Visualization and Human-in-the-Loop LLM. Proc. ACM Interact. Mob. Wearable Ubiquitous Technol. 9, 3, Article 101 (September 2025), 37 pages. </t>
    </r>
    <r>
      <rPr>
        <u val="single"/>
        <color rgb="FF1155CC"/>
      </rPr>
      <t>https://doi.org/10.1145/3749508</t>
    </r>
  </si>
  <si>
    <t>https://github.com/UbiWell/vital-insight-public-repo</t>
  </si>
  <si>
    <t xml:space="preserve">maybe included in the github</t>
  </si>
  <si>
    <t xml:space="preserve">to collect sensmaking data, smartphone, wearables</t>
  </si>
  <si>
    <t xml:space="preserve">GPT-4o-mini model</t>
  </si>
  <si>
    <t xml:space="preserve">github instructions, create react app, no step by step</t>
  </si>
  <si>
    <t xml:space="preserve">Construct the sensemaking model of experts when dealing with complex personal tracking data;Identify the challenging sensemaking scenarios in experts’ practices to understand personal tracking data;Synthesize a list of design implications of the AI-assisted visualization system in helping experts conduct sensemaking of personal tracking data</t>
  </si>
  <si>
    <t>2025_Sep_102.pdf</t>
  </si>
  <si>
    <t xml:space="preserve">Mengying Li and Eun Kyoung Choe. 2025. Identifying Design Opportunities for Behavior Displacement for Intervening Sedentary Time among Older Adults. Proc. ACM Interact. Mob. Wearable Ubiquitous Technol. 9, 3, Article 102 (September 2025), 23 pages. https://doi.org/10.1145/3749476</t>
  </si>
  <si>
    <t>2025_Sep_103.pdf</t>
  </si>
  <si>
    <t xml:space="preserve">Ruohao Li, Jiawei Li, Jia Sun, Zhiqing Wu, Zisu Li, Ziyan Wang, Ge Lin, and Mingming Fan. 2025. RemVerse: Supporting Reminiscence Activities for Older Adults through AI-Assisted Virtual Reality. Proc. ACM Interact. Mob. Wearable Ubiquitous Technol. 9, 3, Article 103 (September 2025), 25 pages. https://doi.org/10.1145/3749505</t>
  </si>
  <si>
    <t>VR-equipment</t>
  </si>
  <si>
    <t xml:space="preserve">Azure AI Speech, DALL-E2, ChatGPT 4o</t>
  </si>
  <si>
    <t xml:space="preserve">RemVerse helps older adults reminisce with AI-generated visual cues and interactive dialogues</t>
  </si>
  <si>
    <t>2025_Sep_104.pdf</t>
  </si>
  <si>
    <t xml:space="preserve">Ruyi Li, Jingfei Guo, Xinyi Zhang, Xuji Zhang, Zeqing Li, Jiannan Li, and Jiangtao Gong. 2025. Guiding Multiple Remote Users in Physical Tasks with Language-driven Robotic Telepresence. Proc. ACM Interact. Mob. Wearable Ubiquitous Technol. 9, 3, Article 104 (September 2025), 34 pages. https://doi.org/10.1145/3749472</t>
  </si>
  <si>
    <t xml:space="preserve">CLEAR Robot Prototype, components 4.3.1</t>
  </si>
  <si>
    <t xml:space="preserve">gpt 4o</t>
  </si>
  <si>
    <t xml:space="preserve">We designed and implemented CLEAR Robot, an LLM-powered telepresence robot interface that follows control intents and generates visual summaries from experts’ spoken instructions to reduce efforts in robot control, information processing, and information management</t>
  </si>
  <si>
    <t>2025_Sep_105.pdf</t>
  </si>
  <si>
    <t xml:space="preserve">Yang Li and Anna Maria Feit. 2025. How We Type with Word Suggestions: Understanding Visual Attention and Checking Behavior during Mobile Text Input. Proc. ACM Interact. Mob. Wearable Ubiquitous Technol. 9, 3, Article 105 (September 2025), 29 pages. https://doi.org/10.1145/3749520</t>
  </si>
  <si>
    <t>https://osf.io/g2457/?view_only=5212f234d975428693a8f0b74ad847ab</t>
  </si>
  <si>
    <t xml:space="preserve">study software?, analysis code</t>
  </si>
  <si>
    <t xml:space="preserve">includes the datasets and analysis scripts</t>
  </si>
  <si>
    <t xml:space="preserve">Tobii Pro Nano eye tracker to record gaze data</t>
  </si>
  <si>
    <t xml:space="preserve">python version noted and jupyter notebook mentioned no instruction on how to run </t>
  </si>
  <si>
    <t xml:space="preserve">We present a novel gaze dataset of mobile typing with word suggestions, providing new insights into how people distribute their visual attention to utilize word suggestions. Our results reveal that users check the suggestion list for more than half of the typed words but pick a suggestion only about one-third of the time, resulting in a 68% failure rate</t>
  </si>
  <si>
    <t>2025_Sep_106.pdf</t>
  </si>
  <si>
    <t xml:space="preserve">Yi Li, Lei Xie, Yu He, Jingyi Ning, and Sanglu Lu. 2025. SPECal: Spatial Calibration Based on Self-Pose-Estimation Between mmWave Radar and Camera. Proc. ACM Interact. Mob. Wearable Ubiquitous Technol. 9, 3, Article 106 (September 2025), 26 pages. https://doi.org/10.1145/3749456</t>
  </si>
  <si>
    <t xml:space="preserve">depth camera; COTS mmWave radars</t>
  </si>
  <si>
    <t xml:space="preserve">SPECal achieves an average rotation error (RE) of 4.38∘ with a standard deviation of 1.19∘ , and an average translation error (TE) of 14.34 mm with a standard deviation of 3.59 mm</t>
  </si>
  <si>
    <t>2025_Sep_107.pdf</t>
  </si>
  <si>
    <t xml:space="preserve">Chen Liang, Yuxuan Liu, Martez Mott, and Anhong Guo. 2025. HandProxy: Expanding the Affordances of Speech Interfaces in Immersive Environments with a Virtual Proxy Hand. Proc. ACM Interact. Mob. Wearable Ubiquitous Technol. 9, 3, Article 107 (September 2025), 30 pages. https://doi.org/10.1145/3749484</t>
  </si>
  <si>
    <t xml:space="preserve">XR headset like Meta Quest</t>
  </si>
  <si>
    <t xml:space="preserve">gpt 4o, google text to speech api</t>
  </si>
  <si>
    <t xml:space="preserve">achieving a 100% task completion rate with an average of 1.09 attempts per speech command and 91.8% command execution accuracy, while supporting flexible, natural speech input with varying levels of control and granularity</t>
  </si>
  <si>
    <t>2025_Sep_108.pdf</t>
  </si>
  <si>
    <t xml:space="preserve">Kun Liang, Yaxuan Li, He Hao, Hongli Zeng, Anfu Zhou, Huadong Ma, Chenshu Wu, Huaizhen Jia, Jianbo Zuo, and Jianjun Fan. 2025. MmHolmes: Amodal Millimeter-wave Sensing by Understanding Human Kinetics. Proc. ACM Interact. Mob. Wearable Ubiquitous Technol. 9, 3, Article 108 (September 2025), 30 pages. https://doi.org/10.1145/3749500</t>
  </si>
  <si>
    <t xml:space="preserve">20% higher accuracy than the state-of-the-art, and also remarkable robustness in terms of distinguishing unseen and easily confused activities across various conditions</t>
  </si>
  <si>
    <t>2025_Sep_109.pdf</t>
  </si>
  <si>
    <t xml:space="preserve">Chi Lin, Yingqi Chen, Jie Xiong, Yang Chi, Xin Fan, Qiang Tong, and Guowei Wu. 2025. IceSound: Acoustic-based Ice Thickness Sensing with Smartphones. Proc. ACM Interact. Mob. Wearable Ubiquitous Technol. 9, 3, Article 109 (September 2025), 25 pages. https://doi.org/10.1145/3749543</t>
  </si>
  <si>
    <t xml:space="preserve">the system achieves a mean absolute error of 0.3 cm in real-world outdoor environments when the ice thickness is in the critical range of 10-15 cm, and a notably low error rate of 0.13% when judging if the ice is safe for human activities</t>
  </si>
  <si>
    <t>2025_Sep_110.pdf</t>
  </si>
  <si>
    <t xml:space="preserve">Georgianna Lin, Minh Ngoc Le, Khai N. Truong, and Alex Mariakakis. 2025. The Cognitive Strategies Behind Multimodal Health Sensemaking: A Menstrual Health Tracking Case Study. Proc. ACM Interact. Mob. Wearable Ubiquitous Technol. 9, 3, Article 110 (September 2025), 27 pages. https://doi.org/10.1145/3749482</t>
  </si>
  <si>
    <t>2025_Sep_111.pdf</t>
  </si>
  <si>
    <t xml:space="preserve">Hongnan Lin, Songxian Liu, Shengsheng Jiang, Yueyan Pang, Jian He, Teng Han, Feng Tian, and Xing-Dong Yang. 2025. ElectroClick: Enhancing Button Experiences on Surfaces with Electrotactile Sensations. Proc. ACM Interact. Mob. Wearable Ubiquitous Technol. 9, 3, Article 111 (September 2025), 26 pages. https://doi.org/10.1145/3749534</t>
  </si>
  <si>
    <t xml:space="preserve">"provided in the supplementary material", not found</t>
  </si>
  <si>
    <t xml:space="preserve">Electrode array;force sensor module is A201-25 from Tekscan;Control circuit</t>
  </si>
  <si>
    <t xml:space="preserve">We present a method for simulating button sensations using electro-tactile stimulation, including the design of electrotactile stimuli, the association between electrotactile stimuli and pressing force, the hardware implementation, and the stimulation algorithm.</t>
  </si>
  <si>
    <t>2025_Sep_112.pdf</t>
  </si>
  <si>
    <t xml:space="preserve">Daibo Liu, Yunpeng Feng, Baixing Liu, Taiyuan Zhang, Haowen Chen, and Minjie Cai. 2025. Amulet: Integrating Sensitive Information Access with Identity Authentication on Mobile Devices. Proc. ACM Interact. Mob. Wearable Ubiquitous Technol. 9, 3, Article 112 (September 2025), 29 pages. https://doi.org/10.1145/3749546</t>
  </si>
  <si>
    <t xml:space="preserve">Evaluation results demonstrate that Amulet achieves high authentication accuracy with a low false positive rate, while maintaining strong robustness against diverse attack vectors</t>
  </si>
  <si>
    <t>2025_Sep_113.pdf</t>
  </si>
  <si>
    <t xml:space="preserve">Di Liu, Jingwen Bai, Zhuoyi Zhang, Yilin Zhang, Zhenhao Zhang, Jian Zhao, and Pengcheng An. 2025. TherAIssist: Assisting Art Therapy Homework and Client-Practitioner Collaboration through Human-AI Interaction. Proc. ACM Interact. Mob. Wearable Ubiquitous Technol. 9, 3, Article 113 (September 2025), 38 pages. https://doi.org/10.1145/3749497</t>
  </si>
  <si>
    <t xml:space="preserve">We chose commercial APIs for the development of the conversational agent</t>
  </si>
  <si>
    <t xml:space="preserve">contextual study with a group of therapists;novel system supporting art therapy homework, comprising a client-facing application leveraging human-AI co-creative art-making and conversational agents to facilitate homework, and a therapist-facing application enabling customization of homework agents and AI-compiled homework history;Rich empirical findings contextualizing how a human-AI system facilitated clients’ homework in daily settings and client-practitioner collaboration</t>
  </si>
  <si>
    <t>2025_Sep_114.pdf</t>
  </si>
  <si>
    <t xml:space="preserve">Rui Lyu, Hang Lei, Langcheng Zhao, Anfu Zhou, and Huadong Ma. 2025. Digital Olfaction System Driven by Terahertz Sensing. Proc. ACM Interact. Mob. Wearable Ubiquitous Technol. 9, 3, Article 114 (September 2025), 26 pages. https://doi.org/10.1145/3749532</t>
  </si>
  <si>
    <t xml:space="preserve">one algorithm pseudo code</t>
  </si>
  <si>
    <t xml:space="preserve">"All data and code will be publicly available after acceptance. To our knowledge, this is the first-of-its-kind field dataset of contactless digital olfaction system with wireless sensing"</t>
  </si>
  <si>
    <t xml:space="preserve">terahertz time-domain spectrometer [26] (Daheng Optics CIP-FICO)</t>
  </si>
  <si>
    <t xml:space="preserve">The accuracy of cluster classification is 98.71%, with a standard deviation of 1.25%, and odor classification has an accuracy of 98.66%, which demonstrates that DOM can achieve superior and stable performance on digital olfaction using contactless sensing method;It can be summarized that, (i) DOM has an AUC of 0.9997, while airTac has 0.9884 and XGBoost has 0.9433, indicating that DOM can sense specific odor with high specificity and recall better than airTac baseline. (ii) The lower bound of ROC curve of DOM is higher than the upper bound of airTac. This shows that even in the worst case, DOM is still better than the current methods;We prototype and validate the DOM system over 75,000 samples of 25 odors and 5,000 samples of 5 natural substances. All data and code will be publicly available after acceptance. To our knowledge, this is the first-of-its-kind field dataset of contactless digital olfaction system with wireless sensing</t>
  </si>
  <si>
    <t>2025_Sep_115.pdf</t>
  </si>
  <si>
    <t xml:space="preserve">Sheng Lyu and Chenshu Wu. 2025. ASE: Practical Acoustic Speed Estimation Beyond Doppler via Sound Diffusion Field. Proc. ACM Interact. Mob. Wearable Ubiquitous Technol. 9, 3, Article 115 (September 2025), 26 pages. https://doi.org/10.1145/3749475</t>
  </si>
  <si>
    <t>https://github.com/aiot-lab/ASE</t>
  </si>
  <si>
    <t xml:space="preserve">data captured to run code and check results missing, sould be used with own data</t>
  </si>
  <si>
    <t xml:space="preserve">programmable smart speaker prototype, i.e., a UMA-8-SP USB microphone[5], and AS05308AS-R speaker</t>
  </si>
  <si>
    <t xml:space="preserve">MATLAB used to implement pipeline</t>
  </si>
  <si>
    <t xml:space="preserve">instructions in github start with cloning the repo</t>
  </si>
  <si>
    <t xml:space="preserve">ASE reliably tracks walking speed, independently of target location and direction, with a mean error of 0.13 m/s, a reduction of 2.5x from DFS, and a detection rate of 97.4% for large coverage, e.g., free walking in a 4m × 4m room. We believe ASE pushes acoustic speed estimation beyond the conventional DFS-based paradigm and inspires exciting research in acoustic sensing</t>
  </si>
  <si>
    <t>2025_Sep_116.pdf</t>
  </si>
  <si>
    <t xml:space="preserve">Dongliang Ma, Zhuo Sun, Zhiqiang Wei, Yifan Guo, Yangqian Lei, Zhu Wang, Zhiwen Yu, and Bin Guo. 2025. AdaptTrack: A Robust Tracking System for Complex Environments Based on WiFi Device Selection Strategy. Proc. ACM Interact. Mob. Wearable Ubiquitous Technol. 9, 3, Article 116 (September 2025), 29 pages. https://doi.org/10.1145/3749506</t>
  </si>
  <si>
    <t xml:space="preserve">commercial wifi devices</t>
  </si>
  <si>
    <t xml:space="preserve">prototype system named AdaptTrack on commercial WiFi devices and conduct extensive real-world user tests. The results demonstrate that this system can achieve high-precision human tracking in various environments. In multi-user evaluations, the system can achieve median tracking errors of 0.3086 meters and 0.3259 meters in the normal and occulded conditions, respectively, fully demonstrating its ability to maintain the accurate and robust tracking in challenging conditions</t>
  </si>
  <si>
    <t>2025_Sep_117.pdf</t>
  </si>
  <si>
    <t xml:space="preserve">Sergio Mascetti, Dragan Ahmetovic, Gabriele Galimberti, and James M. Coughlan. 2025. NavGraph: Enhancing Blind Travelers' Navigation Experience and Safety. Proc. ACM Interact. Mob. Wearable Ubiquitous Technol. 9, 3, Article 117 (September 2025), 27 pages. https://doi.org/10.1145/3749537</t>
  </si>
  <si>
    <r>
      <rPr>
        <u val="single"/>
        <color rgb="FF434343"/>
      </rPr>
      <t>https://anonymous.4open.science/r/NavGraph-6C86</t>
    </r>
    <r>
      <rPr/>
      <t>;</t>
    </r>
    <r>
      <rPr>
        <u val="single"/>
        <color rgb="FF434343"/>
      </rPr>
      <t>https://anonymous.4open.science/r/SOTA-E029</t>
    </r>
  </si>
  <si>
    <t xml:space="preserve">first NavGraph, second SOTA; both repos expired</t>
  </si>
  <si>
    <t xml:space="preserve">NavGraph significantly reduces the number of instructions and improves clarity and safety, without compromising navigation time</t>
  </si>
  <si>
    <t>2025_Sep_118.pdf</t>
  </si>
  <si>
    <t xml:space="preserve">Chengzhen Meng, Chenming He, Dequan Wang, Yuxuan Xiao, Lingyu Wang, Xiaoran Fan, Lu Zhang, and Yanyong Zhang. 2025. GR-Fall: A Fall Detection System with Gait Recognition for Indoor Environments Using SISO mmWave Radar. Proc. ACM Interact. Mob. Wearable Ubiquitous Technol. 9, 3, Article 118 (September 2025), 26 pages. https://doi.org/10.1145/3749471</t>
  </si>
  <si>
    <t xml:space="preserve">the GR-Fall System has to be tested on a dataset, containing video material of people falling in various ways. The Authors collected the Dataset themselves, while not making it public.</t>
  </si>
  <si>
    <t xml:space="preserve">2 cameras, mmWave-Radar</t>
  </si>
  <si>
    <t xml:space="preserve">Extensive experimental results demonstrate that GR-Fall achieves 98.1% precision and 98.7% recall in new environments and with new participants, outperforming other state-of-the-art (SOTA) heatmap-based methods.</t>
  </si>
  <si>
    <t>2025_Sep_119.pdf</t>
  </si>
  <si>
    <t xml:space="preserve">Phuc Duc Nguyen, Yimin Dai, Xiao-Li Li, and Rui Tan. 2025. Certified Robustness against Sensor Heterogeneity in Acoustic Sensing. Proc. ACM Interact. Mob. Wearable Ubiquitous Technol. 9, 3, Article 119 (September 2025), 30 pages. https://doi.org/10.1145/3749481</t>
  </si>
  <si>
    <t>https://github.com/bibom108/CertiAPT</t>
  </si>
  <si>
    <t xml:space="preserve">Certi APT is made available</t>
  </si>
  <si>
    <t xml:space="preserve">The used Datasets are referenced with respective Names, so one can find them in the WWW.</t>
  </si>
  <si>
    <t xml:space="preserve">no instructions regarding the execution of the author's referred code were found</t>
  </si>
  <si>
    <t xml:space="preserve">Our evaluation across three acoustic sensing applications shows that CertiAPT yields significant accuracy improvements compared with the latest relevant domain adaptation approaches and provides formal guarantees on model robustness.</t>
  </si>
  <si>
    <t>2025_Sep_120.pdf</t>
  </si>
  <si>
    <t xml:space="preserve">Jinhui Ouyang, Yijie Zhu, Hanhui Deng, Jialyu He, and Di Wu. 2025. DynaGraph: Towards Dynamic Graph Learning for Multi-scale Traffic Generation with Spatial-temporal Agent Framework. Proc. ACM Interact. Mob. Wearable Ubiquitous Technol. 9, 3, Article 120 (September 2025), 31 pages. https://doi.org/10.1145/3749542</t>
  </si>
  <si>
    <t>https://github.com/re-plicate/DynaGraph</t>
  </si>
  <si>
    <t xml:space="preserve">Datasets are included together with the Author's Code in the same Repo.</t>
  </si>
  <si>
    <t xml:space="preserve">edge server equipped with an RTX 3070ti GPU (8 GB VRAM) and 16 GB RAM,</t>
  </si>
  <si>
    <t xml:space="preserve">"user could run main.py to easily start the training. test.py is for evaluating the DynaGraph."</t>
  </si>
  <si>
    <t xml:space="preserve">generation system, DynaGraph, using spatial-temporal AI agents to promote the comprehensibility of traffic. We conduct comprehensive performance evaluations, including short-term prediction, long-term prediction, scalability, unseen road estimation, and interactive evaluation. We conduct the experiments on five real-world road traffic datasets (and one more dataset for extra experiments). The experimental results and user study demonstrate that DynaGraph exhibits strong interactive performance, effectively alleviates traffic-related anxiety among transportation participants, and achieves high user acceptance.</t>
  </si>
  <si>
    <t>2025_Sep_121.pdf</t>
  </si>
  <si>
    <t xml:space="preserve">Aditya Ponnada, Shirlene D. Wang, Jixin Li, Wei-Lin Wang, Genevieve F. Dunton, Donald Hedeker, and Stephen S. Intille. 2025. Longitudinal User Engagement with Microinteraction Ecological Momentary Assessment (μEMA). Proc. ACM Interact. Mob. Wearable Ubiquitous Technol. 9, 3, Article 121 (September 2025), 27 pages. https://doi.org/10.1145/3749541</t>
  </si>
  <si>
    <t>2025_Sep_122.pdf</t>
  </si>
  <si>
    <t xml:space="preserve">Minghui Qiu, Cekai Weng, Mingming Fan, and Kaishun Wu. 2025. Towards Customizable Foundation Models for Human Activity Recognition with Wearable Devices. Proc. ACM Interact. Mob. Wearable Ubiquitous Technol. 9, 3, Article 122 (September 2025), 29 pages. https://doi.org/10.1145/3749479</t>
  </si>
  <si>
    <t>https://github.com/qmhsam/HAR-FM</t>
  </si>
  <si>
    <t>https://drive.google.com/drive/folders/1j1-3OJHWqi7TkrKC43BByXaG0MR6QXCB</t>
  </si>
  <si>
    <t xml:space="preserve">Instructions include for every Module how the code is meant to be runned and how to install requirements and setup the enviroment</t>
  </si>
  <si>
    <t xml:space="preserve">To the best of our knowledge, we are the first to explore and demonstrate the feasibility of training a multi-sensor foundation model for Human Activity Recognition (HAR) using heterogeneous fractions of open-source sensor datasets. We propose a viable foundation model training framework that consists of self-supervised learning with unlabeled data and multi-task supervised learning to align with real-world use cases.</t>
  </si>
  <si>
    <t>2025_Sep_123.pdf</t>
  </si>
  <si>
    <t xml:space="preserve">Nianchong Qu, Jiaqi Mo, Yueyao Zhang, Leheng Chen, Yan Zhang, Guanyun Wang, Ye Tao, Yanan Wang, Qi Wang, and Teng Han. 2025. Laytex: A Data-Driven Tool for Automated and Customized Textile Sensor Layout Design in Motion Capture. Proc. ACM Interact. Mob. Wearable Ubiquitous Technol. 9, 3, Article 123 (September 2025), 42 pages. https://doi.org/10.1145/3749493</t>
  </si>
  <si>
    <t>https://dl.acm.org/doi/10.1145/3749493#supplementary-materials</t>
  </si>
  <si>
    <t xml:space="preserve">Source Code is not referenced in the Paper. However, it was uploaded to the "supplementary material" section.</t>
  </si>
  <si>
    <t>https://doi.org/10.1109/CVPR.2017.591</t>
  </si>
  <si>
    <t xml:space="preserve">The FAUST Dataset is used, which is a part of a different study, therefore referenced with a doi of the respective study.</t>
  </si>
  <si>
    <t xml:space="preserve">No Hardware is needed to test the author's framework. It is needed for the following Experiment with participants, where the effectiveness of the framework's results is tested,though.</t>
  </si>
  <si>
    <t>Matlab</t>
  </si>
  <si>
    <t xml:space="preserve">a short manual how to run the author's code is added in the source code Zip.</t>
  </si>
  <si>
    <t xml:space="preserve">A structured, algorithmic approach for deformation analysis and multi-sensor placement, enabling the automatic calculation of sensor positions and orientations.</t>
  </si>
  <si>
    <t>2025_Sep_124.pdf</t>
  </si>
  <si>
    <t xml:space="preserve">Junbin Ren, Ruihao Zheng, Wenbo Zhang, Dong She, Yuting Bai, ZhanPeng Jin, and Yang Gao. 2025. Motion2Press: Cross Model Learning from IMU to Plantar Pressure for Gait Analysis. Proc. ACM Interact. Mob. Wearable Ubiquitous Technol. 9, 3, Article 124 (September 2025), 33 pages. https://doi.org/10.1145/3749499</t>
  </si>
  <si>
    <t xml:space="preserve">data was used to train a deep learning model</t>
  </si>
  <si>
    <t xml:space="preserve">High-performance PC components to run a deep learning algorithm</t>
  </si>
  <si>
    <t xml:space="preserve">LLM-APi's (GPT4),BERT-Model</t>
  </si>
  <si>
    <t xml:space="preserve">A Cross-modal Knowledge Transfer Framework Proposed a cross-modal knowledge transfer framework based on a pretrained encoder, enabling efficient conversion between different modalities and accurate inference of pressure distribution during motion from limited individual IMU data. This approach demonstrates strong generalizability across various applications with high adaptability and accuracy. • Personalized Plantar Pressure Distribution Prediction Model: Developed a personalized foot pressure distribution prediction method that leverages individual meta-data to generate semantic embeddings, enhancing the precision of pressure distribution prediction by accounting for unique motion characteristics, leading to improved personalized accuracy and semantic understanding. •Gait Assessment through Pressure-based Markers Introduced gait assessment by calculating gait markers (e.g., COP, GRF) based on reconstructed pressure data. This approach demonstrates the practical application of our method in real-world scenarios, validating its ability to monitor gait patterns.</t>
  </si>
  <si>
    <t>2025_Sep_125.pdf</t>
  </si>
  <si>
    <t xml:space="preserve">John Sadik and Scott Ruoti. 2025. A Large-Scale Survey of Password Entry Practices on Non-Desktop Devices. Proc. ACM Interact. Mob. Wearable Ubiquitous Technol. 9, 3, Article 125 (September 2025), 30 pages. https://doi.org/10.1145/3749491</t>
  </si>
  <si>
    <t>2025_Sep_126.pdf</t>
  </si>
  <si>
    <t xml:space="preserve">Mithun Saha, Maxwell A. Xu, Wanting Mao, Sameer Neupane, James M. Rehg, and Santosh Kumar. 2025. Pulse-PPG: An Open-Source Field-Trained PPG Foundation Model for Wearable Applications across Lab and Field Settings. Proc. ACM Interact. Mob. Wearable Ubiquitous Technol. 9, 3, Article 126 (September 2025), 35 pages. https://doi.org/10.1145/3749494</t>
  </si>
  <si>
    <t>https://github.com/maxxu05/pulseppg.</t>
  </si>
  <si>
    <t xml:space="preserve">no url for the data given. it is referenced as MOODS dataset.</t>
  </si>
  <si>
    <t xml:space="preserve">detailled description of every Module is given. Repo also contains informationen about how to execute the code, setting up the enviroment...</t>
  </si>
  <si>
    <t xml:space="preserve">We present Pulse-PPG, the best-performing open-source∗ PPG foundation model trained entirely on raw, uncurated PPG data collected from a 100-day field study involving 120 subjects from diverse backgrounds. (2) We show that training a motif-based representation learning framework with relative contrastive learning outperforms the current state-of-the-art open-source PPG foundation model [74] across a wide set of downstream datasets and tasks for wearable field and clinical applications. We also show that our Pulse-PPG model with 28.5 million parameters outperforms substantially more powerful general-purpose time-series models—Chronos with 200 million parameters [11] and MOMENT with 385 million parameters [35]. (3) We show that training on field data achieves better performance for two different foundation model approaches than a lab-trained model on wearable lab downstream tasks, highlighting the field-to-lab generalizability of the models, with additional potential implications for clinical settings.</t>
  </si>
  <si>
    <t>2025_Sep_127.pdf</t>
  </si>
  <si>
    <t xml:space="preserve">Yuxuan Shang, Guanxiao Wang, Mengxia Ren, Haomin Zhang, Xingming Chen, Haitao Xu, Chuan Yue, Shuai Hao, Bo Zhou, Wenrui Ma, Fan Zhang, and Zhao Li. 2025. AdsDP: A Video Dataset for Recognizing and Examining Dark Patterns in iOS In-App Advertisements. Proc. ACM Interact. Mob. Wearable Ubiquitous Technol. 9, 3, Article 127 (September 2025), 31 pages. https://doi.org/10.1145/3749515</t>
  </si>
  <si>
    <t>https://zenodo.org/records/15316373.</t>
  </si>
  <si>
    <t xml:space="preserve">Cellphone ( IPhone XR is used)</t>
  </si>
  <si>
    <t xml:space="preserve">We conduct the first systematic investigation of ads dark patterns across iOS apps in Chinese and English markets, identifying 15 distinct types - including 11 novel patterns not previously documented. • We introduce AdsDP, a comprehensive annotated video dataset capturing complete app usage sessions with detailed interaction context. • Our analysis reveals that ads dark patterns are prevalent in iOS apps, with significant differences in their distribution between distinct app markets, with user reviews of a broader iOS app set confirming these patterns’ widespread adoption in production apps. • We assess the performance of state-of-the-art dark pattern detection solutions using AdsDP, revealing a substantial decline in performance, with 94.2% of the sampled dark pattern instances undetected, demonstrating the AdsDP’s value and the urgent need for improved detection approaches.</t>
  </si>
  <si>
    <t>2025_Sep_128.pdf</t>
  </si>
  <si>
    <t xml:space="preserve">Qijia Shao, Junxiao Chen, Ho Man Colman Leung, Meiqi Zhao, Ruoyu Xu, Jiting Liu, Lisa Maria DiSalvo García, Xiaofan Jiang, Marie-Pierre St-Onge, and Xia Zhou. 2025. My Pillow Knows My Sleep: Sleep Monitoring with Computational Fabrics in the Pillowcase. Proc. ACM Interact. Mob. Wearable Ubiquitous Technol. 9, 3, Article 128 (September 2025), 26 pages. https://doi.org/10.1145/3749550</t>
  </si>
  <si>
    <t xml:space="preserve">siehe code_notes</t>
  </si>
  <si>
    <t xml:space="preserve">PillowSense-System,  pc Components for neural network training (RTX A1000)</t>
  </si>
  <si>
    <t xml:space="preserve">Reproducibility: Here, one could only test the classification of the PillowSense system. However, the software for this system is not available. The data collected by the authors themselves (ground truth + classification results) is also unavailable.</t>
  </si>
  <si>
    <t>2025_Sep_129.pdf</t>
  </si>
  <si>
    <t xml:space="preserve">Vivian Shen, Xiaoying Yang, Chris Harrison, and Yang Zhang. 2025. Hapt-Aids: Self-Powered, On-Body Haptics for Activity Monitoring. Proc. ACM Interact. Mob. Wearable Ubiquitous Technol. 9, 3, Article 129 (September 2025), 26 pages. https://doi.org/10.1145/3749468</t>
  </si>
  <si>
    <r>
      <rPr>
        <u val="single"/>
        <color rgb="FF434343"/>
      </rPr>
      <t>https://github.com/FIGLAB/Hapt-Aids</t>
    </r>
    <r>
      <rPr>
        <color indexed="64"/>
      </rPr>
      <t xml:space="preserve"> is the author's open source Repo where the PCB Design is located.</t>
    </r>
  </si>
  <si>
    <t xml:space="preserve">no Code-experiments that can be reproduced here</t>
  </si>
  <si>
    <t>2025_Sep_130.pdf</t>
  </si>
  <si>
    <t xml:space="preserve">Shreshth Tuli, Giuliano Casale, and Manuel Roveri. 2025. SELA: Smart Edge LLM Agent to Optimize Response Trade-offs of AI Assistants. Proc. ACM Interact. Mob. Wearable Ubiquitous Technol. 9, 3, Article 130 (September 2025), 18 pages. https://doi.org/10.1145/3749483</t>
  </si>
  <si>
    <t xml:space="preserve">The Code for the SELA framework is not given</t>
  </si>
  <si>
    <t xml:space="preserve">used datasets are: MT Bench,  Vicuna Bench, IHAP Bench, HH Bench. They should be publicly available. There is no direct URL-Reference.</t>
  </si>
  <si>
    <t xml:space="preserve">High-perfomance pc components for running an llm locally.</t>
  </si>
  <si>
    <t xml:space="preserve">TAPAS-model, numerous LLM API's and corresponding hyperparameters.</t>
  </si>
  <si>
    <t xml:space="preserve">Our experimental results demonstrate that this model selection strategy, based on complexity and time-criticality predictions, surpasses traditional reinforcement learning baselines and other early exit networks in terms of QoS.Specifically, SELA achieves QoS improvements ranging from 9% to 62% over other methods, showcasing its robust and efficient performance across various benchmarks. This innovative approach holds promise for enhancing the deployment of LLMs on edge devices, thereby making powerful language models more accessible and efficient.</t>
  </si>
  <si>
    <t>2025_Sep_131.pdf</t>
  </si>
  <si>
    <t xml:space="preserve">Pragya Singh, Ankush Gupta, Mohan Kumar, and Pushpendra Singh. 2025. AnnoSense: A Framework for Physiological Emotion Data Collection in Everyday Settings for AI. Proc. ACM Interact. Mob. Wearable Ubiquitous Technol. 9, 3, Article 131 (September 2025), 47 pages. https://doi.org/10.1145/3749519</t>
  </si>
  <si>
    <t xml:space="preserve">The Framework is not a piece of Software, it is rather a set of guidelines for collecting better data about the Users' Emotions</t>
  </si>
  <si>
    <t xml:space="preserve">Name of the datasets are : WESAD,EEVR,ASCERTAIN,EMOGNITION,GReX</t>
  </si>
  <si>
    <t xml:space="preserve">Annosense Framework: We introduce Annosense, a novel framework comprising 15 actionable guidelines for collecting well-annotated wearable and mobile-based emotion data in everyday settings. These guidelines are derived from an in-depth analysis of user experiences, contextual challenges, and common challenges in emotion data collection. •Expert Evaluation: We evaluate the Annosense framework through feedback from 25 emotion AI experts with professional and academic experience, making this the first work to present evaluated guidelines tailored specifically for real-world emotion data collection. •Potential Implementation: We identify next steps for designing participant-aware systems in practice, informed by the Annosense framework and a review of current tools, technologies, and applications.• Design Implications: Through our findings and expert discussions, we offer design recommendations for future emotion data collection practices and AI algorithm development.</t>
  </si>
  <si>
    <t>2025_Sep_132.pdf</t>
  </si>
  <si>
    <t xml:space="preserve">Songyun Tao, Yong Hoon Chung, Yijing Feng, Shirin Amouei, Michael Casey, Viola S. Stoermer, and Elizabeth L. Murnane. 2025. MusicalPT: Augmenting Physical Therapy by Integrating Adaptive Musical Guidance to Enhance Exercise Quality and Patient Experience. Proc. ACM Interact. Mob. Wearable Ubiquitous Technol. 9, 3, Article 132 (September 2025), 32 pages. https://doi.org/10.1145/3749461</t>
  </si>
  <si>
    <t xml:space="preserve">Gpu's, Smartphons,Cameras</t>
  </si>
  <si>
    <t xml:space="preserve">MediaPipe Algorithm is used in the MusicalPT software. </t>
  </si>
  <si>
    <t xml:space="preserve">There are no instructions about how the musicalPT system works, and how to implement it.</t>
  </si>
  <si>
    <t xml:space="preserve">One could try to rebuild the musicalPT system and try it out on their own, without the need of Data.</t>
  </si>
  <si>
    <t>2025_Sep_133.pdf</t>
  </si>
  <si>
    <t xml:space="preserve">Lei Wang, Xingwei Wang, Xi Zhang, Xiaolei Ma, Yu Zhang, Fusang Zhang, Tao Gu, and Haipeng Dai. 2025. AccCall: Enhancing Real-time Phone Call Quality with Smartphone's Built-in Accelerometer. Proc. ACM Interact. Mob. Wearable Ubiquitous Technol. 9, 3, Article 133 (September 2025), 33 pages. https://doi.org/10.1145/3749463</t>
  </si>
  <si>
    <t xml:space="preserve">the dataset, which was established in the user study, is not given</t>
  </si>
  <si>
    <t xml:space="preserve">multiple Smartphones with build in accelerometer, speaker, microphones, Laptop,headphones</t>
  </si>
  <si>
    <t xml:space="preserve">multiple convolutional 1D neural networks, noise datasets to exlude the noise from the collected audio samples, Whisper model for the evaluation Metrics (Speech recognition),</t>
  </si>
  <si>
    <t xml:space="preserve">• We envision a promising and practical scenario for enhancing speech quality in phone calls, allowing users to make calls indoors or outdoors without disruption from interfering noise or airflow, as illustrated in Fig. 1(a). We believe this approach will significantly advance speech enhancement, relying solely on low-power built-in IMU sensor for commercial mobile devices. • We carefully address three key challenges to bridge the gap between underlying insights and practical applications, which includes designing a cross-modal deep learning model inherently capable of cross-user generalization, adopting a machine learning-based approach for adaptive system triggering, and introducing a knowledge-distillation-driven structured pruning framework to enhance model efficiency.• We successfully implement AccCall on three types of Android smartphones and conduct extensive experiments with 20 volunteers in a cross-user scenario. The results show that AccCall achieves excellent and reliable adaptive triggering performance, and enables substantial real-time improvements in SISDR, SISNR, STOI, PESQ, and WER, demonstrating the superiority of our system in enhancing speech quality and intelligibility for phone calls.</t>
  </si>
  <si>
    <t>2025_Sep_134.pdf</t>
  </si>
  <si>
    <t xml:space="preserve">Lu Wang, Hao Wang, Boliang Guo, Xiaoshen Li, Yongzhi Huang, Junmei Yao, and Kaishun Wu. 2025. SenLoRa: Integrated Sensing and Communication with Ambient LoRa. Proc. ACM Interact. Mob. Wearable Ubiquitous Technol. 9, 3, Article 134 (September 2025), 26 pages. https://doi.org/10.1145/3749522</t>
  </si>
  <si>
    <t xml:space="preserve">The Implementation of the Algorithms is not given. However, fundamental principles of how the Algorithm works and what it should accomplish are described ub System overview (Page 9). One could try to implement the Algorithm themself.</t>
  </si>
  <si>
    <t xml:space="preserve">STM32 NUCLEO-L476RG development board,embedded Semtech SX1261 module,USRP SDR B210</t>
  </si>
  <si>
    <t xml:space="preserve">GNU Radio, matlab</t>
  </si>
  <si>
    <t xml:space="preserve">Instructions include Structure and general principles of the Author's implemented algorithm. </t>
  </si>
  <si>
    <t xml:space="preserve">We develop a prototype of SenLoRa and conduct real-world experiments. The results show that SenLoRa significantly enhances LoRa sensing entropy by extracting a substantial number of confidence symbols and improves communication performance by 4x compared to standard demodulation in LoRaWAN. Case studies in real-world sensing applications demonstrate that SenLoRa achieves a respiration detection error of 0.2 breaths per minute (bpm) and over 90% accuracy in walking detection, without compromising normal LoRa communication.</t>
  </si>
  <si>
    <t>2025_Sep_135.pdf</t>
  </si>
  <si>
    <t xml:space="preserve">Penghao Wang, Shujie Zhang, Chao Cai, Chao Liu, and Jun Luo. 2025. Sonic-Fi: Practical Vital Signs Distillation Leveraging Fine-grained Physical Resolution. Proc. ACM Interact. Mob. Wearable Ubiquitous Technol. 9, 3, Article 135 (September 2025), 22 pages. https://doi.org/10.1145/3749460</t>
  </si>
  <si>
    <t xml:space="preserve">Sonic-Fi System is needed(proprietary)</t>
  </si>
  <si>
    <t xml:space="preserve">arecord or aplay,</t>
  </si>
  <si>
    <t xml:space="preserve">no instructions regarding the reproduction of code experiments</t>
  </si>
  <si>
    <t xml:space="preserve">We propose Sonic-Fi as the first pre-processing approach to contact-free vital signs monitoring.• We design a low-cost, easy-to-program ultrasonic platform that achieves a cutting-edge range resolution.• We propose a hybrid physical-digital thresholding; it exploits the tunable resolution to separate heartbeat, respiration, and motion artifacts.• Our extensive experiments demonstrate that Sonic-Fi successfully recover fine-grained respiration and heartbeat waveforms even in the face of motion artifacts under real-world settings.</t>
  </si>
  <si>
    <t>2025_Sep_136.pdf</t>
  </si>
  <si>
    <t xml:space="preserve">Qi Wang, Zhengyuan Zhang, Guanzhou Zhu, Yuxing Yao, Zilong Wang, Yiyang Wang, Yuxuan Fu, Yixuan Song, Dong Zhao, and Huadong Ma. 2025. Semi-supervised Contrastive Learning for Reliable Sleep Staging with Small Labeled Photoplethysmography Data. Proc. ACM Interact. Mob. Wearable Ubiquitous Technol. 9, 3, Article 136 (September 2025), 32 pages. https://doi.org/10.1145/3749978</t>
  </si>
  <si>
    <t>https://github.com/QiWangXPY/FASL</t>
  </si>
  <si>
    <t xml:space="preserve">Repo-Link is given, but the Repo is empty. It says, that Code and Data are going to be published after acceptance of the Paper.</t>
  </si>
  <si>
    <t xml:space="preserve">look at code_notes</t>
  </si>
  <si>
    <t xml:space="preserve">• A sleep staging model is designed to simultaneously process PPG, heart rate, and respiration signals, along with sleep-related features.3 Even with limited labeled PPG data, this model demonstrates significant improvements over existing research. • We propose a semi-supervised contrastive learning method called FASL. FASL calculates different loss values based on the confidence of soft labels and uses shadow layers for contrastive learning, which greatly enhances the utilization of unlabeled data while significantly reducing the model’s bias toward task-irrelevant features. To the best of our knowledge, this is the first investigation of semi-supervised method in PPG sleep staging. • We collect a PPG dataset with sleep stage labels in real-world scenarios and conduct thorough experiments on both public and our self-collected datasets to evaluate the performance of our model and method. The code and self-collected dataset used in this study are publicly available at https://github.com/QiWangXPY/FASL.</t>
  </si>
  <si>
    <t>2025_Sep_137.pdf</t>
  </si>
  <si>
    <t xml:space="preserve">Zeyu Wang, Ruotong Yu, Xiangyang Wang, Jiexin Ding, Jiankai Tang, Jun Fang, Zhe He, Zhuojun Li, Tobias Röddiger, Weiye Xu, Xiyuxing Zhang, Huan-ang Gao, Nan Gao, Chun Yu, Yuanchun Shi, and Yuntao Wang. 2025. Computing with Smart Rings: A Systematic Literature Review. Proc. ACM Interact. Mob. Wearable Ubiquitous Technol. 9, 3, Article 137 (September 2025), 54 pages. https://doi.org/10.1145/3749480</t>
  </si>
  <si>
    <t xml:space="preserve">no Code was needed. Existing Literature was subject of this Publication</t>
  </si>
  <si>
    <t xml:space="preserve">the corresponding sections of this paper. Furthermore, we introduced a phenomena-based taxonomy, which systematically breaks down the elements of smart ring technology into a hierarchy of applications, phenomena, fundamental phenomena, and sensors. Additionally, we have discussed several challenges that persist in the field, as well as potential directions for future research. In conclusion, this survey has comprehensively reviewed 206 pieces of literature pertaining to smart rings, categorizing them into four distinct application categories. Each category has been meticulously detailed in</t>
  </si>
  <si>
    <t>2025_Sep_138.pdf</t>
  </si>
  <si>
    <r>
      <rPr/>
      <t xml:space="preserve">Ziming Wang, Meagan B. Loerakker, Yiqian Wu, Shiwei Yang, Arion Pons, Yuwei Chuai, David Sirkin, and Morten Fjeld. 2025. In a Flap: Experiences with a Bioinspired Flying Robot. Proc. ACM Interact. Mob. Wearable Ubiquitous Technol. 9, 3, Article 138 (September 2025), 20 pages. </t>
    </r>
    <r>
      <rPr>
        <u val="single"/>
        <color rgb="FF1155CC"/>
      </rPr>
      <t>https://doi.org/10.1145/3749495</t>
    </r>
  </si>
  <si>
    <t>2025_Sep_139.pdf</t>
  </si>
  <si>
    <r>
      <rPr/>
      <t xml:space="preserve">Qingxin Wei, Jiaming Huang, Yi Gao, and Wei Dong. 2025. One Model to Fit Them All: Universal IMU-based Human Activity Recognition with LLM-assisted Cross-dataset Representation. Proc. ACM Interact. Mob. Wearable Ubiquitous Technol. 9, 3, Article 139 (September 2025), 22 pages. </t>
    </r>
    <r>
      <rPr>
        <u val="single"/>
        <color rgb="FF1155CC"/>
      </rPr>
      <t>https://doi.org/10.1145/3749509</t>
    </r>
  </si>
  <si>
    <t>https://github.com/ZJU-wqx-2025/uniHAR</t>
  </si>
  <si>
    <t xml:space="preserve">Uses five public HAR datasets (PAMAP2, HHAR, RealWorldHAR, UCI-HAR, USC-HAD); dataset copies are included in the repository.</t>
  </si>
  <si>
    <t xml:space="preserve">Training used a RTX 4090 GPU; no special hardware required.</t>
  </si>
  <si>
    <t xml:space="preserve">Python 3.12, PyTorch 2.3.0, BERT (bert-base-uncased).</t>
  </si>
  <si>
    <t xml:space="preserve">Repository provides clone/install/run steps and scripts for executing the code.</t>
  </si>
  <si>
    <t xml:space="preserve">Our model demonstrates strong generalization across five public IMU-based HAR datasets, outperforming the best baselines by up to 46.9% in the unseen-dataset scenario, and 6.5% in the cross-dataset scenario.</t>
  </si>
  <si>
    <t>2025_Sep_140.pdf</t>
  </si>
  <si>
    <r>
      <rPr/>
      <t xml:space="preserve">Brandon Woodard, Margarita Geleta, Joseph J. LaViola Jr., Andrea Fanelli, and Rhonda Wilson. 2025. AudioMiXR: Spatial Audio Object Manipulation with 6DoF for Sound Design in Augmented Reality. Proc. ACM Interact. Mob. Wearable Ubiquitous Technol. 9, 3, Article 140 (September 2025), 41 pages. </t>
    </r>
    <r>
      <rPr>
        <u val="single"/>
        <color rgb="FF1155CC"/>
      </rPr>
      <t>https://doi.org/10.1145/3749478</t>
    </r>
  </si>
  <si>
    <t xml:space="preserve">Prototype/implementation described; no public repository or code link provided.</t>
  </si>
  <si>
    <t xml:space="preserve">No specific dataset required; example audio clips used within scenes.</t>
  </si>
  <si>
    <t xml:space="preserve">XR HMDs used to run and evaluate the system (Apple Vision Pro / Meta Quest Pro); no custom hardware.</t>
  </si>
  <si>
    <t xml:space="preserve">Unity 2022.3.30f1 (Unity Pro) on visionOS 1.0; Apple developer license used for deployment.</t>
  </si>
  <si>
    <t xml:space="preserve">Paper describes system and workflow, but no runnable setup or repo with step-by-step execution.</t>
  </si>
  <si>
    <t xml:space="preserve">These findings demonstrate that 6DoF AR interaction not only introduces novel experiential affordances, but also yields measurable gains in user experience and creative output, positioning AudioMiXR as a promising foundation for future AR-based sound design tools.</t>
  </si>
  <si>
    <t>2025_Sep_141.pdf</t>
  </si>
  <si>
    <r>
      <rPr/>
      <t xml:space="preserve">Tianhao Wu, Yi Wu, Bibek Poudel, Syed Irfan Ali Meerza, Rajasi Gore Athawale, Weizi Li, Zan Gao, Çağdas KarataŞ, and Jian Liu. 2025. VibRun: Real-time Unobtrusive Gait Analysis for Treadmill Running via Footstep Vibrations. Proc. ACM Interact. Mob. Wearable Ubiquitous Technol. 9, 3, Article 141 (September 2025), 25 pages. </t>
    </r>
    <r>
      <rPr>
        <u val="single"/>
        <color rgb="FF1155CC"/>
      </rPr>
      <t>https://doi.org/10.1145/3749539</t>
    </r>
  </si>
  <si>
    <t xml:space="preserve">IMU (MPU-6050) attached to treadmill and Raspberry Pi 4; Noraxon Ultium insoles for ground-truth during training; evaluated on Sole F63, Spirit XT685, Matrix T5X treadmills.</t>
  </si>
  <si>
    <t xml:space="preserve">MyoMUSCLE 3.6 used to process insole data for ground truth; runtime uses Docker/ExecuTorch and custom Python on Raspberry Pi.</t>
  </si>
  <si>
    <t xml:space="preserve">no runnable repo or step-by-step reproduction.</t>
  </si>
  <si>
    <t xml:space="preserve">For instance, VibRun achieves a mean error of 28.8 ms in ground contact time and a distance of 13.66 mm in the center of pressure, among other measured metrics, highlighting its precise performance across multiple gait parameters.</t>
  </si>
  <si>
    <t>2025_Sep_142.pdf</t>
  </si>
  <si>
    <r>
      <rPr/>
      <t xml:space="preserve">Yi Xiao, Harshit Sharma, Sawinder Kaur, Dessa Bergen-Cico, and Asif Salekin. 2025. Human Heterogeneity Invariant Stress Sensing. Proc. ACM Interact. Mob. Wearable Ubiquitous Technol. 9, 3, Article 142 (September 2025), 42 pages. </t>
    </r>
    <r>
      <rPr>
        <u val="single"/>
        <color rgb="FF1155CC"/>
      </rPr>
      <t>https://doi.org/10.1145/3749465</t>
    </r>
  </si>
  <si>
    <t>https://github.com/asalekin-ubiquitouslab/HHISS_IMWUT</t>
  </si>
  <si>
    <t xml:space="preserve">The link is embedded in the PDF</t>
  </si>
  <si>
    <t xml:space="preserve">Uses multiple public datasets (WESAD, AffectiveROAD, Nurses Work Stress) plus several self-collected datasets that are not released.</t>
  </si>
  <si>
    <t xml:space="preserve">Empatica E4 wristband for lab/controlled studies; Empatica EmbracePlus for in-the-wild OUD data collection.</t>
  </si>
  <si>
    <t xml:space="preserve">Repository provides instructions for running the experiments.</t>
  </si>
  <si>
    <t xml:space="preserve">Ablation studies, empirical justifications, and runtime evaluations confirm HHISS’s feasibility and scalability for mobile stress sensing in sensitive real-world applications.</t>
  </si>
  <si>
    <t>2025_Sep_143.pdf</t>
  </si>
  <si>
    <r>
      <rPr/>
      <t xml:space="preserve">Tongyun Yang, Bishwas Regmi, Lingyu Du, Andreas Bulling, Xucong Zhang, and Guohao Lan. 2025. Through the Eyes of Emotion: A Multi-faceted Eye Tracking Dataset for Emotion Recognition in Virtual Reality. Proc. ACM Interact. Mob. Wearable Ubiquitous Technol. 9, 3, Article 143 (September 2025), 41 pages. </t>
    </r>
    <r>
      <rPr>
        <u val="single"/>
        <color rgb="FF1155CC"/>
      </rPr>
      <t>https://doi.org/10.1145/3749545</t>
    </r>
  </si>
  <si>
    <t xml:space="preserve">Dataset Paper;Hardware Development;Software Development;User Study</t>
  </si>
  <si>
    <t>https://github.com/MultiRepEyeVR/Through-the-Eyes-of-Emotion</t>
  </si>
  <si>
    <t xml:space="preserve">Repository provides the VR data collection tool, processing scripts, and deep-learning models used in benchmarks.</t>
  </si>
  <si>
    <t xml:space="preserve">Dataset released via institutional repository; access available upon request as described in the repo/paper.</t>
  </si>
  <si>
    <t xml:space="preserve">VIVE Pro Eye VR headset; external Pupil Labs near-eye cameras (120 Hz, 400×400) attached to the headset; 9-DoF IMU; setup used to capture periocular video and eye-tracking signals.</t>
  </si>
  <si>
    <t xml:space="preserve">GitHub includes toolchain and scripts with usage instructions for data processing and model training.</t>
  </si>
  <si>
    <t xml:space="preserve">As such, our work has the potential to significantly accelerate and enable entirely new research on emotion-aware VR applications.</t>
  </si>
  <si>
    <t>2025_Sep_144.pdf</t>
  </si>
  <si>
    <r>
      <rPr>
        <sz val="11"/>
      </rPr>
      <t xml:space="preserve">Michael Yin and Robert Xiao. 2025. TravelTales: Reflecting on Meaningful Travel through Digital Scrapbooking and Journaling. Proc. ACM Interact. Mob. Wearable Ubiquitous Technol. 9, 3, Article 144 (September 2025), 29 pages. </t>
    </r>
    <r>
      <rPr>
        <u val="single"/>
        <sz val="11"/>
        <color rgb="FF1155CC"/>
      </rPr>
      <t>https://doi.org/10.1145/3749512</t>
    </r>
  </si>
  <si>
    <t xml:space="preserve">Prototype mobile app needed to reproduce results; no source code or APK released.</t>
  </si>
  <si>
    <t xml:space="preserve">Android smartphone used to capture photos, videos, audio and run the app during field use.</t>
  </si>
  <si>
    <t xml:space="preserve">Paper describes features and study protocol but provides no runnable setup</t>
  </si>
  <si>
    <t xml:space="preserve">finding that TravelTales fosters promising outcomes related to personal reflection, remembrance, and self-learning.</t>
  </si>
  <si>
    <t>2025_Sep_145.pdf</t>
  </si>
  <si>
    <r>
      <rPr/>
      <t xml:space="preserve">Qijun Ying, Zehua Cao, Ziyu Wu, Wenwu Deng, Yuchen Zhong, Yukun Diao, and XiaoHui Cai. 2025. FoRM: Foot-driven Reconstruction of Human Motion Using Dual-Modal Plantar Pressure and Inertial Sensing. Proc. ACM Interact. Mob. Wearable Ubiquitous Technol. 9, 3, Article 145 (September 2025), 41 pages. </t>
    </r>
    <r>
      <rPr>
        <u val="single"/>
        <color rgb="FF1155CC"/>
      </rPr>
      <t>https://doi.org/10.1145/3749551</t>
    </r>
  </si>
  <si>
    <t xml:space="preserve">Algorithm Development;Dataset Paper;Hardware Development;Software Development</t>
  </si>
  <si>
    <t>https://github.com/GaigeY/FoRM</t>
  </si>
  <si>
    <t xml:space="preserve">Authors state that the dataset is available for research purposes.</t>
  </si>
  <si>
    <t xml:space="preserve">Custom smart shoes with plantar pressure sensors and a 6-axis IMU for data capture.</t>
  </si>
  <si>
    <t xml:space="preserve">Axis Neuron Pro used only during data collection; not required to run the released code with the published dataset.</t>
  </si>
  <si>
    <t xml:space="preserve">GitHub README includes installation, dataset/model download links, and reproduce command.</t>
  </si>
  <si>
    <t xml:space="preserve">This work presents a practical approach for non-invasive and privacy-preserving motion capture.</t>
  </si>
  <si>
    <t>2025_Sep_146.pdf</t>
  </si>
  <si>
    <r>
      <rPr>
        <sz val="11"/>
      </rPr>
      <t xml:space="preserve">Ryo Yonetani and Kotaro Hara. 2025. Map as a By-product: Collective Landmark Mapping from IMU Data and User-provided Texts in Situated Tasks. Proc. ACM Interact. Mob. Wearable Ubiquitous Technol. 9, 3, Article 146 (September 2025), 20 pages. </t>
    </r>
    <r>
      <rPr>
        <u val="single"/>
        <sz val="11"/>
        <color rgb="FF1155CC"/>
      </rPr>
      <t>https://doi.org/10.1145/3749455</t>
    </r>
  </si>
  <si>
    <t xml:space="preserve">Smartphone with IMU (accelerometer and gyroscope) for movement tracking.</t>
  </si>
  <si>
    <t xml:space="preserve">Pipeline uses proprietary cloud LLM services (Azure OpenAI: GPT-4o mini; text-embedding-3-small) for captioning and embeddings.</t>
  </si>
  <si>
    <t xml:space="preserve">System architecture and algorithms described but no runnable setup or reproduction steps provided.</t>
  </si>
  <si>
    <t xml:space="preserve">Our user study demonstrates the feasibility of the proposed system and its superior mapping performance in two different setups: creating a product availability map from restocking checklist tasks at a retail store and constructing a room usage map from office inspection tasks, further demonstrating the potential applicability to non-retail applications.</t>
  </si>
  <si>
    <t>2025_Sep_147.pdf</t>
  </si>
  <si>
    <t xml:space="preserve">Jinyang Yu, Zhaoguo Wang, Zhiyu Pan, Jianjiang Feng, and Jie Zhou. 2025. PalmPen: A Palmprint Positioning Pen. Proc. ACM Interact. Mob. Wearable Ubiquitous Technol. 9, 3, Article 147 (September 2025), 27 pages. https://doi.org/10.1145/3749549</t>
  </si>
  <si>
    <t xml:space="preserve">Training dataset of palmprints collected with optical tracker; no public release or link.</t>
  </si>
  <si>
    <t xml:space="preserve">Pen-shaped camera device with LED sleeve; PST Iris optical tracker and reflective markers for data collection; iPhone 13 for full palm photos; HTC Vive and large display used in evaluation.</t>
  </si>
  <si>
    <t xml:space="preserve">Custom synchronization program and phone camera app used; no proprietary software required to run the proposed algorithm.</t>
  </si>
  <si>
    <t xml:space="preserve">Paper describes device and algorithms but provides no runnable repo or step-by-step reproduction.</t>
  </si>
  <si>
    <t xml:space="preserve">A user study with 12 participants demonstrated that PalmPen offers superior positioning accuracy and input efficiency over other methods.</t>
  </si>
  <si>
    <t>2025_Sep_148.pdf</t>
  </si>
  <si>
    <r>
      <rPr/>
      <t xml:space="preserve">Xiaofan Yu, Lanxiang Hu, Benjamin Reichman, Dylan Chu, Rushil Chandrupatla, Xiyuan Zhang, Larry Heck, and Tajana S. Rosing. 2025. SensorChat: Answering Qualitative and Quantitative Questions during Long-term Multimodal Sensor Interactions. Proc. ACM Interact. Mob. Wearable Ubiquitous Technol. 9, 3, Article 148 (September 2025), 35 pages. </t>
    </r>
    <r>
      <rPr>
        <u val="single"/>
        <color rgb="FF1155CC"/>
      </rPr>
      <t>https://doi.org/10.1145/3749496</t>
    </r>
  </si>
  <si>
    <t>https://github.com/Orienfish/SensorChat</t>
  </si>
  <si>
    <t>https://github.com/benjamin-reichman/SensorQA</t>
  </si>
  <si>
    <t xml:space="preserve">Uses SensorQA (public); ExtraSensory dataset used for pretraining; real-world user-study data (8 volunteers) not released.</t>
  </si>
  <si>
    <t xml:space="preserve">Smartphone and smartwatch sensors for data collection; cloud server with NVIDIA A100 GPU; edge deployment on NVIDIA Jetson Orin NX.</t>
  </si>
  <si>
    <t xml:space="preserve">Cloud variant uses OpenAI GPT APIs; edge variant runs locally with quantized LLaMA; no proprietary software strictly required.</t>
  </si>
  <si>
    <t xml:space="preserve">GitHub includes scripts with usage instructions.</t>
  </si>
  <si>
    <t xml:space="preserve">Evaluations on a quantitative QA dataset show that SensorChat improves answer accuracy by 93% compared to the best performing state-of-the-art QA systems.</t>
  </si>
  <si>
    <t>2025_Sep_149.pdf</t>
  </si>
  <si>
    <r>
      <rPr>
        <sz val="11"/>
      </rPr>
      <t xml:space="preserve">Duo Zhang, Xusheng Zhang, Zhehui Yin, Pengfei Zhou, Hongliu Yang, Pei Wang, Zhiyun Yao, Junzhe Wang, Fusang Zhang, and Daqing Zhang. 2025. Breaking the Resolution Barriers of mmWave Arrays via Null Steering for Sleep Monitoring in Multi-Person Scenarios. Proc. ACM Interact. Mob. Wearable Ubiquitous Technol. 9, 3, Article 149 (September 2025), 29 pages. </t>
    </r>
    <r>
      <rPr>
        <u val="single"/>
        <sz val="11"/>
        <color rgb="FF1155CC"/>
      </rPr>
      <t>https://doi.org/10.1145/3749466</t>
    </r>
  </si>
  <si>
    <t xml:space="preserve">Data collected from 10 volunteers across five rooms (42.5 hours) with Heal Force monitors for ground truth; no dataset release or link.</t>
  </si>
  <si>
    <t xml:space="preserve">Commercial mmWave radars and AD2402; DCK acquisition board; radar mounted at head of bed.</t>
  </si>
  <si>
    <t xml:space="preserve">Paper reports processing in MATLAB; no proprietary software is strictly required to reproduce the algorithms.</t>
  </si>
  <si>
    <t xml:space="preserve">Paper details system design and some parameter settings but provides no runnable repo or step-by-step reproduction.</t>
  </si>
  <si>
    <t xml:space="preserve">Comprehensive experiments show that mmNull achieves a more than 5x improvement in accuracy compared to current state-of-the-art (SOTA) methods for monitoring respiration rate, heart rate, and heart rate variability (HRV) in multi-person scenarios.</t>
  </si>
  <si>
    <t>2025_Sep_150.pdf</t>
  </si>
  <si>
    <r>
      <rPr/>
      <t xml:space="preserve">Shuning Zhang, Han Chen, Yabo Wang, Yiqun Xu, Jiaqi Bai, Yuanyuan Wu, Shixuan Li, Xin Yi, Chunhui Wang, and Hewu Li. 2025. The Manipulative Power of Voice Characteristics: Investigating Deceptive Patterns in Mandarin Chinese Female Synthetic Speech. Proc. ACM Interact. Mob. Wearable Ubiquitous Technol. 9, 3, Article 150 (September 2025), 32 pages. </t>
    </r>
    <r>
      <rPr>
        <u val="single"/>
        <color rgb="FF1155CC"/>
      </rPr>
      <t>https://doi.org/10.1145/3749510</t>
    </r>
  </si>
  <si>
    <t>2025_Sep_151.pdf</t>
  </si>
  <si>
    <r>
      <rPr/>
      <t xml:space="preserve">Wenbo Zhang, Chenxu Zhang, Yang Gao, and Zhanpeng Jin. 2025. KineticsSense: A Multimodal Wearable Sensor Framework for Modeling Lower-Limb Motion Kinetics. Proc. ACM Interact. Mob. Wearable Ubiquitous Technol. 9, 3, Article 151 (September 2025), 35 pages. </t>
    </r>
    <r>
      <rPr>
        <u val="single"/>
        <color rgb="FF1155CC"/>
      </rPr>
      <t>https://doi.org/10.1145/3749462</t>
    </r>
  </si>
  <si>
    <t>https://github.com/HCC-ActiSense/KineticsSense-Dataset</t>
  </si>
  <si>
    <t xml:space="preserve">Paper links an open GitHub repository with code and trained models.</t>
  </si>
  <si>
    <t xml:space="preserve">Open dataset collected in controlled indoor environment.</t>
  </si>
  <si>
    <t xml:space="preserve">Smart plantar-pressure shoes/insoles, Xsens MVN Awinda IMU (wrist), EMG sensors; treadmill; Xsens 17-sensor mocap for pose ground truth.</t>
  </si>
  <si>
    <t xml:space="preserve">Paper links GitHub with dataset, code, and models; the paper itself does not include step-by-step replication instructions.</t>
  </si>
  <si>
    <t xml:space="preserve">By bridging kinematics and biomechanics, this work enhances understanding of human motion dynamics and lays a foundation for advances in rehabilitation, sports science, and human-computer interaction.</t>
  </si>
  <si>
    <t>2025_Sep_152.pdf</t>
  </si>
  <si>
    <r>
      <rPr/>
      <t xml:space="preserve">Youpeng Zhang, Nuwan Janaka, Ashwin Ram, Peilin Yin, Yang Tian, Shengdong Zhao, and Pierre Dragicevic. 2025. WSCoach: Wearable Real-time Auditory Feedback for Reducing Unwanted Words in Daily Communication. Proc. ACM Interact. Mob. Wearable Ubiquitous Technol. 9, 3, Article 152 (September 2025), 30 pages. </t>
    </r>
    <r>
      <rPr>
        <u val="single"/>
        <color rgb="FF1155CC"/>
      </rPr>
      <t>https://doi.org/10.1145/3749531</t>
    </r>
  </si>
  <si>
    <t xml:space="preserve">Hardware Development;Software Development;User Study</t>
  </si>
  <si>
    <t>https://github.com/Synteraction-Lab/WSCoach?tab=readme-ov-file#installation</t>
  </si>
  <si>
    <t xml:space="preserve">Python 3.9 implementation using Faster-Whisper and pyttsx4; repo linked in paper.</t>
  </si>
  <si>
    <t>https://osf.io/6vhwn/overview?view_only=489498d3ac2d4703a17475fc6ca65dfa</t>
  </si>
  <si>
    <t xml:space="preserve">OSF project with preregistration and study data; noted as private during review then public upon acceptance.</t>
  </si>
  <si>
    <t xml:space="preserve">Audio smart glasses (Huawei Eyewear v1) connected via Bluetooth; desktop PC with GeForce RTX 3080 Ti for low-latency processing; phone used for Orai baseline.</t>
  </si>
  <si>
    <t xml:space="preserve">Proprietary tools used in the pipeline: Orai mobile app, Deepgram for transcription, SPSS for statistical analysis; NVIDIA RTX Voice for noise reduction.</t>
  </si>
  <si>
    <t xml:space="preserve">GitHub/OSF provide README and setup details for running WSCoach and reproducing analyses.</t>
  </si>
  <si>
    <t xml:space="preserve">Our study sheds light on the potential of auditory feedback as a tool for enhancing self-awareness and reducing the use of unwanted words in daily conversations.</t>
  </si>
  <si>
    <t>2025_Sep_153.pdf</t>
  </si>
  <si>
    <r>
      <rPr/>
      <t xml:space="preserve">Zhihan Zhang, Puvarin Thavikulwat, Alexander Le Metzger, Yuxuan Mei, Felix Hähnlein, Zachary Englhardt, Gregory D. Abowd, Shwetak Patel, Adriana Schulz, Tingyu Cheng, and Vikram Iyer. 2025. Living Sustainability: In-Context Interactive Environmental Impact Communication. Proc. ACM Interact. Mob. Wearable Ubiquitous Technol. 9, 3, Article 153 (September 2025), 42 pages. </t>
    </r>
    <r>
      <rPr>
        <u val="single"/>
        <color rgb="FF1155CC"/>
      </rPr>
      <t>https://doi.org/10.1145/3749488</t>
    </r>
  </si>
  <si>
    <r>
      <rPr>
        <u val="single"/>
        <color rgb="FF434343"/>
      </rPr>
      <t>https://www.climatiq.io/</t>
    </r>
    <r>
      <rPr>
        <color indexed="64"/>
      </rPr>
      <t>;</t>
    </r>
    <r>
      <rPr>
        <u val="single"/>
        <color rgb="FF1155CC"/>
      </rPr>
      <t>https://www.electricitymaps.com/</t>
    </r>
    <r>
      <rPr/>
      <t>;</t>
    </r>
    <r>
      <rPr>
        <u val="single"/>
        <color rgb="FF1155CC"/>
      </rPr>
      <t>https://ecoinvent.org/</t>
    </r>
  </si>
  <si>
    <t xml:space="preserve">Relies on external LCA/CF sources—mix of open APIs and licensed databases (e.g., ecoinvent); no consolidated dataset release.</t>
  </si>
  <si>
    <t xml:space="preserve">Standard computer for the Chromium browser extension; backend runs on a virtual machine; no specialized hardware.</t>
  </si>
  <si>
    <t xml:space="preserve">Requires proprietary services/APIs mentioned in the paper such as GPT-4o-mini (OpenAI) and Google Maps API; licensed access to ecoinvent; system implemented as a Chromium extension with a Node.js backend.</t>
  </si>
  <si>
    <t xml:space="preserve">Paper details architecture and pipeline but does not provide runnable repo or step-by-step reproduction materials.</t>
  </si>
  <si>
    <t xml:space="preserve">This work represents a significant step toward democratizing access to environmental impact information for the general public with zero LCA expertise.</t>
  </si>
  <si>
    <t>2025_Sep_154.pdf</t>
  </si>
  <si>
    <r>
      <rPr/>
      <t xml:space="preserve">Yiqin Zhao, Mallesham Dasari, and Tian Guo. 2025. CleAR: Robust Context-Guided Generative Lighting Estimation for Mobile Augmented Reality. Proc. ACM Interact. Mob. Wearable Ubiquitous Technol. 9, 3, Article 154 (September 2025), 26 pages. </t>
    </r>
    <r>
      <rPr>
        <u val="single"/>
        <color rgb="FF1155CC"/>
      </rPr>
      <t>https://doi.org/10.1145/3749535</t>
    </r>
  </si>
  <si>
    <t>https://github.com/cake-lab/CleAR</t>
  </si>
  <si>
    <t xml:space="preserve">Research artifacts repository linked; client-server implementation with ControlNet/Stable Diffusion and Unity package.</t>
  </si>
  <si>
    <t xml:space="preserve">no explicit dataset release link.</t>
  </si>
  <si>
    <t xml:space="preserve">11-inch iPad Pro (4th gen, LiDAR) as AR device; edge server with Intel i9-13900K and NVIDIA RTX 4090 over 802.11ac Wi-Fi; mirror ball used as reference baseline.</t>
  </si>
  <si>
    <t xml:space="preserve">Unity3D/ARFoundation client using Apple ARKit; edge runs Python with Hugging Face Diffusers and xformers.</t>
  </si>
  <si>
    <t xml:space="preserve">No runnable setup or repo with step-by-step execution.</t>
  </si>
  <si>
    <t xml:space="preserve">Moreover, CleAR supports real-time refinement of lighting estimation results, ensuring robust and timely updates for AR applications.</t>
  </si>
  <si>
    <t>2025_Sep_155.pdf</t>
  </si>
  <si>
    <r>
      <rPr/>
      <t xml:space="preserve">Jian Zheng, Subin Seo, and Eun Kyoung Choe. 2025. From Awareness to Action: Ambient Display and Customizable Attention Signals for Self-regulated Smartphone Usage. Proc. ACM Interact. Mob. Wearable Ubiquitous Technol. 9, 3, Article 155 (September 2025), 28 pages. </t>
    </r>
    <r>
      <rPr>
        <u val="single"/>
        <color rgb="FF1155CC"/>
      </rPr>
      <t>https://doi.org/10.1145/3749507</t>
    </r>
  </si>
  <si>
    <r>
      <rPr>
        <u val="single"/>
        <color rgb="FF434343"/>
      </rPr>
      <t>https://github.com/jzheng23/Timer</t>
    </r>
    <r>
      <rPr>
        <color indexed="64"/>
      </rPr>
      <t>;</t>
    </r>
    <r>
      <rPr>
        <u val="single"/>
        <color rgb="FF1155CC"/>
      </rPr>
      <t>https://github.com/jzheng23/tinytimer</t>
    </r>
  </si>
  <si>
    <t xml:space="preserve">TIMER and TinyTimer source code released on GitHub; app also available on Google Play.</t>
  </si>
  <si>
    <t>https://osf.io/5fr9e</t>
  </si>
  <si>
    <t xml:space="preserve">OSF dataset with 16,301 Week-1 baseline sessions (natural usage) and demographics.</t>
  </si>
  <si>
    <t xml:space="preserve">Android smartphone (Android 8.0+); no specialized hardware beyond a standard phone.</t>
  </si>
  <si>
    <t xml:space="preserve">NVivo 14 (proprietary) for qualitative analysis; Python 3.10.12 and R 4.4.2 used for quantitative analysis.</t>
  </si>
  <si>
    <t xml:space="preserve">No setup/install details.</t>
  </si>
  <si>
    <t xml:space="preserve">We found that the ambient display reduced daily screen time by 38 minutes (10.7% of the baseline), and adding attention signals led to a further reduction of 32 minutes (9.0%).</t>
  </si>
  <si>
    <t>2025_Sep_156.pdf</t>
  </si>
  <si>
    <r>
      <rPr/>
      <t xml:space="preserve">Naiyu Zheng, Ruofeng Liu, Xiaoyi Fan, Cong Zhang, Lei Zhang, and Zhimeng Yin. 2025. SEGALL: A Unified Active Learning Framework for Wireless Sensing Data Segmentation. Proc. ACM Interact. Mob. Wearable Ubiquitous Technol. 9, 3, Article 156 (September 2025), 27 pages. </t>
    </r>
    <r>
      <rPr>
        <u val="single"/>
        <color rgb="FF1155CC"/>
      </rPr>
      <t>https://doi.org/10.1145/3749492</t>
    </r>
  </si>
  <si>
    <t xml:space="preserve">Uses public Widar3.0 Wi-Fi dataset and custom IMU/mmWave datasets collected by authors; no dataset release links provided.</t>
  </si>
  <si>
    <t xml:space="preserve">TI AWR2944 EVM mmWave radar with DCA1000EVM capture board; iPhone 14; evaluations reported on PC (RTX 4090), MacBook M2 Pro, and Raspberry Pi.</t>
  </si>
  <si>
    <t xml:space="preserve">No proprietary software required; experiments implemented in PyTorch.</t>
  </si>
  <si>
    <t xml:space="preserve">Paper explains architecture, parameters, and evaluation setup but provides no runnable repo or step-by-step reproduction guide.</t>
  </si>
  <si>
    <t xml:space="preserve">Furthermore, SegALL reduces manual labeling effort by 40.15% and maintains a lightweight computational cost, making it suitable for deployment on edge devices such as the Raspberry Pi.</t>
  </si>
  <si>
    <t>2025_Sep_157.pdf</t>
  </si>
  <si>
    <r>
      <rPr/>
      <t xml:space="preserve">Guanzhou Zhu, Dong Zhao, Chunliang Li, Mingyue Zhao, Zhengyuan Zhang, Hefeng Quan, and Huadong Ma. 2025. MASTER: A Multi-modal Foundation Model for Human Activity Recognition. Proc. ACM Interact. Mob. Wearable Ubiquitous Technol. 9, 3, Article 157 (September 2025), 26 pages. </t>
    </r>
    <r>
      <rPr>
        <u val="single"/>
        <color rgb="FF1155CC"/>
      </rPr>
      <t>https://doi.org/10.1145/3749511</t>
    </r>
  </si>
  <si>
    <t>https://github.com/m70040005/MASTER-A-Multi-modal-Foundation-Model-For-Human-Activity-Recognition</t>
  </si>
  <si>
    <t>https://osf.io/fbmxy</t>
  </si>
  <si>
    <t xml:space="preserve">Uses six public multi-modal HAR datasets plus two self-collected datasets (DCM and MSV); paper states DCM and MSV are publicly available via embedded links.</t>
  </si>
  <si>
    <t xml:space="preserve">Data collection and evaluation involve multiple sensors: mmWave radar, depth-camera-based skeleton, and 2× IMUs (wrist, thigh), along with other modalities across public datasets.</t>
  </si>
  <si>
    <t xml:space="preserve">The results demonstrate that MASTER achieves the highest accuracy with minimal labeled data across various situations, surpassing alternative solutions.</t>
  </si>
  <si>
    <t>2025_Jun_027.pdf</t>
  </si>
  <si>
    <t xml:space="preserve">Rajashekar Reddy Chinthalapani, Dhairya Jigar Shah, Nobel Ang, and Ambuj Varshney. 2025. AudioCast: Enabling Ubiquitous Connectivity for Embedded Systems through Audio-broadcasting Low-power Tags. Proc. ACM Interact. Mob. Wearable Ubiquitous Technol. 9, 2, Article 27 (June 2025), 32 pages. https://doi.org/10.1145/3729471</t>
  </si>
  <si>
    <t>Jun</t>
  </si>
  <si>
    <t>https://github.com/weiserlab/AudioCast</t>
  </si>
  <si>
    <t xml:space="preserve">firmware for custom hardware is made available along hardware design files</t>
  </si>
  <si>
    <t xml:space="preserve">custom prototype, with microphones etc.</t>
  </si>
  <si>
    <t xml:space="preserve">instrunctions for frequency modulation software, no explicit instructions for the hardware design and firmware in the repo</t>
  </si>
  <si>
    <t xml:space="preserve">AudioCast achieves a range of up to 130 m in line-of-sight (LoS), 110 m in mixed LoS, and tens of meters in non-line-of-sight (NLoS) environments—all without requiring a carrier emitter device. AudioCast demonstrates the self-modulation property of TDO, which allows the frequency modulation of TDO without additional circuits. This allows reception via ubiquitous FM-receivers. AudioCast maintains intelligible speech quality, achieving PESQ scores greater than 1.29.</t>
  </si>
  <si>
    <t>2025_Jun_028.pdf</t>
  </si>
  <si>
    <t xml:space="preserve">Imran Fahad, Danny Scott, Azizul Zahid, Matthew Bringle, Srinayana Patil, Ella Bevins, Carmen Palileo, and Sai Swaminathan. 2025. RadioGami: Batteryless, Long-range Wireless Paper Sensors Using Tunnel Diodes. Proc. ACM Interact. Mob. Wearable Ubiquitous Technol. 9, 2, Article 28 (June 2025), 32 pages. https://doi.org/10.1145/3729487</t>
  </si>
  <si>
    <t xml:space="preserve">DIY materials like copper tape, paper, and off-the-shelf electronics paired with an affordable radio receiver (approx. $20)</t>
  </si>
  <si>
    <t xml:space="preserve">Silhouette vinyl cutter and software</t>
  </si>
  <si>
    <t xml:space="preserve">hardware based, system design and implementation is described including fabrication process</t>
  </si>
  <si>
    <t xml:space="preserve">RadioGami tags, an end-to-end design of paper-based flexible sensors and interfaces that enable long-range, batteryless interactivity using tunnel diodes. Our system leverages ultra-low-power TDO circuits to facilitate interaction without the need for batteries, as detailed in Section 3. Unlike conventional flexible batteryless wireless sensors, our approach supports operation over long distances (45.7m) while maintaining minimal power consumption (35𝜇W) on flexible substrates</t>
  </si>
  <si>
    <t>2025_Jun_029.pdf</t>
  </si>
  <si>
    <t xml:space="preserve">Kejia Fan, Yajiang Huang, Jingyu He, Feijiang Han, Jianheng Tang, Huiping Zhuang, Anfeng Liu, Tian Wang, Mianxiong Dong, Houbing Herbert Song, and Yunhuai Liu. 2025. CALM: A Ubiquitous Crowdsourced Analytic Learning Mechanism for Continual Service Construction with Data Privacy Preservation. Proc. ACM Interact. Mob. Wearable Ubiquitous Technol. 9, 2, Article 29 (June 2025), 30 pages. https://doi.org/10.1145/3729473</t>
  </si>
  <si>
    <t xml:space="preserve">pseudocode, mathematical proof</t>
  </si>
  <si>
    <t xml:space="preserve">three popular datasets: CIFAR-100 [15], Tiny-ImageNet [16], and ImageNet-R [13]</t>
  </si>
  <si>
    <t xml:space="preserve">Theoretical analyses confirm CALM’s ability to achieve absolute memorization while safeguarding bilateral data privacy and ensuring superior system efficiency. Extensive experiments across diverse datasets show our CALM’s superior performance</t>
  </si>
  <si>
    <t>2025_Jun_030.pdf</t>
  </si>
  <si>
    <t xml:space="preserve">Yanbin Gong, Wentao Xie, Chi Xu, Qian Zhang, and Shifang Yang. 2025. SputumLocator: Enhancing Airway Clearance with Auscultation-based Sputum Localization. Proc. ACM Interact. Mob. Wearable Ubiquitous Technol. 9, 2, Article 30 (June 2025), 28 pages. https://doi.org/10.1145/3729472</t>
  </si>
  <si>
    <t xml:space="preserve">self-collected data and the ICBHI dataset [80]</t>
  </si>
  <si>
    <t xml:space="preserve">We implement our system on a commercially available digital stethoscope, ensuring widespread accessibility. Experiments conducted on 43 patients in a large medical institution demonstrate SputumLocator’s excellent performance and robustness, which achieves 0.97 sensitivity, 0.82 specificity, and 0.83 F1-Score on 5-fold cross validation</t>
  </si>
  <si>
    <t>2025_Jun_031.pdf</t>
  </si>
  <si>
    <t xml:space="preserve">Kaiyi Guo, Tianyu Wu, Yang Gao, Qian Zhang, and Dong Wang. 2025. EchoTouch: Low-power Face-touching Behavior Recognition Using Active Acoustic Sensing on Glasses. Proc. ACM Interact. Mob. Wearable Ubiquitous Technol. 9, 2, Article 31 (June 2025), 33 pages. https://doi.org/10.1145/3729481</t>
  </si>
  <si>
    <t xml:space="preserve">regarding face touch information collection yes custom googles with microphone and speaker</t>
  </si>
  <si>
    <t xml:space="preserve">We evaluate EchoTouch on 20 individuals using 11 different types of face-touching areas. EchoTouch achieves an average accuracy of 92.9%, with an 87.2% accuracy in determining whether the behavior is intrusive. Additionally, in-the-wild evaluations further validate the robustness of EchoTouch. We believe that EchoTouch can serve as an unobtrusive and reliable way to monitor and prevent intrusive face-touching behavior.</t>
  </si>
  <si>
    <t>2025_Jun_032.pdf</t>
  </si>
  <si>
    <t xml:space="preserve">Tarek Hamid, Patricia Flores, Jane Byun, Elizabeth C. Courtney, Kyle C. Quinn, and Amanda Watson. 2025. DermaGlow: Objective Quantification of Melanin, Erythema and Skin-tone Using Wearable Optical Spectroscopy. Proc. ACM Interact. Mob. Wearable Ubiquitous Technol. 9, 2, Article 32 (June 2025), 28 pages. https://doi.org/10.1145/3729474</t>
  </si>
  <si>
    <t xml:space="preserve">model for transforming wearable multi-spectrum data to melanin, erythema, and skin-tone measurements</t>
  </si>
  <si>
    <t xml:space="preserve">OpenOximetry dataset from PhysioNet [30, 33], a final dataset of 96 patients with 221 corresponding encounter missing</t>
  </si>
  <si>
    <t xml:space="preserve">to collect: Lumos [89], an off-the-shelf wearable device</t>
  </si>
  <si>
    <t xml:space="preserve">DermaGlow algorithm against a state-of-the-art colorimeter in a comprehensive user study involving a diverse group of 77 subjects, demonstrating a normalized mean absolute error (NMAE) of 5.33% (melanin) and 4.18% (erythema), and ΔE values less than 2.5 for CIE LAB measurements. Furthermore, we present an algorithm that utilizes DermaGlow outputs to correct for pulse oximeter inaccuracies typically found in those with darker skin pigmentation, resulting in an up to 75% decrease in mean absolute error (MAE) in hypoxic readings across skin tones relative to arterial blood measurements.</t>
  </si>
  <si>
    <t>2025_Jun_033.pdf</t>
  </si>
  <si>
    <t xml:space="preserve">Youfang Han, Wei Zhao, Ge Gao, Xiangjin Chen, Jiliang Yin, Lin Wang, Xin Meng, Yang Yu, and Tengxiang Zhang. 2025. DCSNN: An Efficient and High-speed sEMG-based Transient-state Micro-gesture Recognition Method on Wearable Devices. Proc. ACM Interact. Mob. Wearable Ubiquitous Technol. 9, 2, Article 33 (June 2025), 34 pages. https://doi.org/10.1145/3729494</t>
  </si>
  <si>
    <t>https://github.com/Goertek-AlphaLabs-Wearable/DCSNN-for-sEMG</t>
  </si>
  <si>
    <t xml:space="preserve">The repository has made the core algorithm framework of DCSNN and the associated EMG micro-gesture datasets publicly available. For access to the complete engineering for academic research or commercial collaboration, please reach out to the author directly.</t>
  </si>
  <si>
    <t>https://www.kaggle.com/datasets/hanyoufang/dcsnn-semg-datasets</t>
  </si>
  <si>
    <t xml:space="preserve">custom wristbands for data collection</t>
  </si>
  <si>
    <t xml:space="preserve">only core algorithm in repo no explicit instructions beside data description</t>
  </si>
  <si>
    <t xml:space="preserve">The experiment results show that DCSNN had a higher recognition accuracy than existing methods with values of 88.55% and 95.76% on the two datasets. In addition, its inference latency, power consumption, and memory usage are only about 0.4%, 0.05%, and 2% of those of popular convolutional neural network (CNN) methods. Our method enables precise, high-speed, and low-power micro-gesture recognition on a plethora of resource-constrained consumer-level intelligent wearable devices.</t>
  </si>
  <si>
    <t>2025_Jun_034.pdf</t>
  </si>
  <si>
    <t xml:space="preserve">Harish Haresamudram, Chi Ian Tang, Sungho Suh, Paul Lukowicz, and Thomas Plötz. 2025. Past, Present, and Future of Sensor-based Human Activity Recognition Using Wearables: A Surveying Tutorial on a Still Challenging Task. Proc. ACM Interact. Mob. Wearable Ubiquitous Technol. 9, 2, Article 34 (June 2025), 44 pages. https://doi.org/10.1145/3729467</t>
  </si>
  <si>
    <t>2025_Jun_035.pdf</t>
  </si>
  <si>
    <t xml:space="preserve">Chenzhi Hu, Yatong Chen, Denizhan Kara, Shengzhong Liu, Tarek Abdelzaher, Fan Wu, and Guihai Chen. 2025. OpenMAE: Efficient Masked Autoencoder for Vibration Sensing with Open-domain Data Enrichment. Proc. ACM Interact. Mob. Wearable Ubiquitous Technol. 9, 2, Article 35 (June 2025), 29 pages. https://doi.org/10.1145/3729485</t>
  </si>
  <si>
    <t>https://raspberryshake.org/data-center/</t>
  </si>
  <si>
    <t xml:space="preserve">Open-domain dataset, not available, two in-domain datasets cited [6][30]</t>
  </si>
  <si>
    <t xml:space="preserve">The evaluation results show OpenMAE improves downstream task accuracies by up to 23% and achieves enhanced generalizability into diverse downstream tasks, domain variations, and sensor-to-target distances.</t>
  </si>
  <si>
    <t>2025_Jun_036.pdf</t>
  </si>
  <si>
    <t xml:space="preserve">Towhidul Islam, Md. Mahedi Hasan Rigan, Md Olid Hasan Bhuiyan, Tanzima Hashem, and Md Mahbubur Rahman. 2025. H2OPulse: Smartphone-assisted Vein Evaluation for Early Recognition of Dehydration. Proc. ACM Interact. Mob. Wearable Ubiquitous Technol. 9, 2, Article 36 (June 2025), 24 pages. https://doi.org/10.1145/3729490</t>
  </si>
  <si>
    <t>https://github.com/ubiquit0us/h2opulse</t>
  </si>
  <si>
    <t xml:space="preserve">no dataset in repo, config file: path to gdrive/MyDrive</t>
  </si>
  <si>
    <t xml:space="preserve">smartphone (with infrared)</t>
  </si>
  <si>
    <t xml:space="preserve">cvat for data masking (repo)</t>
  </si>
  <si>
    <t xml:space="preserve">no Instructions in github repo, only information about data masking</t>
  </si>
  <si>
    <t xml:space="preserve">Experimental results demonstrate that H2OPulse can accurately detect mild dehydration, making it a practical and accessible solution, with an accuracy of 83.1% and an F1-score of 80.8%. This system empowers early dehydration detection anywhere, enabling timely interventions to prevent further complications.</t>
  </si>
  <si>
    <t>2025_Jun_037.pdf</t>
  </si>
  <si>
    <t xml:space="preserve">Sawinder Kaur, Avery Gump, Yi Xiao, Jingyu Xin, Harshit Sharma, Nina R. Benway, Jonathan L. Preston, and Asif Salekin. 2025. CRoP: Context-wise Robust Static Human-Sensing Personalization. Proc. ACM Interact. Mob. Wearable Ubiquitous Technol. 9, 2, Article 37 (June 2025), 34 pages. https://doi.org/10.1145/3729483</t>
  </si>
  <si>
    <t>https://github.com/Sawinder-Kaur/CRoP_IMWUT</t>
  </si>
  <si>
    <t xml:space="preserve">public datasets are cited; "The data partitioned into personalized and context-wise sets will be released upon publication" not found in git repo</t>
  </si>
  <si>
    <t xml:space="preserve">instructions and shell scripts in repo</t>
  </si>
  <si>
    <t xml:space="preserve">On average across all datasets and corresponding all contexts, CRoP achieves a 35.23 percentage point improvement in personalization compared to the generic model, and a 7.78 percentage point improvement in generalization compared to the conventional-finetuned model [25]. As compared to the best baseline (Packnet), these gains are 9.18 and 9.17 percent points higher, respectively</t>
  </si>
  <si>
    <t>2025_Jun_038.pdf</t>
  </si>
  <si>
    <t xml:space="preserve">Hossein Khayami, Lining Wang, Young-Ho Kim, Bongshin Lee, David E. Conroy, Amanda Lazar, Eun Kyoung Choe, and Hernisa Kacorri. 2025. From Verbal Reports to Personalized Activity Trackers: Understanding the Challenges of Ground Truth Data Collection with Older Adults in the Wild. Proc. ACM Interact. Mob. Wearable Ubiquitous Technol. 9, 2, Article 38 (June 2025), 33 pages. https://doi.org/10.1145/3731749</t>
  </si>
  <si>
    <t>2025_Jun_039.pdf</t>
  </si>
  <si>
    <t xml:space="preserve">Yunpeng Feng, Daibo Liu, Wenqiang Jin, and Liangyi Gong. 2025. KeyPrint: Practical Black-box Keystroke Inference Attacks to Mobile Devices. Proc. ACM Interact. Mob. Wearable Ubiquitous Technol. 9, 2, Article 39 (June 2025), 30 pages. https://doi.org/10.1145/3729493</t>
  </si>
  <si>
    <t>Smartphone</t>
  </si>
  <si>
    <t xml:space="preserve">KeyPrint can achieve an average accuracy of 55% and 70% for inference on keystroke content when the number of inputted words only reaches 30 and 40, respectively. Leveraging the spatial correlation between numeric and letter keys within the virtual keyboard, KeyPrint effectively reduces the search space for PINs from 10 digits to 10 candidates, with a probability of 63.9%.</t>
  </si>
  <si>
    <t>2025_Jun_040.pdf</t>
  </si>
  <si>
    <t xml:space="preserve">Liwei Liu, Tao Wang, Wei Chen, Jun Wei, Wei Wang, and Guoquan Wu. 2025. LEGO: Synthesizing IoT Device Components Based on Static Analysis and Large Language Models. Proc. ACM Interact. Mob. Wearable Ubiquitous Technol. 9, 2, Article 40 (June 2025), 26 pages. https://doi.org/10.1145/3729482</t>
  </si>
  <si>
    <t>https://github.com/IMWUT-LEGO/LEGO</t>
  </si>
  <si>
    <t xml:space="preserve">github link for experimantal results and dataset</t>
  </si>
  <si>
    <t xml:space="preserve">several IoT devices, lights heater, camera, air purifier</t>
  </si>
  <si>
    <t xml:space="preserve">LLM, GPT-4-turbo</t>
  </si>
  <si>
    <t xml:space="preserve">instructions for each research question</t>
  </si>
  <si>
    <t xml:space="preserve">Our extensive evaluation reveals that LEGO is effective in device component synthesis.</t>
  </si>
  <si>
    <t>2025_Jun_041.pdf</t>
  </si>
  <si>
    <t xml:space="preserve">Guofeng Luo, Junxiang Ji, Yongyi Wu, Ruixiang Luo, Jiaru Wang, Lijuan Weng, Zhuohan Ye, Chenhui Lu, Dingqi Yang, Cheng Wang, and Longbiao Chen. 2025. UVX-ray: Urban Village Safety Risk Diagnosis Leveraging Multi-Source Urban Data. Proc. ACM Interact. Mob. Wearable Ubiquitous Technol. 9, 2, Article 41 (June 2025), 23 pages. https://doi.org/10.1145/3729477</t>
  </si>
  <si>
    <t xml:space="preserve">the data used for training the model is proprietary, since they were collected in collaboration withthe Xiamen municipal government.</t>
  </si>
  <si>
    <t xml:space="preserve">Cloud Server, local Servers</t>
  </si>
  <si>
    <t xml:space="preserve">multiple ML-Models are being used</t>
  </si>
  <si>
    <t xml:space="preserve">We propose a low-cost and automated risk diagnosis framework for urban villages, through multi-view risk feature extraction and interpretable risk prediction to diagnose security risks. To obtain contextual information about urban village potential risk hotspots, we propose crowdsensing methods to identify these hotspots and collect multi-modal data for each hotspot. Additionally, we introduce a general multiview feature representation framework to extract interpretable risk factors from the collected data. To effectively diagnose risks in urban villages, we propose a multi-view neural network with cross-view interaction capabilities. Furthermore, we integrate an interpretability module into the model to identify the critical factors that trigger risk events. • We evaluate our framework in Xiamen with real-world heterogeneous urban data. Results show that our approach predicts urban village fire risk level and traffic risk level with 89.9% and 89.4% accuracy, respectively. Furthermore, our approach can automatically provide an insightful analysis of risk factors. • We make a real-world system deployment collaborating with the Xiamen municipal government1 , as shown in Fig. 7. Our system is working on the government portal to provide services for urban authorities and citizens to query relevant statistics and risk information of urban villages in Xiamen.</t>
  </si>
  <si>
    <t>2025_Jun_042.pdf</t>
  </si>
  <si>
    <t xml:space="preserve">Jingping Nie, Yuang Fan, Ziyi Xuan, Minghui Zhao, Runxi Wan, Matthias Preindl, and Xiaofan Jiang. 2025. SoundTrack: A Contactless Mobile Solution for Real-time Running Metric Estimation for Treadmill Running in the Wild. Proc. ACM Interact. Mob. Wearable Ubiquitous Technol. 9, 2, Article 42 (June 2025), 30 pages. https://doi.org/10.1145/3729486</t>
  </si>
  <si>
    <t xml:space="preserve">Dataset Paper;Software Development</t>
  </si>
  <si>
    <t>https://github.com/Columbia-ICSL/SoundTrackDB.</t>
  </si>
  <si>
    <t xml:space="preserve">The Author's claim to give access to their developed Software called "SoundTrack". However, the Repo only contains 1)a demonstrational Video showing the Software in Action. 2) The Data that was collected by the Authors.</t>
  </si>
  <si>
    <t>smartphones</t>
  </si>
  <si>
    <t xml:space="preserve">The Instructions describe the structure and the contents of the established dataset.</t>
  </si>
  <si>
    <t xml:space="preserve">System and Algorithm Design: We design and develop SoundTrack, a privacy-aware mobile application that leverages acoustic sensing to accurately estimate running metrics.Novel Dataset with Efficient and Accurate Ground Truth Annotation: We create SoundTrackDB, a first-of-its-kind treadmill running dataset collected from 61 subjects with diverse demographics.Real-world Prototype and Validation: We implement the complete SoundTrack pipeline to run locally on mobile platforms, achieving low computational complexity while being privacy-aware without requiring user-specific calibration.We open-source SoundTrackDB and release SoundTrack as a cross-platform mobile app supporting iPhones, Android Phones, and Android Treadmills to democratize access to professional-grade running metrics1</t>
  </si>
  <si>
    <t>2025_Jun_043.pdf</t>
  </si>
  <si>
    <t xml:space="preserve">Yuuki Nishiyama, Subaru Atsumi, Kota Tsubouchi, and Kaoru Sezaki. 2025. A-UVI: GNSS-Assisted EO-based UV Index Estimation Method for Individual-level Precise UV Exposure Assessment. Proc. ACM Interact. Mob. Wearable Ubiquitous Technol. 9, 2, Article 43 (June 2025), 34 pages. https://doi.org/10.1145/3729463</t>
  </si>
  <si>
    <t xml:space="preserve">The novel Method 'A-UVI' consists of multiple processing steps. Even though these steps are described in general, the actual implementation is not shown or made public</t>
  </si>
  <si>
    <t xml:space="preserve">the UV-data from satellites is neccessary for reproducing the paper's results.</t>
  </si>
  <si>
    <t xml:space="preserve">access to satellites</t>
  </si>
  <si>
    <t xml:space="preserve">LightGBM Model, Optuna framework,scikit-learn module for python, OpenUV, GnssMeasurement API,</t>
  </si>
  <si>
    <t xml:space="preserve">Since no Code is given, also no code-focusing instructions are present.</t>
  </si>
  <si>
    <t xml:space="preserve">• We developed a novel method–A-UVI for enhancing EO-based UV index estimation by federating a GNSS signal-based attenuation ratio in shady places. This method serves as a foundational benchmark for future research in this field. • Our comprehensive performance evaluation demonstrated that A-UVI can estimate the UV index more accurately than the existing EO-based UV index estimation and SOTA method. • The study confirms that our method achieves high accuracy not only with high-precision GNSS receivers but also with conventional smartphone GNSS.</t>
  </si>
  <si>
    <t>2025_Jun_044.pdf</t>
  </si>
  <si>
    <t xml:space="preserve">Changhyeon Park, Yubin Lee, and Sang Ho Yoon. 2025. UltraBoard: Always-available Wearable Ultrasonic Mid-air Haptic Interface for Responsive and Robust VR Inputs. Proc. ACM Interact. Mob. Wearable Ubiquitous Technol. 9, 2, Article 44 (June 2025), 31 pages. https://doi.org/10.1145/3731413</t>
  </si>
  <si>
    <t xml:space="preserve">Maybe a Driver Software is needed for connecting the developed hardware with a pc, if one would try to reproduce the study's results. There are no typical, code-focused experiments done in this Study though.</t>
  </si>
  <si>
    <t xml:space="preserve">proprietary hardware is needed, such as the developed hardware system. The general components and structure are all named and described.</t>
  </si>
  <si>
    <t xml:space="preserve">• We explored the size and shape of phased arrays and distance range, enabling effective finger-level wearable UMH by simulating the spatial distribution of acoustic radiation pressure. • We proposed criteria for developing a wearable UMH form factor capable of providing feedback across the entire hand by conducting a perception study targeting the fingers. • We validated the effectiveness of the proposed interface and system guidelines by developing and evaluating a system that provides haptic feedback during VR typing.</t>
  </si>
  <si>
    <t>2025_Jun_045.pdf</t>
  </si>
  <si>
    <t xml:space="preserve">Pragnya Ramjee, Bhuvan Sachdeva, Satvik Golechha, Shreyas Kulkarni, Geeta Fulari, Kaushik Murali, and Mohit Jain. 2025. CataractBot: An LLM-powered Expert-in-the-Loop Chatbot for Cataract Patients. Proc. ACM Interact. Mob. Wearable Ubiquitous Technol. 9, 2, Article 45 (June 2025), 31 pages. https://doi.org/10.1145/3729479</t>
  </si>
  <si>
    <t>https://github.com/microsoft/BYOeB</t>
  </si>
  <si>
    <t xml:space="preserve">The Code for the build-your-own-expert-bot system is referenced with the github Link. However, the implementation of the cataractBot is not made public.</t>
  </si>
  <si>
    <t xml:space="preserve">Data is needed, to transform the result from installing the byoeb, into the presented CataractBot.This is not being sad explicitly in the Paper. However, all LLM's need data to be trained.</t>
  </si>
  <si>
    <t xml:space="preserve">not described in the Publication.</t>
  </si>
  <si>
    <t xml:space="preserve">The Readme of the referenced Repo contains various and detailled information how to install the Bot locally, how the Code is structured and what it does.</t>
  </si>
  <si>
    <t xml:space="preserve">(1) The design and development of a novel LLM-powered, experts-in-the-loop, multilingual, multimodal chatbot, created in collaboration with doctors and hospital staff to assist cataract surgery patients with their information needs. (2) The deployment of our bot in a real-world multi-stakeholder setting, among 49 cataract surgery patients/attendants, four doctors, and two patient coordinators at a tertiary eye hospital in India. (3) Drawing from a comprehensive mixed-methods analysis of gathered data, the paper offers insights specific to CataractBot and, more broadly, LLM-powered experts-in-the-loop chatbots.</t>
  </si>
  <si>
    <t>2025_Jun_046.pdf</t>
  </si>
  <si>
    <t xml:space="preserve">Lala Shakti Swarup Ray, Lars Krupp, Vitor Fortes Rey, Bo Zhou, Sungho Suh, and Paul Lukowicz. 2025. TxP: Reciprocal Generation of Ground Pressure Dynamics and Activity Descriptions for Improving Human Activity Recognition. Proc. ACM Interact. Mob. Wearable Ubiquitous Technol. 9, 2, Article 46 (June 2025), 32 pages. https://doi.org/10.1145/3732001</t>
  </si>
  <si>
    <t>https://github.com/lalasray/TxP</t>
  </si>
  <si>
    <t xml:space="preserve">Repo contains required (TxP framework) Code and Data</t>
  </si>
  <si>
    <t xml:space="preserve">could only find .py files. On the first look no trace of the actual data. It was claimed, that the dataset contains81k motions and 78 million pressure frames. </t>
  </si>
  <si>
    <t xml:space="preserve">Pressure sensors,GPU</t>
  </si>
  <si>
    <t xml:space="preserve">big LLM-models were used as a Backbone of the system (LLAMA 2 13B Chat, Mistral 7B, Gemma 2B)</t>
  </si>
  <si>
    <t xml:space="preserve">The Repo contains an empty Readme. The Documentation of the Code is very sparse.</t>
  </si>
  <si>
    <t xml:space="preserve">Framework: We introduce a novel TxP framework that facilitates the reciprocal generation of synthetic pressure data and textual descriptions of activities.PressLangDataset: We present a large-scale synthetic dataset containing paired pressure sequences and natural language descriptions of the physical activity.HAR Improvement: We conduct extensive qualitative and quantitative evaluations of both the Text2Pressure and Pressure2Text components, using Pressim [55], TMD [54], PmatData [49], MeX [71] and PID4TC [46] dataset to assess the effectiveness of our framework and conclude that Text2Pressure data augmentation alone can improve HAR results by up to 11.6%, and Pressure2Text classification grounded with atomic actions yields an improvement of up to 8.2%.</t>
  </si>
  <si>
    <t>2025_Jun_047.pdf</t>
  </si>
  <si>
    <t xml:space="preserve">Denghui Song, Anfu Zhou, Huadong Ma, and Jie Xiong. 2025. T-Oil: A Contactless Edible Oil Adulteration Perception Using Terahertz Signals. Proc. ACM Interact. Mob. Wearable Ubiquitous Technol. 9, 2, Article 47 (June 2025), 24 pages. https://doi.org/10.1145/3729468</t>
  </si>
  <si>
    <t xml:space="preserve">The Authors designed a two-stage deep learning model ,namely 'T-Oil'. The Reader does not get access to the Model.</t>
  </si>
  <si>
    <t xml:space="preserve">To test the deep learning model, one could try to input Data of different edible Oils to the neural network, in order to get the claimed results.Neither the Model, nor the Data is given.</t>
  </si>
  <si>
    <t xml:space="preserve">T-Oil-prototype' consists of: Terahertz signal source module, signal transceiver-unit, signal acquisition subsystem.The Prototype is a piece of hardware, the authors have assembled, consisting of multiple components that are available on the open market.</t>
  </si>
  <si>
    <t xml:space="preserve">dual-teacher network framework is used for model-training, which seems to be a product of the authors. They also used Pytorch</t>
  </si>
  <si>
    <t xml:space="preserve">(i) We propose a contactless method for detecting adulterated edible oils by leveraging the molecular-level sensing capability of Terahertz signals.(ii) We custom-design a two-stage deep learning model, T-Oil, to address the unique challenge of adulterated edible oil detection—leveraging contrastive learning to identify oil types in adulterated samples and employing a multi-source domain adaptation approach to quantify the proportions of different oils.(iii) We prototype T-Oil on a Terahertz broadband system and validate its effectiveness under various conditions using a total of 25,950 collected signal samples. The accuracies for identifying the edible oil type and quantifying the blending proportion are 98.3% and 96.4%, respectively.</t>
  </si>
  <si>
    <t>2025_Jun_048.pdf</t>
  </si>
  <si>
    <t xml:space="preserve">Yingjian Song, Haotian Xiang, Zixuan Zeng, Jiayu Chen, Yida Zhang, Zaid Farooq Pitafi, He Yang, Qin Lu, Xiang Zhang, Bradley G. Phillips, Fei Dou, and WenZhan Song. 2025. Multi-granularity Supervised Contrastive Learning with Online Adaptation for Contactless In-bed Posture Classification. Proc. ACM Interact. Mob. Wearable Ubiquitous Technol. 9, 2, Article 48 (June 2025), 32 pages. https://doi.org/10.1145/3729464</t>
  </si>
  <si>
    <t xml:space="preserve">The authors present a posture-classification framework and a learning framework, neither of which is referenced with a name or a repository.</t>
  </si>
  <si>
    <t xml:space="preserve">the Datasets, on which the framework is being used on, are not made publicly available.</t>
  </si>
  <si>
    <t xml:space="preserve">BedDot device : consists of 1) Raspberry Pi, ADC board 100Hz sampling rate, seismic sensor.</t>
  </si>
  <si>
    <t xml:space="preserve">(1) We introduce a novel framework for in-bed posture classification, validated with two datasets: one from 100 patients in a controlled setting and another from 11 participants’ real-sleep data collected at their own homes. Our framework achieves a balanced accuracy of 91.67% and an macro F1 score of 91.53% using only 40 seconds of labeled data per posture in the controlled environment.(2) We developed a Multi-Granularity Supervised Contrastive Learning framework that effectively leverages multi-granular information (sample-level, patient-level, and class-level).(3) We present an ensemble Online Adaptation (OA) pipeline that adapts models to new patient data while ensuring temporal consistency in posture predictions.</t>
  </si>
  <si>
    <t>2025_Jun_049.pdf</t>
  </si>
  <si>
    <t xml:space="preserve">Yuqi Su, Fusang Zhang, Beihong Jin, and Daqing Zhang. 2025. Manipulation of Acoustic Focusing for Multi-target Sensing with Distributed Microphones in Smart Car Cabin. Proc. ACM Interact. Mob. Wearable Ubiquitous Technol. 9, 2, Article 49 (June 2025), 28 pages. https://doi.org/10.1145/3729470</t>
  </si>
  <si>
    <t xml:space="preserve">The Authors developed a method for a sensing platform, capable of e.g. Driver-Activity-Detection, Human-Car Interaction, Child presence. The Authors implemented this method with their developed software. However, this software has not been made available for the reader.</t>
  </si>
  <si>
    <t xml:space="preserve">It is debatable, if any Data is needed for testing the Algorithm out, since one could establish a small dataset themself. The Authors used a dataset, containing 1000 samples of people inside a car, doing various actions, such as hand gestures, knocking, pushing, pulling a car's component...</t>
  </si>
  <si>
    <t xml:space="preserve">Car equipped with Microphone array and Speaker array. Soundcard, car power amplifier [49:15]</t>
  </si>
  <si>
    <t xml:space="preserve">• We are the first to propose the concept of acoustic focusing based sensing paradigm, achieving the 3D-spatial occupancy detection and multiple target sensing in car cabin platform. • We establish the distributed acoustic 3D beamforming model, which can focus the signal on the target under near-field conditions, and overcome the constraints of the traditional model on the target’s far field. • We propose the dual frequency signal design and differential frequency based beamforming technique, which effectively address the phase ambiguity issue for the acoustic focusing. • We build a distributed acoustic focusing based sensing system with in-car acoustic modules. We conduct benchmark experiments and implement three practical sensing applications in real cars. Compared to the existing work, we demonstrate the superior performance of the proposed system in terms of spatial occupancy detection, multi-target sensing, very subtle motion detection, and interference resistance.</t>
  </si>
  <si>
    <t>2025_Jun_050.pdf</t>
  </si>
  <si>
    <t xml:space="preserve">Jingyu Tong, Donghui Dai, Zheng Gong, and Lei Yang. 2025. Everytime Everywhere All at Once: Enhancing Temporal-Spatial Traceability of Optical Codes through Voltmarks. Proc. ACM Interact. Mob. Wearable Ubiquitous Technol. 9, 2, Article 50 (June 2025), 23 pages. https://doi.org/10.1145/3729500</t>
  </si>
  <si>
    <t xml:space="preserve">Although several Machine Learning methods are used, such as Vision Transformers orKolmogorov-Arnold Network, the main focus of this Work is the algorithmic solution to the security problem of static QR-problems. Static QR Codes underly the Risk of missing temporal Context, and the Risk of missing spatial Context, both of which amplifying the risk of being abused by attackers. To Solve this problem, the Authors present 'Voltmarks', which aim to enhance the spatial-temporal traceability by adding 'natural watermarks generated by AC flickering' to the original QR Code.</t>
  </si>
  <si>
    <t>https://github.com/BenSouchet/barcode-datasets,</t>
  </si>
  <si>
    <t xml:space="preserve">Te Authors say, that they augmented the original Dataset by overlaying known flickers onto publicly available barcode datasets. This publicly available dataset is referenced with the git-link, while the augmented one is not.</t>
  </si>
  <si>
    <t xml:space="preserve">strong Gpu (NVIDIA 4090) to train the KAN to convergence</t>
  </si>
  <si>
    <t xml:space="preserve">Vision transformer, Modelling-Algorithm (modelling of 'Bulb Spectral Response Functions', Kolmogorov-Arnold Network, Verification Algorithm, Adam optimizer</t>
  </si>
  <si>
    <t xml:space="preserve">Contribution. While AC flickers themselves are not a new phenomenon, extracting both temporal and spatial contexts from these flickers has not been previously accomplished. To the best of our knowledge, it is the first to use AC flickers as watermarks to enhance the spatial-temporal traceability of optical codes. This design strikes an effective balance between security and cost. On one hand, it does not impose additional burdens on the merchant while maintaining the accessibility and convenience of static optical codes. On the other hand, it enhances traceability and security to a level comparable to dynamic optical codes without privacy compromise. In short, our main contribution lies in the design of the Voltmark and the associated verification protocol.</t>
  </si>
  <si>
    <t>2025_Jun_051.pdf</t>
  </si>
  <si>
    <t xml:space="preserve">Liang Wang, Aoyang Chang, Boqun Liu, Zhiwen Yu, Pengfei Hu, Jia Liu, Yao Zhang, and Bin Guo. 2025. MmHSE: Enhanced Eavesdropping Attack on Headsets Leveraging COTS mmWave Radar. Proc. ACM Interact. Mob. Wearable Ubiquitous Technol. 9, 2, Article 51 (June 2025), 27 pages. https://doi.org/10.1145/3729475</t>
  </si>
  <si>
    <t xml:space="preserve">mmHSE is the authors developed software system. to test this out, one would need the system's Code, which is not referenced in the Paper.</t>
  </si>
  <si>
    <r>
      <rPr>
        <u val="single"/>
        <color rgb="FF1155CC"/>
      </rPr>
      <t>https://proceedings.neurips.cc/paper_files/paper/2019/file/f63f65b503e22cb970527f23c9ad7db1-Paper.pdf</t>
    </r>
    <r>
      <rPr/>
      <t>f</t>
    </r>
  </si>
  <si>
    <t xml:space="preserve">This study utilizes two distinct datasets. The first comprises recordings of male speakers extracted from various YouTube videos; while the structural characteristics of this dataset are detailed herein, the raw data is not publicly available. The second dataset is open-access and can be retrieved via the referenced external publication.</t>
  </si>
  <si>
    <t xml:space="preserve">mmWave-Radar equipment</t>
  </si>
  <si>
    <t xml:space="preserve">a conditional Generative Adversarial Network(cGAN)</t>
  </si>
  <si>
    <t xml:space="preserve">By differentiating diaphragm and shell vibrations, we propose the STSF method for isolating and extracting diaphragm vibrations through spatiotemporal segmentation, improving signal quality and clarity. Additionally, we develop a two-stage approach combining MVDR adaptive beamforming and CZT to accurately capture subtle diaphragm vibrations.(2) We develop mmHSE, a novel system designed for side-channel eavesdropping attacks in headset scenarios,leveraging COTS mmWave radar technology. By leveraging advanced signal processing, mmHSE captures minute diaphragm vibrations and integrates them with a cGAN-based network for clear speech recovery.Experimental results show that mmHSE significantly outperforms the current system, achieving an average improvement of 15.4% in PSNR, a 11.4% reduction in MCD, a14.5% improvement in WER and an approximately 15.1% increase in Likert Score.</t>
  </si>
  <si>
    <t>2025_Jun_052.pdf</t>
  </si>
  <si>
    <t xml:space="preserve">Yao Wang, Yufei Chen, Haibin Zhang, Minjie Lyu, and Tao Gu. 2025. S2Pair: Secure and Simple Device Pairing Using Human Bone as a Key Generator. Proc. ACM Interact. Mob. Wearable Ubiquitous Technol. 9, 2, Article 52 (June 2025), 29 pages. https://doi.org/10.1145/3729466</t>
  </si>
  <si>
    <t xml:space="preserve">1 Dataset for Pairing Evaluation: see 'Paring Evaluation' in the Paper. The used Data contains captured sound signals by a microphone, and a vibration signal caputed by the IMU. 2) 1 Dataset for Attack Evaluation. Both are not available to the Reader.</t>
  </si>
  <si>
    <t xml:space="preserve">a LM386 microphone, a 3.3V power supply,a 5V MH-MX38 audio amplifier,5V Apple Taptic Engine vibrator,3.3V MPU-6050 sensor (6-axis IMU),Arduino Uno board. These are the components, which the Authors assembled Hardware consists of.</t>
  </si>
  <si>
    <t xml:space="preserve">PerfDog Energy measurement Tool,</t>
  </si>
  <si>
    <t xml:space="preserve">We propose a novel device pairing scheme that is both secure and simple, leveraging human bone as a medium to generate and transmit user-specific pairing keys. Moreover, we present a key recovery method by modeling the characteristics of bone conduction to compensate for key confirmation errors caused by vibration interference in the bones. • We reveal through experimentation that using microphones to sense vibrations in existing bone conduction applications may pose a risk of privacy leakage. Consequently, we employ an IMU with a limited sensing range and propose a strategy to enhance sensing reliability, effectively mitigating these potential risks.This innovation is expected to pave the way for safer and more trustworthy bone conduction techniques in the future. • We build a prototype of S 2Pair using commercial sensors and conduct extensive experiments. The system achieves a true acceptance rate of 96.64% and an equal error rate of 1.96%, demonstrating its effectiveness. We also conduct a user survey, confirming the system’s high level of usability.</t>
  </si>
  <si>
    <t>2025_Jun_053.pdf</t>
  </si>
  <si>
    <t xml:space="preserve">Zhi Wang, Beihong Jin, Yuhui Chen, Fusang Zhang, Siheng Li, Junqi Ma, Tao Gong, and Yu Fu. 2025. RF-AE: Single-site Arterial Elasticity Estimation Using UWB Signals. Proc. ACM Interact. Mob. Wearable Ubiquitous Technol. 9, 2, Article 53 (June 2025), 26 pages. https://doi.org/10.1145/3729460</t>
  </si>
  <si>
    <t xml:space="preserve">The Arterial Elasticity Predicition Algorithm is shown in the Study. a direct Implemenation is not made public. One could try to implement the algorithm based on the descrption.</t>
  </si>
  <si>
    <t xml:space="preserve">The authors created a proprietary dataset.</t>
  </si>
  <si>
    <t xml:space="preserve">proprietary hardware assembled by the Authors. The specific components are not described.</t>
  </si>
  <si>
    <t xml:space="preserve">• We combine biomedical signal processing and deep learning to extract pulse wave signals, using signal preprocessing algorithms to remove noise interference and a deep learning model to capture subtle characteristics of vasoconstriction and vasodilation and focus on critical features of pulse waves implied in the signals.• We design an algorithm to extract features related to arterial elasticity from the pulse waves, adopt random forest regression to predict baPTT and a body-height based method to estimate the length of the pulse transit path, so as to achieve single-site arterial elasticity assessment. • We conduct extensive experiments, and the experimental results show that RF-AE can accurately assess the arterial elasticity of users with a median percentage error of 5.47%.</t>
  </si>
  <si>
    <t>2025_Jun_054.pdf</t>
  </si>
  <si>
    <t xml:space="preserve">Ben Weinshel, Yuvraj Agarwal, and Lujo Bauer. 2025. "I would still use it but I wouldn't trust it": Evaluating Mechanisms for Transparency and Control for Smart-Home Sensors. Proc. ACM Interact. Mob. Wearable Ubiquitous Technol. 9, 2, Article 54 (June 2025), 33 pages. https://doi.org/10.1145/3729480</t>
  </si>
  <si>
    <t>2025_Jun_055.pdf</t>
  </si>
  <si>
    <t xml:space="preserve">Yuezhong Wu, Wei Song, Chun Tung Chou, Jiankun Hu, and Wen Hu. 2025. HandID: Towards Unobtrusive Gesture-independent User Authentication on Smartphones Using Vibration-based Hand Biometrics. Proc. ACM Interact. Mob. Wearable Ubiquitous Technol. 9, 2, Article 55 (June 2025), 27 pages. https://doi.org/10.1145/3729489</t>
  </si>
  <si>
    <t xml:space="preserve">Authors collected a dataset from 50 subjects across nine grip gestures; no dataset release or link provided.</t>
  </si>
  <si>
    <t xml:space="preserve">Commercial smartphones (Samsung Galaxy S22, Google Pixel 4, Motorola Edge 30) using built-in vibration motor and accelerometer; model training reported on an NVIDIA RTX 2080 GPU.</t>
  </si>
  <si>
    <t xml:space="preserve">Implementation uses standard ML tools.</t>
  </si>
  <si>
    <t xml:space="preserve">Comprehensive experiments with 50 subjects show that HandID achieves an authentication accuracy of 92.5%, with a false acceptance rate (FAR) of 5.2% and a false rejection rate (FRR) of 5.6%.</t>
  </si>
  <si>
    <t>2025_Jun_056.pdf</t>
  </si>
  <si>
    <t xml:space="preserve">Di Xiong, Lei Zhang, Shuoyuan Wang, Dongzhou Cheng, and Wenbo Huang. 2025. Deconfounding Causal Inference through Two-branch Framework with Early-forking for Sensor-based Cross-domain Activity Recognition. Proc. ACM Interact. Mob. Wearable Ubiquitous Technol. 9, 2, Article 56 (June 2025), 30 pages. https://doi.org/10.1145/3729495</t>
  </si>
  <si>
    <t xml:space="preserve">Uses public HAR datasets (DSADS, USC-HAD, PAMAP2, UCI-HAR); no dataset links provided.</t>
  </si>
  <si>
    <t xml:space="preserve">RTX 3090 GPU for training; Raspberry Pi 5 Model B for deployment; MotionNode IMU used in a case study.</t>
  </si>
  <si>
    <t xml:space="preserve">PyTorch 1.8.1 and Android Studio used; both open-source/free.</t>
  </si>
  <si>
    <t xml:space="preserve">No runnable repository or step-by-step reproduction instructions provided.</t>
  </si>
  <si>
    <t xml:space="preserve">Detailed ablation and visualizations analyses reveal underlying casual mechanism, indicating its effectiveness, efficiency, and universality in cross-domain activity recognition scenario.</t>
  </si>
  <si>
    <t>2025_Jun_057.pdf</t>
  </si>
  <si>
    <r>
      <rPr/>
      <t xml:space="preserve">Qiling Xu, Binbin Xie, Xianjin Xia, Shuai Wang, Lu Wang, and Zhimeng Yin. 2025. Combating Chirp Interference for Multi-target LoRa Localization. Proc. ACM Interact. Mob. Wearable Ubiquitous Technol. 9, 2, Article 57 (June 2025), 26 pages. </t>
    </r>
    <r>
      <rPr>
        <u val="single"/>
        <color rgb="FF1155CC"/>
      </rPr>
      <t>https://doi.org/10.1145/3729491</t>
    </r>
  </si>
  <si>
    <t xml:space="preserve">No code repository or executable link mentioned; methods and parameters described in the paper.</t>
  </si>
  <si>
    <t xml:space="preserve">Prototype uses LoRa nodes (SX1278 + STM32F030) and USRP B210–based gateways synchronized by an SI5338 clock; 4-antenna arrays; GPS smartphone and AK-800 laser rangefinder for ground truth.</t>
  </si>
  <si>
    <t xml:space="preserve">Paper details algorithms and experimental setup but provides no runnable repository or step-by-step reproduction guide.</t>
  </si>
  <si>
    <t xml:space="preserve">Evaluations under different settings demonstrate that CLoc achieves median localization errors of 3.3 m in a 293,250 m2 outdoor area and 3.5 m in a 6,750 m2 indoor area, reducing the localization errors by up to 90.6% compared with the state-of-the-art single LoRa node localization method.</t>
  </si>
  <si>
    <t>2025_Jun_058.pdf</t>
  </si>
  <si>
    <r>
      <rPr/>
      <t xml:space="preserve">Ziqi Xu, Jingwen Zhang, Simon Haroutounian, Hanyang Liu, Zihan Cao, Gabrielle Rose Messner, Harutyun B. Alaverdyan, Saivee Ahuja, Rahul Koshy, Joel Hanns, Madelyn Frumkin, Thomas L. Rodebaugh, and Chenyang Lu. 2025. Incorporating Uncertainty in Predictive Models Using Mobile Sensing and Clinical Data: A Case Study on Persistent Post-surgical Pain. Proc. ACM Interact. Mob. Wearable Ubiquitous Technol. 9, 2, Article 58 (June 2025), 33 pages. </t>
    </r>
    <r>
      <rPr>
        <u val="single"/>
        <color rgb="FF1155CC"/>
      </rPr>
      <t>https://doi.org/10.1145/3729488</t>
    </r>
  </si>
  <si>
    <t xml:space="preserve">No author-released repository; implementation described using PyTorch and scikit-learn; a prior TMC repo is cited but not sufficient to reproduce this study.</t>
  </si>
  <si>
    <t xml:space="preserve">Participants’ personal smartphones used to collect EMA prior to surgery; no specialized sensing hardware reported.</t>
  </si>
  <si>
    <t xml:space="preserve">LifeData smartphone app for EMA; EPIC EHR and REDCap used for clinical/survey data; modeling uses open-source PyTorch, scikit-learn, and imbalanced-learn.</t>
  </si>
  <si>
    <t xml:space="preserve">Paper details models, data modalities, and evaluation but provides no runnable repository or step-by-step reproduction guide.</t>
  </si>
  <si>
    <t xml:space="preserve">This work is expected to contribute to personalized perioperative care by effectively integrating traditional clinical and mobile sensing data through an end-to-end uncertainty-aware framework.</t>
  </si>
  <si>
    <t>2025_Jun_059.pdf</t>
  </si>
  <si>
    <r>
      <rPr/>
      <t xml:space="preserve">Hongliu Yang, Duo Zhang, Xusheng Zhang, Jie Xiong, Zizhou Fan, Wanru Ning, Weiyan Chen, Fusang Zhang, Zijun Han, and Daqing Zhang. 2025. From Spatial Domain to Temporal Domain: Unleashing the Capability of CFAR for mmWave Point Cloud Generation. Proc. ACM Interact. Mob. Wearable Ubiquitous Technol. 9, 2, Article 59 (June 2025), 29 pages. </t>
    </r>
    <r>
      <rPr>
        <u val="single"/>
        <color rgb="FF1155CC"/>
      </rPr>
      <t>https://doi.org/10.1145/3729465</t>
    </r>
  </si>
  <si>
    <t xml:space="preserve">Raw ADC data collected but no dataset release or links.</t>
  </si>
  <si>
    <t xml:space="preserve">COTS mmWave radars; Orbbec Astra camera for ground truth; sliding rail for controlled motion.</t>
  </si>
  <si>
    <t xml:space="preserve">MATLAB used only for timing measurements, not required to reproduce the method.</t>
  </si>
  <si>
    <t xml:space="preserve">mmPC significantly improves point cloud quality, increasing the number of cloud points by 148.6% compared to the state-of-the-art systems.</t>
  </si>
  <si>
    <t>2025_Jun_060.pdf</t>
  </si>
  <si>
    <r>
      <rPr/>
      <t xml:space="preserve">Luca Jiang-Tao Yu, Running Zhao, Sijie Ji, Edith C.H. Ngai, and Chenshu Wu. 2025. USpeech: Ultrasound-Enhanced Speech with Minimal Human Effort via Cross-Modal Synthesis. Proc. ACM Interact. Mob. Wearable Ubiquitous Technol. 9, 2, Article 60 (June 2025), 31 pages. </t>
    </r>
    <r>
      <rPr>
        <u val="single"/>
        <color rgb="FF1155CC"/>
      </rPr>
      <t>https://doi.org/10.1145/3729462</t>
    </r>
  </si>
  <si>
    <t>https://github.com/aiot-lab/USpeech/</t>
  </si>
  <si>
    <t xml:space="preserve">Paper provides a GitHub link for the implementation.</t>
  </si>
  <si>
    <r>
      <rPr>
        <u val="single"/>
        <color rgb="FF434343"/>
      </rPr>
      <t>https://keithito.com/LJ-Speech-Dataset/</t>
    </r>
    <r>
      <rPr>
        <color indexed="64"/>
      </rPr>
      <t>;</t>
    </r>
    <r>
      <rPr>
        <u val="single"/>
        <color rgb="FF434343"/>
      </rPr>
      <t>http://homepages.inf.ed.ac.uk/jyamagis/page3/page58/page58.html</t>
    </r>
  </si>
  <si>
    <t xml:space="preserve">Uses public speech-only datasets; authors own audio dataset collected for training/evaluation is not released.</t>
  </si>
  <si>
    <t xml:space="preserve">Smartphone speaker and microphone used to transmit/receive ultrasound for data acquisition; no custom hardware required for reproduction.</t>
  </si>
  <si>
    <t xml:space="preserve">Paper links to the GitHub repo; step-by-step run commands are not detailed in the paper.</t>
  </si>
  <si>
    <t xml:space="preserve">Comprehensive experiments show USpeech achieves remarkable performance using synthetic ultrasound data comparable to physical data, outperforming state-of-the-art ultrasound-based speech enhancement baselines.</t>
  </si>
  <si>
    <t>2025_Jun_061.pdf</t>
  </si>
  <si>
    <r>
      <rPr/>
      <t xml:space="preserve">Kuang Yuan, Dong Li, Hao Zhou, Zhehao Li, Lili Qiu, Swarun Kumar, and Jie Xiong. 2025. WindDancer: Understanding Acoustic Sensing under Ambient Airflow. Proc. ACM Interact. Mob. Wearable Ubiquitous Technol. 9, 2, Article 61 (June 2025), 25 pages. </t>
    </r>
    <r>
      <rPr>
        <u val="single"/>
        <color rgb="FF1155CC"/>
      </rPr>
      <t>https://doi.org/10.1145/3729469</t>
    </r>
  </si>
  <si>
    <t>https://github.com/kuangyuan-cmu/WindDancer</t>
  </si>
  <si>
    <t xml:space="preserve">The simulation framework and signal processing algorithms are publicly available.</t>
  </si>
  <si>
    <t xml:space="preserve">Experiments collect new audio measurements (fans, motion stage) and simulations; no dataset release or links provided.</t>
  </si>
  <si>
    <t xml:space="preserve">Speaker and microphones with shared sound card; two fan types; motion stage with wooden board; anemometer; indoor setups.</t>
  </si>
  <si>
    <t xml:space="preserve">Algorithms evaluated with MATLAB; open-source repo provided for the methods.</t>
  </si>
  <si>
    <t xml:space="preserve">We envision that WindDancer establishes a theoretical foundation for understanding the impact of airflow on acoustic sensing, and advances the reliability of acoustic sensing technologies for broader adoption.</t>
  </si>
  <si>
    <t>2025_Jun_062.pdf</t>
  </si>
  <si>
    <r>
      <rPr/>
      <t xml:space="preserve">Arooj Zaidi, Giulia Barbareschi, Kai Kunze, Yun Suen Pai, and Junichi Yamaoka. 2025. TIEboard: A Digital Educational Tool for Kids Geometric Learning. Proc. ACM Interact. Mob. Wearable Ubiquitous Technol. 9, 2, Article 62 (June 2025), 27 pages. </t>
    </r>
    <r>
      <rPr>
        <u val="single"/>
        <color rgb="FF1155CC"/>
      </rPr>
      <t>https://doi.org/10.1145/3729478</t>
    </r>
  </si>
  <si>
    <t xml:space="preserve">Device logic runs on an Arduino Nano and is described with ArduinoIDE; no code repository or link provided in the paper.</t>
  </si>
  <si>
    <t xml:space="preserve">Custom TIEboard device with 5×6 grid of 7 mm holes and LEDs, Arduino Nano, potentiometer.</t>
  </si>
  <si>
    <t xml:space="preserve">ArduinoIDE (open source) used; PCB designed in Eagle, but no specific proprietary software is required to use the device.</t>
  </si>
  <si>
    <t xml:space="preserve">Paper describes interaction modes and design decisions but provides no build guide, bill of materials, or runnable code.</t>
  </si>
  <si>
    <t xml:space="preserve">The study evaluated TIEboard’s effectiveness in supporting early geometric learning, facilitating creativity and promoting collaboration among 16 children aged 5-9.</t>
  </si>
  <si>
    <t>2025_Jun_063.pdf</t>
  </si>
  <si>
    <r>
      <rPr/>
      <t xml:space="preserve">Xie Zhang, Chengxiao Li, and Chenshu Wu. 2025. TAPOR: 3D Hand Pose Reconstruction with Fully Passive Thermal Sensing for Around-Device Interactions. Proc. ACM Interact. Mob. Wearable Ubiquitous Technol. 9, 2, Article 63 (June 2025), 25 pages. </t>
    </r>
    <r>
      <rPr>
        <u val="single"/>
        <color rgb="FF1155CC"/>
      </rPr>
      <t>https://doi.org/10.1145/3729499</t>
    </r>
  </si>
  <si>
    <t>https://github.com/aiot-lab/TAPOR</t>
  </si>
  <si>
    <t xml:space="preserve">Authors state all firmware, code, models are released at the repository.</t>
  </si>
  <si>
    <t xml:space="preserve">Paper reports a 60k-sample hand-pose dataset from 10 users across 5 environments and says data are available at the repository.</t>
  </si>
  <si>
    <t xml:space="preserve">Melexis thermal array and ESP32-S3 MCU for deployment; Leap Motion and RealSense D435 used to capture ground-truth during data collection.</t>
  </si>
  <si>
    <t xml:space="preserve">Models implemented in PyTorch and converted to TensorFlow Lite Micro; both are open source.</t>
  </si>
  <si>
    <r>
      <rPr/>
      <t xml:space="preserve">We envision TAPOR to be a ubiquitous interface for around-device control and have open-sourced it at </t>
    </r>
    <r>
      <rPr>
        <u val="single"/>
        <color rgb="FF1155CC"/>
      </rPr>
      <t>https://github.com/aiot-lab/TAPOR.</t>
    </r>
  </si>
  <si>
    <t>2025_Jun_064.pdf</t>
  </si>
  <si>
    <r>
      <rPr/>
      <t xml:space="preserve">Rui Zhou, Songlin Li, Hongwang Zhang, Chenxu Liu, and Jiajun Sun. 2025. MmMulti: Multi-person Action Recognition Based on Multi-task Learning Using Millimeter Waves. Proc. ACM Interact. Mob. Wearable Ubiquitous Technol. 9, 2, Article 64 (June 2025), 25 pages. </t>
    </r>
    <r>
      <rPr>
        <u val="single"/>
        <color rgb="FF1155CC"/>
      </rPr>
      <t>https://doi.org/10.1145/3729461</t>
    </r>
  </si>
  <si>
    <t xml:space="preserve">No code repository or link mentioned in the paper.</t>
  </si>
  <si>
    <t>https://github.com/lin178-alt/mmMultiDataset</t>
  </si>
  <si>
    <t xml:space="preserve">Self-collected multi-person mmWave action dataset; authors state it is shared on GitHub.</t>
  </si>
  <si>
    <t xml:space="preserve">mmWave radar used for data collection; NVIDIA RTX 3090 GPU used for training.</t>
  </si>
  <si>
    <t xml:space="preserve">Method uses standard deep-learning components (ConvNeXt, Transformer).</t>
  </si>
  <si>
    <t xml:space="preserve">No runnable repository or step-by-step reproduction guide.</t>
  </si>
  <si>
    <t xml:space="preserve">mmMulti achieves single-person action recognition accuracy of 99.64%, independent action recognition accuracy of 91.03% for two persons, 72.38% for three persons, 64.75% for four persons, and interactive action recognition accuracy of 100% for two persons.</t>
  </si>
  <si>
    <t>2025_Jun_065.pdf</t>
  </si>
  <si>
    <r>
      <rPr/>
      <t xml:space="preserve">Guanzhou Zhu, Dong Zhao, Yixuan Song, Zilong Wang, Anfu Zhou, Huadong Ma, Xiangbin Meng, Jingjia Wang, Chunli Shao, and Yida Tang. 2025. RingBP: Towards Continuous, Comfortable, and Generalized Blood Pressure Monitoring Using a Smart Ring. Proc. ACM Interact. Mob. Wearable Ubiquitous Technol. 9, 2, Article 65 (June 2025), 24 pages. </t>
    </r>
    <r>
      <rPr>
        <u val="single"/>
        <color rgb="FF1155CC"/>
      </rPr>
      <t>https://doi.org/10.1145/3731600</t>
    </r>
  </si>
  <si>
    <t xml:space="preserve">Algorithm and system described; no code repository or link provided in the paper.</t>
  </si>
  <si>
    <t xml:space="preserve">Self-collected datasets (85-participant ring study) used for analysis and evaluation; no dataset release or links provided.</t>
  </si>
  <si>
    <t xml:space="preserve">Custom smart ring prototype.</t>
  </si>
  <si>
    <t xml:space="preserve">Android app and a Python program are mentioned for data collection; no proprietary or closed-source software is required.</t>
  </si>
  <si>
    <t xml:space="preserve">Paper details hardware design and algorithms but provides no runnable repository or step-by-step reproduction guide.</t>
  </si>
  <si>
    <t xml:space="preserve">We design and implement a smart ring prototype and conduct extensive experiments involving 85 participants, demonstrating its superiority over other solutions.</t>
  </si>
  <si>
    <t>2025_Jun_066.pdf</t>
  </si>
  <si>
    <r>
      <rPr/>
      <t xml:space="preserve">Shuli Zhu, Lingkun Li, Xuyu Wang, Qiang Ni, Yuqin Jiang, Hui Gao, Zhaobing Han, and Ruipeng Gao. 2025. Large-Scale Indoor Localization via Outdoor Crowdsourcing Trajectories on Ride-Hailing Platform. Proc. ACM Interact. Mob. Wearable Ubiquitous Technol. 9, 2, Article 66 (June 2025), 23 pages. </t>
    </r>
    <r>
      <rPr>
        <u val="single"/>
        <color rgb="FF1155CC"/>
      </rPr>
      <t>https://doi.org/10.1145/3729498</t>
    </r>
  </si>
  <si>
    <t>https://juderer.github.io/wifiout2in</t>
  </si>
  <si>
    <t xml:space="preserve">Large-scale DiDi ride-hailing data used (122M orders across 13M devices) are not released; a partial shopping-mall dataset is linked.</t>
  </si>
  <si>
    <t xml:space="preserve">Commodity smartphones used to scan WiFi and for controlled tests at 177 reference points (college building and shopping mall).</t>
  </si>
  <si>
    <t xml:space="preserve">Models implemented in PyTorch; no proprietary software required.</t>
  </si>
  <si>
    <t xml:space="preserve">Paper describes system and evaluation but provides no runnable repository or step-by-step reproduction guide.</t>
  </si>
  <si>
    <t xml:space="preserve">The results demonstrate that our system achieves a significant reduction of 4.35m in pickup position error compared to existing efforts, showcasing its potential for large-scale adoption.</t>
  </si>
  <si>
    <t>2025_Jun_067.pdf</t>
  </si>
  <si>
    <r>
      <rPr/>
      <t xml:space="preserve">Yang Zou, Yanguang Wan, Yonghao Zhang, Xiao Zhou, Jian Cheng, Cuixia Ma, Chun Yu, Xiaoming Deng, and Hongan Wang. 2025. Gesture Builder: Flexible Gesture Customization and Efficient Recognition on VR Devices. Proc. ACM Interact. Mob. Wearable Ubiquitous Technol. 9, 2, Article 67 (June 2025), 37 pages. </t>
    </r>
    <r>
      <rPr>
        <u val="single"/>
        <color rgb="FF1155CC"/>
      </rPr>
      <t>https://doi.org/10.1145/3729484</t>
    </r>
  </si>
  <si>
    <t>https://iscas3dv.github.io/GestureBuilder/</t>
  </si>
  <si>
    <t xml:space="preserve">Project page is provided; Github repo link does not work.</t>
  </si>
  <si>
    <t xml:space="preserve">Large-scale static posture dataset and user-study gestures described; no download link provided in the paper.</t>
  </si>
  <si>
    <t xml:space="preserve">Oculus Quest 2 headset used for hand tracking and VR interface; authors trained the model on a PC with an RTX 3060 GPU.</t>
  </si>
  <si>
    <t xml:space="preserve">Implementation mentions Unity 2021.3.19f1c1 and PyTorch, but no proprietary non-open-source software is strictly required by design.</t>
  </si>
  <si>
    <t xml:space="preserve">The paper outlines the system and algorithms; no runnable repository or step-by-step reproduction instructions are provided (only a project page).</t>
  </si>
  <si>
    <t xml:space="preserve">Our approach surpasses previous methods by enhancing gesture diversity and reducing constraints on gesture customization.</t>
  </si>
  <si>
    <t>2025_Mar_001.pdf</t>
  </si>
  <si>
    <r>
      <rPr>
        <sz val="11"/>
      </rPr>
      <t xml:space="preserve">Matteo Busso, Andrea Bontempelli, Leonardo Javier Malcotti, Lakmal Meegahapola, Peter Kun, Shyam Diwakar, Chaitanya Nutakki, Marcelo Dario Rodas Britez, Hao Xu, Donglei Song, Salvador Ruiz Correa, Andrea-Rebeca Mendoza-Lara, George Gaskell, Sally Stares, Miriam Bidoglia, Amarsanaa Ganbold, Altangerel Chagnaa, Luca Cernuzzi, Alethia Hume, Ronald Chenu-Abente, Roy Alia Asiku, Ivan Kayongo, Daniel Gatica-Perez, Amalia de Götzen, Ivano Bison, and Fausto Giunchiglia. 2025. DiversityOne: A Multi-Country Smartphone Sensor Dataset for Everyday Life Behavior Modeling. Proc. ACM Interact. Mob. Wearable Ubiquitous Technol. 9, 1, Article 1 (March 2025), 49 pages. </t>
    </r>
    <r>
      <rPr>
        <u val="single"/>
        <sz val="11"/>
        <color rgb="FF1155CC"/>
      </rPr>
      <t>https://doi.org/10.1145/3712289</t>
    </r>
  </si>
  <si>
    <t>Mar</t>
  </si>
  <si>
    <t xml:space="preserve">"No source code needs to be made available for the release of this dataset."</t>
  </si>
  <si>
    <r>
      <rPr>
        <u val="single"/>
        <color rgb="FF1155CC"/>
      </rPr>
      <t>https://livepeople.disi.unitn.it</t>
    </r>
    <r>
      <rPr/>
      <t>;</t>
    </r>
    <r>
      <rPr>
        <u val="single"/>
        <color rgb="FF1155CC"/>
      </rPr>
      <t>https://datascientia.disi.unitn.it/projects/diversityone/</t>
    </r>
  </si>
  <si>
    <t xml:space="preserve">bundles available, whole dataset upon request</t>
  </si>
  <si>
    <t xml:space="preserve">description of dataset in catalog and on seperate website</t>
  </si>
  <si>
    <t xml:space="preserve">DiversityOne is publicly released with a comprehensive description of the study design and data collection process, highlighting key insights, lessons learned, and future research directions toward diversity- and privacy-aware studies.</t>
  </si>
  <si>
    <t>2025_Mar_002.pdf</t>
  </si>
  <si>
    <t xml:space="preserve">Yifeng Cai, Ziqi Zhang, Ding Li, Yao Guo, and Xiangqun Chen. 2025. Moss: Proxy Model-based Full-Weight Aggregation in Federated Learning with Heterogeneous Models. Proc. ACM Interact. Mob. Wearable Ubiquitous Technol. 9, 1, Article 2 (March 2025), 31 pages. https://doi.org/10.1145/3712274</t>
  </si>
  <si>
    <t xml:space="preserve">"Availability: We will provide the implementation of Moss after the paper is published." not specified where</t>
  </si>
  <si>
    <t xml:space="preserve">public datasets where used</t>
  </si>
  <si>
    <t xml:space="preserve"> Huawei Mate X3,Google Pixel 5, Huawei Harmony TV SE for testbed experiments</t>
  </si>
  <si>
    <t xml:space="preserve">pytorch, python</t>
  </si>
  <si>
    <t xml:space="preserve">Our experiments on designed applications show that Moss outperforms other state-of-the-art methods by increasing accuracy by up to 8.6 percentage points, decreasing training time by 62.9%, and reducing energy consumption by up to 6.1×</t>
  </si>
  <si>
    <t>2025_Mar_003.pdf</t>
  </si>
  <si>
    <t xml:space="preserve">Ka Ho Chiu, Handi Yin, Weipeng Zhuo, Chul-Ho Lee, and S.-H. Gary Chan. 2025. Graph-based Fingerprint Update Using Unlabelled WiFi Signals. Proc. ACM Interact. Mob. Wearable Ubiquitous Technol. 9, 1, Article 3 (March 2025), 26 pages. https://doi.org/10.1145/3712277</t>
  </si>
  <si>
    <t>https://github.com/khchiuac/GUFU</t>
  </si>
  <si>
    <t xml:space="preserve">in the repo : "data sampled from one of our mall test sites"</t>
  </si>
  <si>
    <t xml:space="preserve">instructions to run multiple python scripts in order to reproduce results</t>
  </si>
  <si>
    <t xml:space="preserve">GUFU is shown to achieve remarkably higher fingerprint adaptivity as compared with other state-of-the-art approaches, with error reduction of 21.4% and 29.8% in RSS values and location prediction, respectively.</t>
  </si>
  <si>
    <t>2025_Mar_004.pdf</t>
  </si>
  <si>
    <t xml:space="preserve">Han Hao, Wei Xi, Andreas Kuster, Amalinda Gamage, and Xianjin Xia. 2025. MC-LoRa: Multi-node Concurrent Localization for LoRaWAN Indoors and Outdoors. Proc. ACM Interact. Mob. Wearable Ubiquitous Technol. 9, 1, Article 4 (March 2025), 32 pages. https://doi.org/10.1145/3712279</t>
  </si>
  <si>
    <t xml:space="preserve">pseudocode, no implementation</t>
  </si>
  <si>
    <t xml:space="preserve">COTS LoRa nodes and existing LoRaWAN networks</t>
  </si>
  <si>
    <t xml:space="preserve">Matalab for implementation, or c++</t>
  </si>
  <si>
    <t xml:space="preserve">MC-LoRa achieves median errors of 7.1m (single-node), 9.2m (multi-node) in an outdoor area of 140m × 100m, and 2.0m (single-node), 3.9m (multi-node) in an indoor area of 20m × 16m, which represent improvements of 1.1×, 2× and 1.5×, 1.7× compared to the baseline. Additionally, MC-LoRa can provide localization service for hundreds of LoRaWAN nodes with accuracy comparable to that of a state-of-the-art single-node system</t>
  </si>
  <si>
    <t>2025_Mar_005.pdf</t>
  </si>
  <si>
    <t xml:space="preserve">Markus Henkel, Steffen Haesler, Hiba K. Al-Najmi, Frank Hessel, and Christian Reuter. 2025. The House That Saves Me? Assessing the Role of Smart Home Automation in Warning Scenarios. Proc. ACM Interact. Mob. Wearable Ubiquitous Technol. 9, 1, Article 5 (March 2025), 32 pages. https://doi.org/10.1145/3712269</t>
  </si>
  <si>
    <t>2025_Mar_006.pdf</t>
  </si>
  <si>
    <t xml:space="preserve">Junying Huang, Xiuzhen Guo, Chaojie Gu, Yuchen Miao, Shibo He, Yuanchao Shu, and Jiming Chen. 2025. MagKey: Empowering Wearables with Ballistocardiography-based Key Generation through Magnetic Field Vibration Sensing. Proc. ACM Interact. Mob. Wearable Ubiquitous Technol. 9, 1, Article 6 (March 2025), 28 pages. https://doi.org/10.1145/3712272</t>
  </si>
  <si>
    <t>pseudocode</t>
  </si>
  <si>
    <t xml:space="preserve">data collection of 30 volunteers for evaluation</t>
  </si>
  <si>
    <t xml:space="preserve">MagKey Prototype</t>
  </si>
  <si>
    <t xml:space="preserve">We prototype MagKey on a one-layer flexible printed circuit (FPC) and a two-layer printed circuit board (PCB), and follow the Institutional Review Board (IRB) protocol to conduct extensive experiments in different environments to evaluate its usability, effectiveness, and security</t>
  </si>
  <si>
    <t>2025_Mar_007.pdf</t>
  </si>
  <si>
    <t xml:space="preserve">Kianoosh Kazemi, Iman Azimi, Pasi Liljeberg, and Amir M. Rahmani. 2025. Respiration Rate Estimation via Smartwatch-based Photoplethysmography and Accelerometer Data: A Transfer Learning Approach. Proc. ACM Interact. Mob. Wearable Ubiquitous Technol. 9, 1, Article 7 (March 2025), 24 pages. https://doi.org/10.1145/3712280</t>
  </si>
  <si>
    <t>https://github.com/kazemikianoosh/RR_Estimation.git</t>
  </si>
  <si>
    <t xml:space="preserve">link to processed data files (google drive) in the read me</t>
  </si>
  <si>
    <t xml:space="preserve">Istructions including requierement and data in the repo readme</t>
  </si>
  <si>
    <t xml:space="preserve">The proposed method shows the Mean Absolute Error (MAE) of 2.29 and 3.09 and Root Mean Squared Errors (RMSE) of 3.11 and 3.79 across PPG-DaLiA and WESAD datasets, respectively. In contrast, the best results obtained by the existing methods are an MAE of 2.68, an RMSE of 3.5 for PPG-DaLiA, an MAE of 3.46, and an RMSE of 4.02 for WESAD datasets.</t>
  </si>
  <si>
    <t>2025_Mar_008.pdf</t>
  </si>
  <si>
    <t xml:space="preserve">Hiruni Nuwanthika Kegalle, Danula Hettiachchi, Jeffrey Chan, Mark Sanderson, and Flora D. Salim. 2025. Watch Out! E-scooter Coming Through!: Multimodal Sensing of Mixed Traffic Use and Conflicts Through Riders' Ego-centric Views. Proc. ACM Interact. Mob. Wearable Ubiquitous Technol. 9, 1, Article 8 (March 2025), 23 pages. https://doi.org/10.1145/3712284</t>
  </si>
  <si>
    <t>https://github.com/HiruniNuwanthika/Electric-Scooter-Riders-Multi-Modal-Data-Analysis.git</t>
  </si>
  <si>
    <t xml:space="preserve">analysis code</t>
  </si>
  <si>
    <t xml:space="preserve">Dataset instructions in the repo, jupyter notebook code</t>
  </si>
  <si>
    <t xml:space="preserve">We applied a combination of multi-modal data analysis methods, established in the literature, to the novel context of e-scooter use. This approach enabled us to derive valuable insights into e-scooter rider behaviour, interactions, conflicts, and responses of other road users.</t>
  </si>
  <si>
    <t>2025_Mar_009.pdf</t>
  </si>
  <si>
    <t xml:space="preserve">Michael T. Knierim, Christian Zimny, Gabriel Ivucic, and Tobias Röddiger. 2025. Advancing Wearable BCI: Headphone EEG for Cognitive Load Detection in Lab and Field. Proc. ACM Interact. Mob. Wearable Ubiquitous Technol. 9, 1, Article 9 (March 2025), 26 pages. https://doi.org/10.1145/3712283</t>
  </si>
  <si>
    <t>2025_Mar_010.pdf</t>
  </si>
  <si>
    <t xml:space="preserve">Kaylee Yaxuan Li, Yasha Iravantchi, Yichen Zhu, Hyunmin Park, and Alanson P. Sample. 2025. HandSAW: Wearable Hand-based Event Recognition via On-Body Surface Acoustic Waves. Proc. ACM Interact. Mob. Wearable Ubiquitous Technol. 9, 1, Article 10 (March 2025), 29 pages. https://doi.org/10.1145/3712276</t>
  </si>
  <si>
    <t xml:space="preserve">the machine learning based event classification could be reproduced.</t>
  </si>
  <si>
    <t xml:space="preserve">One Dataset is referenced in the References. It is most probably not the one, that the authors used for training or testing their machine learning model. No Explanations regarding which datasets in specific are being used was found.</t>
  </si>
  <si>
    <t xml:space="preserve">proprietary Hardware of the Authors. Components: Sonion Voice PickUp (VPU) sensors,ESP32-S3 microcontroller, 4x mono-microphone,A 3.7V 400mAh lithium-ion battery,</t>
  </si>
  <si>
    <t xml:space="preserve">Software for running the proprietary hardware,machine-learning models (SVM, Random Forest, Deep Learning)</t>
  </si>
  <si>
    <t xml:space="preserve">(1) A wearable platform capable of capturing SAW-based object interaction events and receiving active data transfer;(2) Experimental results showing HandSAW’s passive sensing capabilities, which can recognize 20 different hand-object interaction events consistently across 16 participants;(3) Assessment of HandSAW’s active data transfer capabilities as the way filling gap for hand interactions that do not generate sound, which can sustain 3000bps with 1% bit error rate; (4) Applications highlighting HandSAW’s utility in wearable daily activity recognition and context-driven data transfer.</t>
  </si>
  <si>
    <t>2025_Mar_011.pdf</t>
  </si>
  <si>
    <t xml:space="preserve">Jianchao Lu, Yuzhe Tian, Yang Zhang, Quan Z. Sheng, and Xi Zheng. 2025. LGL-BCI: A Motor-Imagery-Based Brain-Computer Interface with Geometric Learning. Proc. ACM Interact. Mob. Wearable Ubiquitous Technol. 9, 1, Article 11 (March 2025), 28 pages. https://doi.org/10.1145/3699732</t>
  </si>
  <si>
    <t xml:space="preserve">Code for Lightweight Geometric Learning Brain–Computer Interface is required.</t>
  </si>
  <si>
    <t xml:space="preserve">The reproducibility of the experimental results described in Section 6.3 is contingent upon the nature of the data utilized. While public datasets such as MI-KU and BCIC-IV-2a are referenced, the section indicates that the authors also recorded specific proprietary data.Further analysis is required to determine if this self-recorded data is strictly necessary to reproduce the code-based experiments.</t>
  </si>
  <si>
    <t xml:space="preserve">Components, strong enough to run machine learning models,OpenBCI Ultracortex or (b) Emotiv EPOC Flex Headsets,</t>
  </si>
  <si>
    <t xml:space="preserve">ML-Models,OpenBCI API</t>
  </si>
  <si>
    <t xml:space="preserve">To the best of our knowledge, we are the first to leverage geometric deep learning for real-world EEG signal processing with consumer-grade devices. This novel approach utilizes the SPD manifold, which provides a geometrically principled way to handle the spatial correlations in EEG data, capturing the complex, non-linear dynamics of brain signals.We propose a novel approach to reduce the dimensionality of the SPD matrix in EEG analysis by deriving a function that links geometric and Euclidean distance matrices.We apply multi-head bilinear transformation in the tangent space of the SPD manifold, rather than the traditional multi-head approach based on Euclidean space.Extensive Evaluations: Compared to existing approaches primarily tested on public datasets, our approach was validated through comprehensive experimental studies, including evaluations on two public datasets and real-world scenarios with consumer-grade hardware.The results are promising, showing competitive accuracy (72.51% vs. 72.56% for MI-KU and 76.95% vs. 77.55% for BCIC-IV-2a) with fewer parameters. In real-world scenarios, our tool exhibits significant improvements, achieving higher accuracy (82.54% vs. 62.22% of the state-of-the-art approach) with fewer parameters (64.9K vs. 183.7K) and reduced inference time (up to 4 ms faster).</t>
  </si>
  <si>
    <t>2025_Mar_012.pdf</t>
  </si>
  <si>
    <t xml:space="preserve">Tamanna Motahar, Brandon Rivera-Melo, Ross Imburgia, YeonJae Kim, James Gardner, Jeffrey Rosenbluth, and Jason Wiese. 2025. Design and Evaluation of a Power Wheelchair-based Self-tracking System to Prevent Pressure Ulcers. Proc. ACM Interact. Mob. Wearable Ubiquitous Technol. 9, 1, Article 12 (March 2025), 27 pages. https://doi.org/10.1145/3712273</t>
  </si>
  <si>
    <t xml:space="preserve">There are no code-based experiments to reproduce here.</t>
  </si>
  <si>
    <t xml:space="preserve">proprietary Hardware, which was one of the Main Subjects of this Work, is needed.</t>
  </si>
  <si>
    <t xml:space="preserve">We designed and developed a PWC-mounted self-tracking device and evaluated its feasibility in improving adherence to a high-frequency self-care activity. (2) We examined the feasibility and effectiveness of different reminder and notification modalities for a chairable system in a rehabilitation hospital setting (3) We provided rigorous design implications for future chairable self-tracking systems and identified future opportunities to facilitate reflection on personal data through data exploration in collaboration with stakeholders.</t>
  </si>
  <si>
    <t>2025_Mar_013.pdf</t>
  </si>
  <si>
    <t xml:space="preserve">Yugo Nakamura, Ryota Takao, Shogo Fukushima, and Yutaka Arakawa. 2025. Ethical Disengagement in Mobile Games: The Effects of Loading Delay and Grayscale on User Engagement. Proc. ACM Interact. Mob. Wearable Ubiquitous Technol. 9, 1, Article 13 (March 2025), 21 pages. https://doi.org/10.1145/3712281</t>
  </si>
  <si>
    <t>2025_Mar_014.pdf</t>
  </si>
  <si>
    <t xml:space="preserve">Le Ngu Nguyen, Rainhard Dieter Findling, Maija Poikela, Si Zuo, and Stephan Sigg. 2025. Transient Authentication from First-Person-View Video. Proc. ACM Interact. Mob. Wearable Ubiquitous Technol. 9, 1, Article 14 (March 2025), 31 pages. https://doi.org/10.1145/3712266</t>
  </si>
  <si>
    <t xml:space="preserve">OpenCV, OpenIMAJ, CENTRIST, PHOG, PCA, DBSCAN</t>
  </si>
  <si>
    <t xml:space="preserve">(1) PassFrame, an egocentric-video based authentication system with always-fresh challenges, (2) an implementation and evaluation of two challenge formats on a mobile platform, (3) case studies with up to 16 participants (over 146 hours of video), (4) a threat model and security evaluation with informed adversaries, and (5) an investigation of privacy preserving authentication challenges.</t>
  </si>
  <si>
    <t>2025_Mar_015.pdf</t>
  </si>
  <si>
    <t xml:space="preserve">Zhigu Qian, Jiaojiao Fu, and Yangfan Zhou. 2025. Exploring Cultural and Intergenerational Dynamics in Voice Assistant Design for Chinese Older Adults. Proc. ACM Interact. Mob. Wearable Ubiquitous Technol. 9, 1, Article 15 (March 2025), 18 pages. https://doi.org/10.1145/3712275</t>
  </si>
  <si>
    <t xml:space="preserve">The contributions of this study are twofold: First, it provides insights into the specific needs, challenges, and expectations of Chinese older adults and their adult children regarding VA adoption, with a focus on cultural and inter-generational influences. Second, it offers design implications for developing culturally responsive and age-appropriate VA that support Chinese older adults in achieving greater independence and social connection. By addressing both generational divides and cultural nuances, our research contributes to more inclusive VA designs that can enhance the quality of life for older adults in China.</t>
  </si>
  <si>
    <t>2025_Mar_016.pdf</t>
  </si>
  <si>
    <t xml:space="preserve">Tobias Röddiger, Michael Küttner, Philipp Lepold, Tobias King, Dennis Moschina, Oliver Bagge, Joseph A. Paradiso, Christopher Clarke, and Michael Beigl. 2025. OpenEarable 2.0: Open-Source Earphone Platform for Physiological Ear Sensing. Proc. ACM Interact. Mob. Wearable Ubiquitous Technol. 9, 1, Article 16 (March 2025), 33 pages. https://doi.org/10.1145/3712069</t>
  </si>
  <si>
    <t xml:space="preserve">Software Development;Hardware Development</t>
  </si>
  <si>
    <t>https://github.com/OpenEarable/open-earable-2</t>
  </si>
  <si>
    <r>
      <rPr/>
      <t xml:space="preserve">The required Code is the Firmware of the OpenEarable platform. It is explained, that the Code can be found on the website </t>
    </r>
    <r>
      <rPr>
        <u val="single"/>
        <color rgb="FF1155CC"/>
      </rPr>
      <t>https://openearable.com</t>
    </r>
    <r>
      <rPr/>
      <t xml:space="preserve"> . Repo Link: </t>
    </r>
    <r>
      <rPr>
        <u val="single"/>
        <color rgb="FF1155CC"/>
      </rPr>
      <t>https://github.com/OpenEarable/open-earable-2</t>
    </r>
  </si>
  <si>
    <t xml:space="preserve">proprietary hardware is needed (Open Earable Platform</t>
  </si>
  <si>
    <t xml:space="preserve">BLE GATT, Zephyr OS Toolchain in Visual Studio Code, Flutter Framework</t>
  </si>
  <si>
    <t xml:space="preserve">instructions include how to install all the requirements, connect the proprietary hardware to your computer,details about the hardware and how to use it.</t>
  </si>
  <si>
    <t xml:space="preserve">(1) OpenEarable 2.0 – an ergonomically designed open-source wireless earable platform for physiological sensing in both lab and field settings; (2) Open-source earable firmware and accompanying software ecosystem including a web-dashboard and mobile cross-platform app to control the device and record sensor data; (3) Empirical evidence to show OpenEarable is an ergonomic and socially acceptable device compared with state-of-the-art commercial ear-based devices; (4) Validation of OpenEarable 2.0’s sensing capabilities in terms of accuracy and precision against non-ear based, established gold-standard measurements. (5) Demonstration of the usage of OpenEarable 2.0, showing that OpenEarable 2.0 can be assembled with ease and that it lowers the entry barrier into earable computing for undergraduate students.</t>
  </si>
  <si>
    <t>2025_Mar_017.pdf</t>
  </si>
  <si>
    <t xml:space="preserve">Vijay Kumar Singh, Aryan Walecha, Ashutosh Gera, Rishabh Jay, Arani Bhattacharya, and Mukulika Maity. 2025. Slim-Sense: A Resource Efficient WiFi Sensing Framework towards Integrated Sensing and Communication. Proc. ACM Interact. Mob. Wearable Ubiquitous Technol. 9, 1, Article 17 (March 2025), 33 pages. https://doi.org/10.1145/3712271</t>
  </si>
  <si>
    <t>https://github.com/vijay13feb/SLIM-SENSE</t>
  </si>
  <si>
    <t xml:space="preserve">It is said, that the referenced github link contains the self-collected Dataset of the Authors. However, the Readme of the Repo says: "HeadGest - we will share the link soon." Viewed at 25.11.2025</t>
  </si>
  <si>
    <t xml:space="preserve">strong gpu for training the ml-model</t>
  </si>
  <si>
    <t xml:space="preserve">instructions are not very detailed. required further analysis if the instructions are sufficient for running the project.</t>
  </si>
  <si>
    <t xml:space="preserve">(a) Identifying the Scope of Slimming: We first show the feasibility of WiFi sensing using only a part of the available spectrum resources with only a minimal impact on sensing accuracy. Specifically, we show that utilizing only 30 − 50% of the bandwidth used for WiFi communication is sufficient for sensing, with only a small degradation of 4 − 14% in sensing accuracy.(b) Ensuring Environment-Aware and Application Specific Resources Selection: We design Slim-Sense that applies a Sparse Group Regularizer (SGR) to select appropriate resources to be fed onto the state-of-the-art sensing model SHARP [28]. We design a Heirarchical Reinforcement Learning (HRL) model that helps choose the minimum “useful" spectrum resources.(c) Extensive Evaluation of Slim-Sense: We evaluate Slim-Sense on three publicly available datasets and our own HeadGest dataset. The datasets vary in participants, activities, locations, and environmental setups. We compare Slim-Sense with baseline approaches and WiImg [42]. In the case of our diverse HeadGest dataset, Slim-Sense achieves 50% of resource-saving with only a 4.3% reduction in sensing accuracy compared to Max_Accu (one where we utilize all the spectrum resources). In the case of diverse activities and IEEE 802.11ax, Exposing_CSI dataset, Slim-Sense achieves resource saving over 92% with only 3.5% reduction in sensing accuracy compared to Max_Accu. In less challenging SHARPax dataset, Slim-Sense shows a negligible reduction in sensing accuracy with up to 91% resource saving compared to Max_Accu. Compared with the existing solution WiImg, overall, Slim-Sense achieves up to 42.18 more sensing accuracy with up to 28.25% more resource savings.</t>
  </si>
  <si>
    <t>2025_Mar_018.pdf</t>
  </si>
  <si>
    <t xml:space="preserve">Kai Sun, Shuai Wang, Renjie Zhao, Ruofeng Liu, Weiwei Chen, Zhimeng Yin, Wei Gong, and Shuai Wang. 2025. WULoc: Achieving Extremely Long-range High-precision Localization via Wi-Fi-UWB Connection. Proc. ACM Interact. Mob. Wearable Ubiquitous Technol. 9, 1, Article 18 (March 2025), 24 pages. https://doi.org/10.1145/3712282</t>
  </si>
  <si>
    <t xml:space="preserve">No code repository or executable link mentioned.</t>
  </si>
  <si>
    <t xml:space="preserve">Experiments collect new measurements (outdoor lawn, indoor stadium, lab) with Bosch NP02 ground-truth; no dataset release or links provided.</t>
  </si>
  <si>
    <t xml:space="preserve">USRP N310 as Wi-Fi 802.11ax transmitter; multiple UWB DW1000 modules as anchors and initiator.</t>
  </si>
  <si>
    <t xml:space="preserve">MATLAB WLAN Toolbox used to generate 802.11ax signals; GNURadio/Python used to control devices.</t>
  </si>
  <si>
    <t xml:space="preserve">Paper details design and testbed but provides no runnable repo or step-by-step reproduction guide.</t>
  </si>
  <si>
    <t xml:space="preserve">Extensive experiments show that WULoc locates a Wi-Fi device at a range of 240 meters with a precision of 5.3 meters.</t>
  </si>
  <si>
    <t>2025_Mar_019.pdf</t>
  </si>
  <si>
    <t xml:space="preserve">Megha Thukral, Sourish Gunesh Dhekane, Shruthi K. Hiremath, Harish Haresamudram, and Thomas Ploetz. 2025. Layout-Agnostic Human Activity Recognition in Smart Homes through Textual Descriptions Of Sensor Triggers (TDOST). Proc. ACM Interact. Mob. Wearable Ubiquitous Technol. 9, 1, Article 19 (March 2025), 38 pages. https://doi.org/10.1145/3712278</t>
  </si>
  <si>
    <t xml:space="preserve">Uses publicly available CASAS (Aruba, Milan, Kyoto7, Cairo) and Orange4Home datasets; no dataset link provided in the paper.</t>
  </si>
  <si>
    <t xml:space="preserve">No special hardware required; experiments are conducted on existing datasets.</t>
  </si>
  <si>
    <t xml:space="preserve">Models implemented in PyTorch (open source).</t>
  </si>
  <si>
    <t xml:space="preserve">Paper reports training settings and evaluation but provides no runnable repository or step-by-step reproduction.</t>
  </si>
  <si>
    <t xml:space="preserve">Furthermore, we conduct a detailed analysis of how the individual components of our approach affect downstream activity recognition performance.</t>
  </si>
  <si>
    <t>2025_Mar_020.pdf</t>
  </si>
  <si>
    <t xml:space="preserve">Chao Wang, Derck Chu, and Marieke Martens. 2025. ARive: Assisting Drivers with In-Car Augmented Reality for Risk Zone Detection. Proc. ACM Interact. Mob. Wearable Ubiquitous Technol. 9, 1, Article 20 (March 2025), 27 pages. https://doi.org/10.1145/3712270</t>
  </si>
  <si>
    <t xml:space="preserve">Study collects simulator logs and questionnaires; no dataset release or links provided.</t>
  </si>
  <si>
    <t xml:space="preserve">Microsoft HoloLens 2 AR-HMD; fixed-base driving simulator with three 126 cm LCD panels, Logitech G27 wheel/pedals, surround speakers.</t>
  </si>
  <si>
    <t xml:space="preserve">Unity with MRTK (deployed on HoloLens 2) and ROS for real-time link; Carla simulator for scenarios; MATLAB used offline for variable computation.</t>
  </si>
  <si>
    <t xml:space="preserve">Paper details system, formulas and study procedure but provides no runnable repo, build guide or step-by-step reproduction.</t>
  </si>
  <si>
    <t xml:space="preserve">These findings suggest the need for further optimization of AR design elements to maximize effectiveness, highlighting the potential of AR in enhancing driver awareness and safety.</t>
  </si>
  <si>
    <t>2025_Mar_021.pdf</t>
  </si>
  <si>
    <t xml:space="preserve">Dhanuja Wanniarachchi and Archan Misra. 2025. MIMIC: AI and AR-enhanced Multi-Modal, Immersive, Relative Instruction Comprehension. Proc. ACM Interact. Mob. Wearable Ubiquitous Technol. 9, 1, Article 21 (March 2025), 34 pages. https://doi.org/10.1145/3712268</t>
  </si>
  <si>
    <t xml:space="preserve">Synthetic constraint dataset and an evaluation image set are described; user study data collected; no dataset link provided</t>
  </si>
  <si>
    <t xml:space="preserve">iPhone 12 Pro with built-in LiDAR for RGB+depth capture; edge/server laptop with Intel i7-8750H and NVIDIA RTX 2070 Max-Q for DNNs</t>
  </si>
  <si>
    <t xml:space="preserve">Apple Speech API and ARKit on iOS; server uses Transformer MT model, YOLACT instance segmentation, and Open3D</t>
  </si>
  <si>
    <t xml:space="preserve">System architecture and algorithms described; no runnable repo or step-by-step reproduction instructions provided</t>
  </si>
  <si>
    <t xml:space="preserve">experimental studies, using 34 &amp; 11 users over 8 different layouts in a lab setting and 11 users in 6 different real-world home setups, show that AIRFurn offers superior performance, with significantly (∼3x) lower task completion times, much higher task (17%+) accuracy and greater user satisfaction (SUS score= 78.8) compared to baselines where users perform selection using only fully-qualified verbal commands or manipulation of AR interfaces.</t>
  </si>
  <si>
    <t>2025_Mar_022.pdf</t>
  </si>
  <si>
    <t xml:space="preserve">Meng Xue, Yinan Zhu, Wentao Xie, Zhixian Wang, Yanjiao Chen, Kui Jiang, and Qian Zhang. 2025. MobHAR: Source-free Knowledge Transfer for Human Activity Recognition on Mobile Devices. Proc. ACM Interact. Mob. Wearable Ubiquitous Technol. 9, 1, Article 22 (March 2025), 24 pages. https://doi.org/10.1145/3712620</t>
  </si>
  <si>
    <t>https://github.com/xmyun/Phar</t>
  </si>
  <si>
    <t xml:space="preserve">Source code link provided in the paper (footnote).</t>
  </si>
  <si>
    <t xml:space="preserve">Uses five public HAR datasets: HHAR, UCI, Motion, Shoaib, USC-HAD; dataset links not provided in paper.</t>
  </si>
  <si>
    <t xml:space="preserve">Smartphone with IMU (user device) and laptop/server; performance measured on iPhone 14 Pro and NVIDIA T4 GPU.</t>
  </si>
  <si>
    <t xml:space="preserve">Code repository linked but no step-by-step reproduction in paper.</t>
  </si>
  <si>
    <t xml:space="preserve">This work represents the first successful attempt at dataset-level HAR domain adaptation without access to source data, marking a significant advancement in practical HAR applications.</t>
  </si>
  <si>
    <t>2025_Mar_023.pdf</t>
  </si>
  <si>
    <t xml:space="preserve">Bufang Yang, Yunqi Guo, Lilin Xu, Zhenyu Yan, Hongkai Chen, Guoliang Xing, and Xiaofan Jiang. 2025. SocialMind: LLM-based Proactive AR Social Assistive System with Human-like Perception for In-situ Live Interactions. Proc. ACM Interact. Mob. Wearable Ubiquitous Technol. 9, 1, Article 23 (March 2025), 30 pages. https://doi.org/10.1145/3712286</t>
  </si>
  <si>
    <t xml:space="preserve">No project code or runnable reproduction repository linked in the paper.</t>
  </si>
  <si>
    <t xml:space="preserve">Uses public multi-turn dialogue datasets (DailyDialog, Synthetic-Persona-Chat, SocialDial) for evaluation; no direct dataset links provided in the paper.</t>
  </si>
  <si>
    <t xml:space="preserve">Prototype implemented on AR glasses (Android 12, camera, dual-eye displays, microphones); on-glass app plus Python server used during evaluation.</t>
  </si>
  <si>
    <t xml:space="preserve">Relies on proprietary services for core functionality: Azure Voice Recognition and GPT-4o. Also uses LangChain and scikit-learn.</t>
  </si>
  <si>
    <t xml:space="preserve">Paper describes architecture, prompts, and parameters but provides no runnable repo or step-by-step reproduction instructions.</t>
  </si>
  <si>
    <t xml:space="preserve">Evaluations on three public datasets and a user study with 20 participants show that SocialMind achieves 38.3% higher engagement compared to baselines, and 95% of participants are willing to use SocialMind in their live social interactions.</t>
  </si>
  <si>
    <t>2025_Mar_024.pdf</t>
  </si>
  <si>
    <t xml:space="preserve">Tianhong Catherine Yu, Manru Mary Zhang, Luis Miguel Malenab, Chi-Jung Lee, Jacky Hao Jiang, Ruidong Zhang, François Guimbretière, and Cheng Zhang. 2025. SeamFit: Towards Practical Smart Clothing for Automatic Exercise Logging. Proc. ACM Interact. Mob. Wearable Ubiquitous Technol. 9, 1, Article 24 (March 2025), 22 pages. https://doi.org/10.1145/3712287</t>
  </si>
  <si>
    <t xml:space="preserve">No code repository or executable link mentioned in the paper.</t>
  </si>
  <si>
    <t xml:space="preserve">New user-study dataset collected and annotated; no dataset release or link provided.</t>
  </si>
  <si>
    <t xml:space="preserve">Smart T-shirt with 6 capacitive seam electrodes and a detachable BLE sensing board, 3D-printed case.</t>
  </si>
  <si>
    <t xml:space="preserve">Signal-processing and ML implemented with PyTorch and scikit-learn; no proprietary software required.</t>
  </si>
  <si>
    <t xml:space="preserve">Paper describes detail steps and hardware components, but provides no runnable repo or step-by-step code reproduction guide.</t>
  </si>
  <si>
    <t xml:space="preserve">SeamFit is a step towards practical smart clothing for everyday uses.</t>
  </si>
  <si>
    <t>2025_Mar_025.pdf</t>
  </si>
  <si>
    <t xml:space="preserve">Qian Zhang, Kaiyi Guo, Yifei Yang, and Dong Wang. 2025. WearSE: Enabling Streaming Speech Enhancement on Eyewear Using Acoustic Sensing. Proc. ACM Interact. Mob. Wearable Ubiquitous Technol. 9, 1, Article 25 (March 2025), 30 pages. https://doi.org/10.1145/3712288</t>
  </si>
  <si>
    <r>
      <rPr/>
      <t xml:space="preserve">Audio demo page linked in paper: </t>
    </r>
    <r>
      <rPr>
        <u val="single"/>
        <color rgb="FF1155CC"/>
      </rPr>
      <t>https://github.com/WearSE/wearse.github.io</t>
    </r>
  </si>
  <si>
    <t xml:space="preserve">Paired ultrasound audio dataset collected on glasses (30 volunteers) described but not released; public AISHELL-1 and aidatatang speech corpora cited for augmentation; no dataset links in paper.</t>
  </si>
  <si>
    <t xml:space="preserve">Prototype smart-glasses with 3D-printed fixtures; earphone speaker and microphone; wired connection to smartphone for runtime.</t>
  </si>
  <si>
    <t xml:space="preserve">Implementation uses TensorFlow and an Android real-time app; Google ASR used only for CER evaluation (not required for core method).</t>
  </si>
  <si>
    <t xml:space="preserve">Paper details architecture and parameters, but no runnable repository or step-by-step reproduction instructions.</t>
  </si>
  <si>
    <t xml:space="preserve">The ability of WearSE to maintain robust speech enhancement in challenging and diverse conditions, while ensuring minimal latency, makes it a promising solution for practical deployment on smart eyewear, bridging the gap between user needs and the limitations of current commercial technologies.</t>
  </si>
  <si>
    <t>2025_Mar_026.pdf</t>
  </si>
  <si>
    <t xml:space="preserve">Hang Zhao, Kaiyan Ling, IV Ramakrishnan, M.D. Guy Schwartz, and Xiaojun Bi. 2025. Modeling Mouse-based Pointing and Steering Tasks for People with Parkinson's Disease. Proc. ACM Interact. Mob. Wearable Ubiquitous Technol. 9, 1, Article 26 (March 2025), 24 pages. https://doi.org/10.1145/3712267</t>
  </si>
  <si>
    <t xml:space="preserve">Implementation details (PyStan, Scikit-learn, PyTorch) are described, but no code repository link is provided.</t>
  </si>
  <si>
    <t>https://github.com/hangzhaosbu/Ubicomp2025-Modeling-Mouse-based-Pointing-and-Steering-Tasks-for-People-with-Parkinsons-Disease</t>
  </si>
  <si>
    <t xml:space="preserve">24-user mouse pointing and steering dataset uploaded to GitHub; used for modeling and classification.</t>
  </si>
  <si>
    <t xml:space="preserve">Laptop (Windows 11); mouse with acceleration off and mid cursor speed used in the study.</t>
  </si>
  <si>
    <t xml:space="preserve">Analyses used open-source libraries (PyStan/Stan, Scikit-learn, PyTorch) on Windows 11.</t>
  </si>
  <si>
    <t xml:space="preserve">Paper provides experimental protocol and model descriptions but no runnable repository or step-by-step code execution guide.</t>
  </si>
  <si>
    <t xml:space="preserve">Overall, our research contributes mouse-based pointing and steering models for PD users and provides CNN-Transformer models and computer interfaces for convenient PD detection.</t>
  </si>
  <si>
    <t>2024_Dec_140.pdf</t>
  </si>
  <si>
    <t xml:space="preserve">Weibin Zhang, Youpeng Li, Lingling An, Bo Wan, and Xuyu Wang. 2024. SARS: A Personalized Federated Learning Framework Towards Fairness and Robustness against Backdoor Attacks. Proc. ACM Interact. Mob. Wearable Ubiquitous Technol. 8, 4, Article 140 (December 2024), 24 pages. https://doi.org/10.1145/3678571</t>
  </si>
  <si>
    <t>https://github.com/wbzhangslab/sars-main</t>
  </si>
  <si>
    <t xml:space="preserve">"CIFAR-10, CIFAR-100, and EMNIST, which can be downloaded from their official pages" (repo)</t>
  </si>
  <si>
    <t>pytorch</t>
  </si>
  <si>
    <t xml:space="preserve">instruction in the repo including installation, no data</t>
  </si>
  <si>
    <t xml:space="preserve">Through extensive experimental results, SARS can defend against backdoor attacks and improve the fairness of the FL system by comparing several state-of-the-art FL backdoor defenses or fair FL methods, including FedAvg, Ditto, WeakDP, FoolsGold, and FLAME.</t>
  </si>
  <si>
    <t>2024_Dec_149.pdf</t>
  </si>
  <si>
    <t xml:space="preserve">Aleksej Logacjov. 2024. Self-supervised Learning for Accelerometer-based Human Activity Recognition: A Survey. Proc. ACM Interact. Mob. Wearable Ubiquitous Technol. 8, 4, Article 149 (December 2024), 42 pages. https://doi.org/10.1145/3699767</t>
  </si>
  <si>
    <t>2024_Dec_150.pdf</t>
  </si>
  <si>
    <t xml:space="preserve">Argha Sen, Nuwan Sriyantha Bandara, Ila Gokarn, Thivya Kandappu, and Archan Misra. 2024. EyeTrAES: Fine-grained, Low-Latency Eye Tracking via Adaptive Event Slicing. Proc. ACM Interact. Mob. Wearable Ubiquitous Technol. 8, 4, Article 150 (December 2024), 32 pages. https://doi.org/10.1145/3699745</t>
  </si>
  <si>
    <t>https://github.com/arghasen10/EyeTrAES</t>
  </si>
  <si>
    <t xml:space="preserve">link to subset of dataset, onne public dataset used Ev-eye</t>
  </si>
  <si>
    <t xml:space="preserve">eytracking for dataset recording</t>
  </si>
  <si>
    <t xml:space="preserve">python code</t>
  </si>
  <si>
    <t xml:space="preserve">no instruction in repo, just description where to get data</t>
  </si>
  <si>
    <t xml:space="preserve">Experimental studies with two different datasets (capturing eye movement across a range of environmental contexts) demonstrate that the EyeTrAES-based authentication technique can simultaneously achieve high authentication accuracy (∼=0.82) and low processing latency (∼=12ms), and significantly outperform multiple state-of-the-art competitive baselines.</t>
  </si>
  <si>
    <t>2024_Dec_151.pdf</t>
  </si>
  <si>
    <t xml:space="preserve">Baichen Yang, Xinyi Zhang, Jiaxi Zhang, Zirui Huang, Qiqi Lu, Jin Zhang, Hai Hu, and Qian Zhang. 2024. KneeGuard: A Calibration-free Wearable Monitoring System for Knee Osteoarthritis Gait Re-training via Effortless Wearing. Proc. ACM Interact. Mob. Wearable Ubiquitous Technol. 8, 4, Article 151 (December 2024), 29 pages. https://doi.org/10.1145/3699768</t>
  </si>
  <si>
    <t>https://github.com/KneeGuard/KneeGuard</t>
  </si>
  <si>
    <t xml:space="preserve">code and hardware design</t>
  </si>
  <si>
    <t xml:space="preserve">sample data from two subjects</t>
  </si>
  <si>
    <t xml:space="preserve">kneeguard prototype, but not to run model on dataset</t>
  </si>
  <si>
    <t xml:space="preserve">instructions in the repo, installation, data, hardware design files</t>
  </si>
  <si>
    <t xml:space="preserve">Evaluation demonstrates that KneeGuard achieves an average normalized root-mean-square error (NRMSE) of 9.95% in knee loading estimation and an average NRMSE of 8.75% in the estimation of muscle forces, comparable to the with-calibration results in existing works.</t>
  </si>
  <si>
    <t>2024_Dec_152.pdf</t>
  </si>
  <si>
    <t xml:space="preserve">Baiqiao Zhang, Xiangxian Li, Yunfan Zhou, Juan Liu, Chao Zhou, Weiying Liu, and Yulong Bian. 2024. Are We in the Zone? Exploring the Features and Method of Detecting Simultaneous Flow Experiences Based on EEG Signals. Proc. ACM Interact. Mob. Wearable Ubiquitous Technol. 8, 4, Article 152 (December 2024), 42 pages. https://doi.org/10.1145/3699774</t>
  </si>
  <si>
    <t>https://github.com/SLEEPYBQ/Simultaneious-Flow-Dataset</t>
  </si>
  <si>
    <t xml:space="preserve">repo only contains readme</t>
  </si>
  <si>
    <t xml:space="preserve">for data recording: two of the same model pc and mice</t>
  </si>
  <si>
    <t xml:space="preserve">dataset description in repo, implementation details in appendix</t>
  </si>
  <si>
    <t xml:space="preserve">We made the first attempt to recognize simultaneous flow based on EEG signals by using multiple machine learning methods. In this study, RF achieved the highest accuracy in binary classification (83.9%); NN and DNN3 performed best in ternary classification (87.2%).</t>
  </si>
  <si>
    <t>2024_Dec_153.pdf</t>
  </si>
  <si>
    <t xml:space="preserve">Bufang Yang, Siyang Jiang, Lilin Xu, Kaiwei Liu, Hai Li, Guoliang Xing, Hongkai Chen, Xiaofan Jiang, and Zhenyu Yan. 2024. DrHouse: An LLM-empowered Diagnostic Reasoning System through Harnessing Outcomes from Sensor Data and Expert Knowledge. Proc. ACM Interact. Mob. Wearable Ubiquitous Technol. 8, 4, Article 153 (December 2024), 29 pages. https://doi.org/10.1145/3699765</t>
  </si>
  <si>
    <t xml:space="preserve">three public datasets used, selfcollected (syntetic) dataset not provided</t>
  </si>
  <si>
    <t xml:space="preserve">gpt 3.5</t>
  </si>
  <si>
    <t xml:space="preserve">We validate DrHouse on both synthetic and real-world datasets. We also conduct two types of user studies involving both volunteers (N=12) and medical experts (N=20) as participants. Evaluations on both synthetic and real-world datasets show that DrHouse outperforms state-of-the-art baselines by up to 31.5% in diagnostic accuracy, and user studies indicate that DrHouse exhibits promising market potential</t>
  </si>
  <si>
    <t>2024_Dec_154.pdf</t>
  </si>
  <si>
    <t xml:space="preserve">Change Liu, Chun Yu, Xiangyang Wang, Jianxiao Jiang, Tiaoao Yang, Bingda Tang, Yingtian Shi, Chen Liang, and Yuanchun Shi. 2024. CalibRead: Unobtrusive Eye Tracking Calibration from Natural Reading Behavior. Proc. ACM Interact. Mob. Wearable Ubiquitous Technol. 8, 4, Article 154 (December 2024), 30 pages. https://doi.org/10.1145/3699737</t>
  </si>
  <si>
    <t xml:space="preserve">Tobii Eye Tracker 5</t>
  </si>
  <si>
    <t xml:space="preserve">Our method achieves accuracy error comparable to traditional 7-point mehtod after naturally reading 3 texts, which takes about 51.75 seconds</t>
  </si>
  <si>
    <t>2024_Dec_155.pdf</t>
  </si>
  <si>
    <t xml:space="preserve">Changshuo Hu, Xiao Ma, Xinger Huang, Yiran Shen, and Dong Ma. 2024. LR-Auth: Towards Practical Implementation of Implicit User Authentication on Earbuds. Proc. ACM Interact. Mob. Wearable Ubiquitous Technol. 8, 4, Article 155 (December 2024), 27 pages. https://doi.org/10.1145/3699793</t>
  </si>
  <si>
    <t xml:space="preserve">for data collection: in ear headphone prototype </t>
  </si>
  <si>
    <t xml:space="preserve">Our prototype, evaluated with 30 subjects under diverse conditions, demonstrates over 99% balanced accuracy with five 100 ms audio segments, even in noisy environments and during music playback. LR-Auth significantly reduces system overhead, achieving a 20 × to 404 × decrease in latency and a 24 × to 410 × decrease in energy consumption compared to existing methods.</t>
  </si>
  <si>
    <t>2024_Dec_156.pdf</t>
  </si>
  <si>
    <t xml:space="preserve">Chaoyi Pan, Dan Xu, Shiyuan Xu, Fuwei Wang, Chao Zheng, Bingyue Liu, and Xiaojiang Chen. 2024. Perfat: Non-contact Abdominal Obesity Assessment System. Proc. ACM Interact. Mob. Wearable Ubiquitous Technol. 8, 4, Article 156 (December 2024), 25 pages. https://doi.org/10.1145/3699727</t>
  </si>
  <si>
    <t xml:space="preserve">perfat prototype: antennas</t>
  </si>
  <si>
    <t xml:space="preserve">To evaluate the performance of Perfat, we developed a prototype using software-defined radio and conducted experiments with 50 participants. We compared Perfat with the Inbody 𝑆10 body composition analyzer and found a correlation of over 96.7%.</t>
  </si>
  <si>
    <t>2024_Dec_157.pdf</t>
  </si>
  <si>
    <r>
      <rPr/>
      <t xml:space="preserve">Chixiang Wang, Weijia He, Timothy J. Pierson, and David Kotz. 2024. Moat: Adaptive Inside/Outside Detection System for Smart Homes. Proc. ACM Interact. Mob. Wearable Ubiquitous Technol. 8, 4, Article 157 (December 2024), 31 pages. </t>
    </r>
    <r>
      <rPr>
        <u val="single"/>
        <color rgb="FF1155CC"/>
      </rPr>
      <t>https://doi.org/10.1145/3699751</t>
    </r>
  </si>
  <si>
    <t xml:space="preserve">for systemuse/ data collection wifi devices, raspberry pi 4 as observers</t>
  </si>
  <si>
    <t xml:space="preserve">Nexmon CSI monitoring software tool</t>
  </si>
  <si>
    <t xml:space="preserve">We evaluated Moat in four different homes with 21 diverse commercial smart devices and achieved an overall balanced accuracy rate of up to 95.6%. Our novel periodic adaptation technique allowed our approach to maintain high accuracy even after rearranging furniture in the home. Moat is a practical and efficient first step for monitoring and managing devices in a smart home.</t>
  </si>
  <si>
    <t>2024_Dec_158.pdf</t>
  </si>
  <si>
    <t xml:space="preserve">Chunhua Chen, Yuxin Yang, Hao Yuan, Longbiao Chen, Leye Wang, Bingqing Qu, and Dingqi Yang. 2024. Animating the Crowd Mirage: A WiFi-Positioning-Based Crowd Mobility Digital Twin for Smart Campuses. Proc. ACM Interact. Mob. Wearable Ubiquitous Technol. 8, 4, Article 158 (December 2024), 32 pages. https://doi.org/10.1145/3699792</t>
  </si>
  <si>
    <t xml:space="preserve">for own data wifi system (logs)</t>
  </si>
  <si>
    <t xml:space="preserve">The evaluation using real-world WiFi connection logs shows that CrowdMirage achieves superior performance in both crowd flow prediction and simulation tasks, with 3.35%-9.09% and 8.80%-68.92% improvement over the best-performing baselines, respectively. Our case studies also demonstrate that CrowdMirage can- not only accurately forecast cross-grained crowd flow across different cases, but also simulate interpretable crowd flow under previously seen conditions.</t>
  </si>
  <si>
    <t>2024_Dec_159.pdf</t>
  </si>
  <si>
    <t xml:space="preserve">Cui Zhao, Zhenjiang Li, Han Ding, Xieyang Sun, Wei Xi, and Jizhong Zhao. 2024. A Self-Enhancement Solution for Standard RFIDs: Software-based Cross-protocol Communication and Localization. Proc. ACM Interact. Mob. Wearable Ubiquitous Technol. 8, 4, Article 159 (December 2024), 22 pages. https://doi.org/10.1145/3699777</t>
  </si>
  <si>
    <t>https://github.com/Cui-Zhao/SENSO.</t>
  </si>
  <si>
    <t xml:space="preserve">only readme that says the code will be opensourced after release</t>
  </si>
  <si>
    <t xml:space="preserve">low cost rfid infrastructure</t>
  </si>
  <si>
    <t xml:space="preserve">ENSO can effectively deliver additional messages to LoRa devices across various indoor scenarios, e.g., through multiple floors, rooms, and corners, and extending over outdoor distances spanning kilometers. Furthermore, it achieves an average accuracy of approximately 5 to 10 centimeters in tag ranging and localization.</t>
  </si>
  <si>
    <t>2024_Dec_160.pdf</t>
  </si>
  <si>
    <t xml:space="preserve">Daniel A. Adler, Yuewen Yang, Thalia Viranda, Xuhai Xu, David C. Mohr, Anna R. Van Meter, Julia C. Tartaglia, Nicholas C. Jacobson, Fei Wang, Deborah Estrin, and Tanzeem Choudhury. 2024. Beyond Detection: Towards Actionable Sensing Research in Clinical Mental Healthcare. Proc. ACM Interact. Mob. Wearable Ubiquitous Technol. 8, 4, Article 160 (December 2024), 33 pages. https://doi.org/10.1145/3699755</t>
  </si>
  <si>
    <t>2024_Dec_161.pdf</t>
  </si>
  <si>
    <t xml:space="preserve">Feng Lyu, Jie Zhang, Huali Lu, Huaqing Wu, Fan Wu, Yongmin Zhang, and Yaoxue Zhang. 2024. SynthCAT: Synthesizing Cellular Association Traces with Fusion of Model-Based and Data-Driven Approaches. Proc. ACM Interact. Mob. Wearable Ubiquitous Technol. 8, 4, Article 161 (December 2024), 24 pages. https://doi.org/10.1145/3699730</t>
  </si>
  <si>
    <t xml:space="preserve">"As part of our final release, we will provide the implementation codes for our proposed approach, including the Android-based data collection app, the self-collected real data, the synthesized data, and SynthCAT"</t>
  </si>
  <si>
    <t xml:space="preserve">Extensive field experiments validate the efficacy of SynthCAT in terms of trace similarity to ground truths and its efficiency in supporting practical downstream applications.</t>
  </si>
  <si>
    <t>2024_Dec_162.pdf</t>
  </si>
  <si>
    <t xml:space="preserve">Gaole Dai, Huatao Xu, Hyungjun Yoon, Mo Li, Rui Tan, and Sung-Ju Lee. 2024. ContrastSense: Domain-invariant Contrastive Learning for In-the-Wild Wearable Sensing. Proc. ACM Interact. Mob. Wearable Ubiquitous Technol. 8, 4, Article 162 (December 2024), 32 pages. https://doi.org/10.1145/3699744</t>
  </si>
  <si>
    <t>https://github.com/MaginaDai/ContrastSense-Public</t>
  </si>
  <si>
    <t xml:space="preserve">public datasets are used to evaluate, all named in git repo and paper</t>
  </si>
  <si>
    <t xml:space="preserve">including where to put the data and preprocessing</t>
  </si>
  <si>
    <t xml:space="preserve">Extensive experiments show that ContrastSense outperforms the state-of-the-art baselines by 8.9% on human activity recognition with inertial measurement units and 5.6% on gesture recognition with electromyography when presented with domain shifts across users. Besides, when presented with different kinds of domain shifts across devices, on-body positions, and datasets, ContrastSense achieves consistent improvements compared with the best baselines.</t>
  </si>
  <si>
    <t>2024_Dec_163.pdf</t>
  </si>
  <si>
    <t xml:space="preserve">Haoyu Bian, Bin Guo, Sicong Liu, Yasan Ding, Shanshan Gao, and Zhiwen Yu. 2024. UbiHR: Resource-efficient Long-range Heart Rate Sensing on Ubiquitous Devices. Proc. ACM Interact. Mob. Wearable Ubiquitous Technol. 8, 4, Article 163 (December 2024), 26 pages. https://doi.org/10.1145/3699771</t>
  </si>
  <si>
    <t xml:space="preserve">4 open datasets named in paper</t>
  </si>
  <si>
    <t xml:space="preserve">mobile and embedded devices for real world evaluation</t>
  </si>
  <si>
    <t xml:space="preserve">Diverse experiments and user studies involving four devices, four tasks, and 80 participants demonstrate UbiHR’s superior performance, enhancing accuracy by up to 74.2% and reducing latency by 51.2%.</t>
  </si>
  <si>
    <t>2024_Dec_164.pdf</t>
  </si>
  <si>
    <t xml:space="preserve">Ivonne Monarca, Franceli L. Cibrian, Isabel López Hurtado, and Monica Tentori. 2024. Smartphone Haptics Can Uncover Differences in Touch Interactions Between ASD and Neurotypicals. Proc. ACM Interact. Mob. Wearable Ubiquitous Technol. 8, 4, Article 164 (December 2024), 34 pages. https://doi.org/10.1145/3699749</t>
  </si>
  <si>
    <t xml:space="preserve">iphone to run app</t>
  </si>
  <si>
    <t xml:space="preserve">sklearn, ...</t>
  </si>
  <si>
    <t xml:space="preserve">1) providing empirical evidence that demonstrates how a mobile haptic game can be used for neurotypical (NT) and children with ASD outside a clinical setting to gather their touch data, 2) sharing lessons learned from the design and development of haptic interface, which could potentially support the screening of ASD in everyday contexts, and 3) offering empirical evidence showing that tactile differences can be used to unveil digital markers that can feed a machine learning model to assist with the potentially automatic tactile screening of ASD. Our results uncovered differences between children with ASD and NT related to tilt and touch features that describe how children hold and move the mobile phone and perform touch interactions.</t>
  </si>
  <si>
    <t>2024_Dec_166.pdf</t>
  </si>
  <si>
    <t xml:space="preserve">Jixin Li, Aditya Ponnada, Wei-Lin Wang, Genevieve Dunton, and Stephen Intille. 2024. Ask Less, Learn More: Adapting Ecological Momentary Assessment Survey Length by Modeling Question-Answer Information Gain. Proc. ACM Interact. Mob. Wearable Ubiquitous Technol. 8, 4, Article 166 (December 2024), 32 pages. https://doi.org/10.1145/3699735</t>
  </si>
  <si>
    <t xml:space="preserve">public datasets mentioned in paper</t>
  </si>
  <si>
    <t xml:space="preserve">When compared against the random question omission approach that skips 50% of the questions, our method reduces imputation errors by 15%-52%. In surveys with five answer options for each question, our method can reduce the mean survey length by 34%-56% with a real-time prediction accuracy of 72%-95% for the skipped questions.</t>
  </si>
  <si>
    <t>2024_Dec_167.pdf</t>
  </si>
  <si>
    <t xml:space="preserve">Jong Ho Lee, Sunghoon Ivan Lee, and Eun Kyoung Choe. 2024. GoalTrack: Supporting Personalized Goal-Setting in Stroke Rehabilitation with Multimodal Activity Journaling. Proc. ACM Interact. Mob. Wearable Ubiquitous Technol. 8, 4, Article 167 (December 2024), 29 pages. https://doi.org/10.1145/3699723</t>
  </si>
  <si>
    <t xml:space="preserve">Microsoft Speech Services</t>
  </si>
  <si>
    <t xml:space="preserve">To this end, we iteratively designed and developed GoalTrack, an activity journaling app utilizing voice and touch to support stroke survivors in articulating their rehabilitation goals. Using GoalTrack as a probe, we conducted an in-lab user study with thirteen stroke survivor participants. We present findings on how stroke survivors utilize multimodal input for different data formats, and their perspectives on its accessibility.</t>
  </si>
  <si>
    <t>2024_Dec_168.pdf</t>
  </si>
  <si>
    <t xml:space="preserve">Kaijie Xiao, Yi Gao, Fu Li, Weifeng Xu, Pengzhi Chen, and Wei Dong. 2024. ChatCam: Embracing LLMs for Contextual Chatting-to-Camera with Interest-Oriented Video Summarization. Proc. ACM Interact. Mob. Wearable Ubiquitous Technol. 8, 4, Article 168 (December 2024), 34 pages. https://doi.org/10.1145/3699731</t>
  </si>
  <si>
    <t xml:space="preserve">prompts are given in appendix</t>
  </si>
  <si>
    <t xml:space="preserve">customized dataset is in Appendix, CIFAR-10/100 </t>
  </si>
  <si>
    <t>GPT-4</t>
  </si>
  <si>
    <t xml:space="preserve">Results show that ChatCam can understand users’ interests well, which improves the rating by 23.1%-43.9% and the ISR by 42.9%-132%. In addition, ChatCam can improve the model accuracy by 11.9%-21.1% under different memory constraints.</t>
  </si>
  <si>
    <t>2024_Dec_169.pdf</t>
  </si>
  <si>
    <t xml:space="preserve">Ke Li, Devansh Agarwal, Ruidong Zhang, Vipin Gunda, Tianjun Mo, Saif Mahmud, Boao Chen, François Guimbretiěre, and Cheng Zhang. 2024. SonicID: User Identification on Smart Glasses with Acoustic Sensing. Proc. ACM Interact. Mob. Wearable Ubiquitous Technol. 8, 4, Article 169 (December 2024), 27 pages. https://doi.org/10.1145/3699734</t>
  </si>
  <si>
    <t xml:space="preserve">requirements for reproducing the paper : 1)microcontroller firmware for implementing the signal generation and output as well as the signal acquisition and storage of the signals/results. 2) Signal Processing Software to process the raw sensor data into ready-to-be-used data for the machine learning model 3)machine learning software </t>
  </si>
  <si>
    <t xml:space="preserve">the sensor data, which was collected with the proprietary hardware, is required. Maybe one could collect it himself.</t>
  </si>
  <si>
    <t xml:space="preserve">microcontroller,speakers,ICS 43434(Multi-Mode Microphone with I²S Digital Output), Teensy® 4.1 Development Board</t>
  </si>
  <si>
    <t xml:space="preserve">machine learning model</t>
  </si>
  <si>
    <t xml:space="preserve">We proposed a low-power and minimally-obtrusive solution to the user authentication task on smart glasses, using active acoustic sensing. It demonstrated that the shape of the user’s face can be scanned with acoustic signals as biometric information for authentication. • We prototyped the system with one pair of speaker and microphone on each side of the glasses. The system maintains low-power, consuming only 32.7 mJ of energy every time it authenticates the user, excluding the machine learning model inference part. • We conducted a user study with 40 participants, validating that only 1 minute of training data for each new user guarantees that the system achieves a true positive rate of 97.4%, a false positive rate of 4.3%, and a balanced accuracy of 96.6%. The performance remains relatively consistent in evaluations across different days.</t>
  </si>
  <si>
    <t>2024_Dec_170.pdf</t>
  </si>
  <si>
    <t xml:space="preserve">Kunpeng Huang, Yasha Iravantchi, Dongyao Chen, and Alanson P. Sample. 2024. MagDesk: Interactive Tabletop Workspace Based on Passive Magnetic Tracking. Proc. ACM Interact. Mob. Wearable Ubiquitous Technol. 8, 4, Article 170 (December 2024), 31 pages. https://doi.org/10.1145/3699756</t>
  </si>
  <si>
    <t xml:space="preserve">Software for the MagDesk is required.</t>
  </si>
  <si>
    <t xml:space="preserve">real-time sensor data is required.</t>
  </si>
  <si>
    <t xml:space="preserve">175 × 95 cm wooden desk,array of 112 commercial-off-the-shelf, low-cost magnetometers (MLX90393),40 cm-long printed circuit boards</t>
  </si>
  <si>
    <t xml:space="preserve">Ceres Solver library,pybind11,Kalman Filter,HTC Vive System/SteamVR Base Station,Unity</t>
  </si>
  <si>
    <t xml:space="preserve">(1) A real-time magnetic tracking algorithm with adaptive filtering, enabling accurate and robust tracking; (2) A passive multi-magnet tracking approach with 600 mm sensing range; (3) A series of eight magnetic primitives for intuitive tangible interactions; (4) A demonstration of MagDesk’s real-world applications with two example usage scenarios and user evaluations.</t>
  </si>
  <si>
    <t>2024_Dec_171.pdf</t>
  </si>
  <si>
    <t xml:space="preserve">Luca-Maxim Meinhardt, Mark Colley, Marjana Tahmid, Max Rädler, and Enrico Rukzio. 2024. Wind of Change: Investigating Information Visualizations for Passengers and Residents' Perception of Automated Urban Air Mobility. Proc. ACM Interact. Mob. Wearable Ubiquitous Technol. 8, 4, Article 171 (December 2024), 31 pages. https://doi.org/10.1145/3699753</t>
  </si>
  <si>
    <t>2024_Dec_172.pdf</t>
  </si>
  <si>
    <t xml:space="preserve">Luoyu Mei, Ruofeng Liu, Zhimeng Yin, Qingchuan Zhao, Wenchao Jiang, Shuai Wang, Kangjie Lu, and Tian He. 2024. MmSpyVR: Exploiting mmWave Radar for Penetrating Obstacles to Uncover Privacy Vulnerability of Virtual Reality. Proc. ACM Interact. Mob. Wearable Ubiquitous Technol. 8, 4, Article 172 (December 2024), 29 pages. https://doi.org/10.1145/3699772</t>
  </si>
  <si>
    <t>https://github.com/luoyumei1-a/mmSpyVR/</t>
  </si>
  <si>
    <t xml:space="preserve">matlab data is required, and given in the github Repo.</t>
  </si>
  <si>
    <t xml:space="preserve">mm-Wave radar IWR6843-ODS.,3TX and 4RX antenna array,strong Gpu (RTX 4060,</t>
  </si>
  <si>
    <t xml:space="preserve">PointNet, LSTM-network, Pytorch, TensorFlow</t>
  </si>
  <si>
    <t xml:space="preserve">instructions include a general discription of the differnt Moudles. It is not described how to run the Code.</t>
  </si>
  <si>
    <t xml:space="preserve">To the best of our knowledge, mmSpyVR is the first attack on VR users’ privacy via mmWave radar without physical and virtual connection with VR users. We investigate the feasibility of VR spying in various practical system settings and verify the ability of mmWave signals to penetrate obstacles. • Technically, our design incorporates a VR feature extraction module founded on transfer learning to extract VR features despite the presence of obstacles. Additionally, we design an attention-based VR privacy spying model aimed at spying on the private information of VR users. • Experimentally, we evaluate our system on 22 participants in 4 experimental scenes utilizing commodity VR devices from three different manufacturers and collect 12TB data in total. Experimental results show that mmSpyVR achieves 98.5% and 92.6% accuracy in activity type and keystroke spying.</t>
  </si>
  <si>
    <t>2024_Dec_173.pdf</t>
  </si>
  <si>
    <t xml:space="preserve">Manasa Kalanadhabhatta, Mohammad Mehdi Rastikerdar, Tauhidur Rahman, Adam S. Grabell, and Deepak Ganesan. 2024. Playlogue: Dataset and Benchmarks for Analyzing Adult-Child Conversations During Play. Proc. ACM Interact. Mob. Wearable Ubiquitous Technol. 8, 4, Article 173 (December 2024), 34 pages. https://doi.org/10.1145/3699775</t>
  </si>
  <si>
    <r>
      <rPr/>
      <t xml:space="preserve">Dataset is given: </t>
    </r>
    <r>
      <rPr>
        <u val="single"/>
        <color rgb="FF1155CC"/>
      </rPr>
      <t>https://huggingface.co/datasets/playlogue/playlogue-v1.</t>
    </r>
    <r>
      <rPr/>
      <t xml:space="preserve"> Different Models that were pretrained were used throughout this work. There were also models, that had been trained with the collected dataset. The Reader does not get access to this trained models.</t>
    </r>
  </si>
  <si>
    <r>
      <rPr/>
      <t xml:space="preserve"> </t>
    </r>
    <r>
      <rPr>
        <u val="single"/>
        <color rgb="FF1155CC"/>
      </rPr>
      <t>https://huggingface.co/datasets/playlogue/playlogue-v1</t>
    </r>
  </si>
  <si>
    <t xml:space="preserve">Gpu with a lot of VRAM </t>
  </si>
  <si>
    <t xml:space="preserve">GPT 4, GPT 3.5, Meta Llama3 (8B) models and respective API's.</t>
  </si>
  <si>
    <t xml:space="preserve">We curate a dataset, Playlogue, containing over 33 hours of adult-child interaction audio recorded during play sessions from three different corpora plus non-play sessions from one additional corpus.(2) Using this dataset, we first evaluate the performance of state-of-the-art speaker diarization models trained to segment adult-adult interactions on adult-child speech.(3) Second, we examine several state-of-the-art ASR models to understand the extent of performance degradation when applied to parent-child interactions compared to typical adult speech.(4) Third, we investigate the ability of state-of-the-art LLMs and sentence transformer models to predict DPICS labels.(5) Finally, we conduct a pilot study to record in-home parent-child interactions using a smartphone app.</t>
  </si>
  <si>
    <t>2024_Dec_174.pdf</t>
  </si>
  <si>
    <t xml:space="preserve">Marius Bock, Michael Moeller, and Kristof Van Laerhoven. 2024. Temporal Action Localization for Inertial-based Human Activity Recognition. Proc. ACM Interact. Mob. Wearable Ubiquitous Technol. 8, 4, Article 174 (December 2024), 19 pages. https://doi.org/10.1145/3699770</t>
  </si>
  <si>
    <t>https://github.com/mariusbock/tal_for_har</t>
  </si>
  <si>
    <t xml:space="preserve">Repo contains Code, and another Link leading to the required datasets</t>
  </si>
  <si>
    <t xml:space="preserve">NVIDIA GeForce RTX 4090 with an AMD Ryzen 7800 X3D.</t>
  </si>
  <si>
    <t xml:space="preserve">since Deep learning and neural network models are used, one most probably needs the respective API's/models.</t>
  </si>
  <si>
    <t xml:space="preserve">instructions include how to install the Code, download the datasets,and reproduce the experiments.</t>
  </si>
  <si>
    <t xml:space="preserve">(1) We demonstrate the capabilities of a novel approach to inertial-based HAR, being single-stage TAL, to outperform popular, window-based inertial models on a multitude of wearable activity recognition benchmark datasets in an offline-prediction scenario.(2) Complementing traditional, window-wise classification metrics, we introduce a set of unexplored, segment- based evaluation metrics for inertial-based HAR, which are based around the scalar evaluation metric meanAverage Precision [2]. (3) Though our results demonstrate the superiority of inertial-based models in an online prediction scenario, we show that TAL models can be applied in a near-online fashion, functioning e.g. a server-side prediction tool which provides prediction with a lag of 1 minute.</t>
  </si>
  <si>
    <t>2024_Dec_175.pdf</t>
  </si>
  <si>
    <t xml:space="preserve">Marius Bock, Hilde Kuehne, Kristof Van Laerhoven, and Michael Moeller. 2024. WEAR: An Outdoor Sports Dataset for Wearable and Egocentric Activity Recognition. Proc. ACM Interact. Mob. Wearable Ubiquitous Technol. 8, 4, Article 175 (December 2024), 21 pages. https://doi.org/10.1145/3699776</t>
  </si>
  <si>
    <t>mariusbock.github.io/wear/.</t>
  </si>
  <si>
    <t xml:space="preserve">(1) We introduce a new inertial- and vision-based HAR dataset, called WEAR, consisting of data from 22 participants performing 18 different outdoor sports activities. (2) Results of our performed benchmark analysis reveal that the application-driven sensor placement along with the challenging outdoor recording scenario makes WEAR an a suitable dataset to assess methods on how to combine strengths of both inertial- and vision-based approaches. (3) We demonstrate that state-of-the-art TAL models from computer vision are particularly suited to not only process raw inertial data, but even successfully fuse multi-modal information significantly outperforming the best single-modality approach as well as beating the best possible (oracle) late fusion approach in terms of mAP.</t>
  </si>
  <si>
    <t>2024_Dec_176.pdf</t>
  </si>
  <si>
    <t xml:space="preserve">Mark Colley, Daniel Kornmüller, Debargha Dey, Wendy Ju, and Enrico Rukzio. 2024. Longitudinal Effects of External Communication of Automated Vehicles in the USA and Germany: A Comparative Study in Virtual Reality and Via a Browser. Proc. ACM Interact. Mob. Wearable Ubiquitous Technol. 8, 4, Article 176 (December 2024), 33 pages. https://doi.org/10.1145/3699778</t>
  </si>
  <si>
    <t>https://github.com/M-Colley/longitudinal_usa_germany_eHMI_comparison</t>
  </si>
  <si>
    <t xml:space="preserve">Contribution statement: This work contributes three studies regarding external communication of AVs. The first study reveals the longitudinal effects of eHMIs in Germany leveraging a VR approach. The second study, which employed an online approach in a virtual environment, was compared to the VR study, showing that these approaches alter the results significantly and can, contrary to previous work, not be directly compared. Third, an online-based study with US participants, compared with the online-based study in Germany, shows the contrasts in these (even relatively minor) differences in traffic cultures manifest in longitudinal exposure to eHMIs.</t>
  </si>
  <si>
    <t>2024_Dec_177.pdf</t>
  </si>
  <si>
    <t xml:space="preserve">Mingzhi Pang, Kaiying Li, Xun Wang, Wei Wang, Wen Cheng, Dongxu Liu, Yuqing Yin, and Pengpeng Chen. 2024. DEWS: A Distributed Measurement Scheme for Efficient Wireless Sensing. Proc. ACM Interact. Mob. Wearable Ubiquitous Technol. 8, 4, Article 177 (December 2024), 34 pages. https://doi.org/10.1145/3699728</t>
  </si>
  <si>
    <t xml:space="preserve">radio system USRP X310 with UBX-160 daughterboard,transmitters, receivers,a BB5089+SE5004 power amplifier</t>
  </si>
  <si>
    <t xml:space="preserve">C++,HE-LTF used by the IEEE 802.11ax in three variations: 1x, 2x, 4x.MATLAB.</t>
  </si>
  <si>
    <t xml:space="preserve">(1) We propose a novel distributed RU allocation scheme that allows multiple sensing devices to simultaneously transmit measurement packets occupying the entire bandwidth.(2) We design a unique linear phase shift scheme to significantly reduce mutual interference when multiple devices transmit signals simultaneously (3) We design a multi-target action recovery method that uses only a single pair of transmitting and receiving antennas with ICA, and the action details are recovered by more than 20% of the original data at our defined Activity SNR.(4) To the best of our knowledge, DEWS is the first to propose an optimal wireless sensing strategy for existing communication protocols, taking into account the multi-device sensing resolution, multi-device sensing reliability, and multi-device sensing accuracy.</t>
  </si>
  <si>
    <t>2024_Dec_178.pdf</t>
  </si>
  <si>
    <t xml:space="preserve">Qingyong Hu, Qian Zhang, Hao Lu, Shun Wu, Yuxuan Zhou, Qianyi Huang, Huangxun Chen, Ying-Cong Chen, and Ni Zhao. 2024. Contactless Arterial Blood Pressure Waveform Monitoring with mmWave Radar. Proc. ACM Interact. Mob. Wearable Ubiquitous Technol. 8, 4, Article 178 (December 2024), 29 pages. https://doi.org/10.1145/3699781</t>
  </si>
  <si>
    <t>https://anonymous.4open.science/r/WaveBP-BBE8/README.md</t>
  </si>
  <si>
    <t xml:space="preserve">Website contains the Source Code.</t>
  </si>
  <si>
    <t xml:space="preserve">public datasets are used: Open-access MIMIC-II database, proprietary dataset is referenced</t>
  </si>
  <si>
    <t xml:space="preserve">COTS mm Wave radar, TI IWR1443BOOST board, TI DCA1000EVM board, NVIDIA RTX 3090 GPU</t>
  </si>
  <si>
    <t>PyTorch</t>
  </si>
  <si>
    <t xml:space="preserve">We propose WaveBP, the first contactless arterial blood pressure waveform monitoring system based on a commercial mmWave radar.We propose a series of techniques that overcome the challenges of mapping mmWave signals to ABPW sequences, including a hybrid Transformer model (mmFormer) with multi-resolution awareness and flexible personalization schemes.We conduct extensive evaluations of over 50,000 ABPW samples of 43 subjects. The results show that our system can achieve a high performance in both detailed shapes and values, and hold potential for fine-grained cardiac parameter estimation and cardiac abnormality detection. Core codes will be open-sourced2</t>
  </si>
  <si>
    <t>2024_Dec_179.pdf</t>
  </si>
  <si>
    <t xml:space="preserve">Qiyu Li, Jinhe Wen, and Haojian Jin. 2024. Governing Open Vocabulary Data Leaks Using an Edge LLM through Programming by Example. Proc. ACM Interact. Mob. Wearable Ubiquitous Technol. 8, 4, Article 179 (December 2024), 31 pages. https://doi.org/10.1145/3699760</t>
  </si>
  <si>
    <t>https://huggingface.co/datasets/philschmid/sharegpt-raw.</t>
  </si>
  <si>
    <t xml:space="preserve">public dataset ShareGPT,</t>
  </si>
  <si>
    <t xml:space="preserve">graphics card, eg: Nvidia A100 (80G),</t>
  </si>
  <si>
    <t xml:space="preserve">llm :Llama3-8B,OpenAI Streaming API, React.js</t>
  </si>
  <si>
    <t xml:space="preserve">• An end-to-end prototype implementation of GPTWall, which demonstrates how a man-in-the-middle edge LLM service can mitigate open-vocabulary data leaks. • A mixed-methods analysis of a large real-world ChatGPT prompt dataset, suggesting the privacy-sensitive information in prompts is highly context-dependent. • A programming-by-example algorithm, along with the underlying policy representations, which infers policies from manually selected positive and negative examples. • A detailed evaluation of GPTWall ’s privacy benefits and policy authoring usability.</t>
  </si>
  <si>
    <t>2024_Dec_180.pdf</t>
  </si>
  <si>
    <t xml:space="preserve">Riku Arakawa, Jill Fain Lehman, and Mayank Goel. 2024. PrISM-Q&amp;amp;A: Step-Aware Voice Assistant on a Smartwatch Enabled by Multimodal Procedure Tracking and Large Language Models. Proc. ACM Interact. Mob. Wearable Ubiquitous Technol. 8, 4, Article 180 (December 2024), 26 pages. https://doi.org/10.1145/3699759</t>
  </si>
  <si>
    <t>https://github.com/cmusmashlab/prism.</t>
  </si>
  <si>
    <t xml:space="preserve">IPhone, Apple Watch Series 7,computer as backend computation system e. g. MacBook Pro with 16GB Apple M1 Chip</t>
  </si>
  <si>
    <t xml:space="preserve">OpenAI Whisper API,GPT-4-turbo API,OpenAI Text-to-Speech API,PyPDFLoader,Chroma,LangChain framework,GPT-3.5-turbo (gpt-3.5-turbo-0125), GPT-4-turbo (gpt-4-turbo 2024-04-09) und Llama-3 (8B)</t>
  </si>
  <si>
    <t xml:space="preserve">includes a description of what the repo contains, how to install the requirements and run the code.</t>
  </si>
  <si>
    <t xml:space="preserve">(1) A novel smartwatch-based Q&amp;A interaction for procedural tasks, step-aware Q&amp;A, which offers a preferable user experience to conventional voice assistants by sharing step context between the user and the system. (2) An approach to achieving the step-aware Q&amp;A that integrates the outputs of multimodal procedure tracking into LLMs by augmenting the user’s question with step context. (3) A comprehensive study across multiple task datasets to verify the proposed step-aware generator’s and retriever’s effectiveness in increasing factual correctness and overall quality in answers. (4) A real-time smartwatch system, whose effectiveness in supporting novice users was confirmed through a user study.</t>
  </si>
  <si>
    <t>2024_Dec_181.pdf</t>
  </si>
  <si>
    <t xml:space="preserve">Rongrong Zhu, Chi Cheng, Yunpeng Song, and ZhongMin Cai. 2024. Modeling Attentive Interaction Behavior for Web Content Identification in Exploratory Information Seeking. Proc. ACM Interact. Mob. Wearable Ubiquitous Technol. 8, 4, Article 181 (December 2024), 28 pages. https://doi.org/10.1145/3699750</t>
  </si>
  <si>
    <t xml:space="preserve">not only is the code for the developed Aibm system missing, also the code for the chrome extension is missing. The extension was programmed, to record users’browsing logs and mouse behaviors in real time via a website.</t>
  </si>
  <si>
    <t xml:space="preserve">Tobii Pro Spectrum,four RTX 4090 GPUs for training the learning models.</t>
  </si>
  <si>
    <t xml:space="preserve">Tobii Pro Studio software,PyTorch,sci-kit-learn framework,Adam optimizer,</t>
  </si>
  <si>
    <t xml:space="preserve">(1) This study represents the first attempt to leverage multiple implicit interaction data sources to identify helpful fine-grained web content,[...]thereby reducing users’ manual effort during exploratory information seeking.(2) We provide a thorough analysis of users’ attentive interactions with web content during information exploration, using behavioral statistics, dynamic behavior patterns, and content structural metrics.[...](3) We propose a novel method AIbM, which integrates multiple implicit data for identifying helpful web content.[...](4) We conducted extensive experiments on our dataset to demonstrate the effectiveness of AIbM in the binary classification task, achieving an F1 score of 82.80% for general helpful content identification, with a 10.86% improvement over the state-of-the-art models like GBT and at least 2.49% over models using individual data modalities.</t>
  </si>
  <si>
    <t>2024_Dec_182.pdf</t>
  </si>
  <si>
    <t xml:space="preserve">Ryota Ozaki, Yoshio Shinzaki, Kana Kodama, Kodai Ito, Mai Kamihori, Toshihiro Takeda, and Yuichi Itoh. 2024. Frailty Assessment Using a Floor Panel-Type Device by Measuring Center of Pressure. Proc. ACM Interact. Mob. Wearable Ubiquitous Technol. 8, 4, Article 182 (December 2024), 27 pages. https://doi.org/10.1145/3699783</t>
  </si>
  <si>
    <t xml:space="preserve">"This dataset may be made publicly available to assist researchers working on the assessment of elderly health status or fall detection."182:24</t>
  </si>
  <si>
    <t xml:space="preserve">proprietay hardware is needed. 4x Force sensors.</t>
  </si>
  <si>
    <t xml:space="preserve">respective models for [linear] regression, K-nearest neighbor (KNN), linear Support Vector Machine (SVM),random forest. which models exactly were used is not given.</t>
  </si>
  <si>
    <t xml:space="preserve">• We have developed a novel floor panel-type device that measures the Center of Pressure (COP) and weight. With dimensions of 90 [cm] × 90 [cm]. It provides accurate COP and weight measurements for practical applications, while minimizing privacy risks, an advantage over data collection methods that involve more personally identifiable information, such as photographic or audiovisual recordings. • Our system has demonstrated the capability to predict outcomes based on the revised J-CHS criteria, a tool for assessing frailty in clinical settings, using COP and weight data collected from daily activities such as standing, sitting, and walking among a diverse elderly population aged 41 to 89 years. The predictive accuracy for movements associated with sitting down reached approximately 76.0 %. This high level of accuracy in predicting individual criteria items suggests that our approach can enhance the precision and detail of diagnostic processes. • As a result of our experiments, we identified specific features and movements that significantly influence the prediction of each item within the revised J-CHS criteria and the states of pre-frail and frailty. Monitoring these particular features and movements could facilitate more detailed diagnostics and support the development of a more compact, efficient system.</t>
  </si>
  <si>
    <t>2024_Dec_183.pdf</t>
  </si>
  <si>
    <t xml:space="preserve">Saif Mahmud, Vineet Parikh, Qikang Liang, Ke Li, Ruidong Zhang, Ashwin Ajit, Vipin Gunda, Devansh Agarwal, Francois Guimbretiere, and Cheng Zhang. 2024. ActSonic: Recognizing Everyday Activities from Inaudible Acoustic Wave Around the Body. Proc. ACM Interact. Mob. Wearable Ubiquitous Technol. 8, 4, Article 183 (December 2024), 32 pages. https://doi.org/10.1145/3699752</t>
  </si>
  <si>
    <t xml:space="preserve">proprietary hardware is needed(ActSonic Hardware) which consists of the following components: Two OWR-05049T-38D speakers,Two ICS-43434 microphones,Two MAX98357A audio amplifier chips.Teensy 4.1 microcontroller,nRF52840 microcontroller,MAX78002 microcontroller unit,SGW1110 module(low-power variant),A 32 GB SanDisk Extreme microSD card, Li-Po battery,A custom PCB designed to connect the speakers, microphones, and microcontroller,Flexible Printed Circuit,A GoPro HERO9,Apple AirPods Pro,A standard pair of glasses</t>
  </si>
  <si>
    <t xml:space="preserve">Pytorch (lightning), ai8x library, Pytorch Mobile, Android Profiler,CDC-provided mobile app(which is referenced via a link)</t>
  </si>
  <si>
    <t xml:space="preserve">• The first demonstration of creating and utilizing inaudible acoustic waves around the body on eyeglasses form factor for fine-grained everyday activity recognition. • Unlike many new data-driven activity recognition systems on wearables, ActSonic achieved promising performance without requiring training data from a new user or a new environment, which makes collecting human activity data much easier. • Microphones and speakers are readily available, cost-effective to set up, and can sustain prolonged operation on a small battery attached to glasses, facilitating easy replication of our system by other researchers. • Compared to many previous works relying on multiple sensors or instrumentations, ActSonic accurately recognizes 27 activities with a single sensing module at a high time resolution of one second.</t>
  </si>
  <si>
    <t>2024_Dec_184.pdf</t>
  </si>
  <si>
    <t xml:space="preserve">Shenghuan Miao and Ling Chen. 2024. GOAT: A Generalized Cross-Dataset Activity Recognition Framework with Natural Language Supervision. Proc. ACM Interact. Mob. Wearable Ubiquitous Technol. 8, 4, Article 184 (December 2024), 28 pages. https://doi.org/10.1145/3699736</t>
  </si>
  <si>
    <t>https://github.com/wdkhuans/GOAT</t>
  </si>
  <si>
    <t xml:space="preserve">Repo is empty [check if this is still the case]</t>
  </si>
  <si>
    <t xml:space="preserve">public datasets are used and referenced via their corresponding name:1) RealWorld.2)Realdisp.3)Opportunity.4)PAMAP.5)Daphnet FoG.</t>
  </si>
  <si>
    <t xml:space="preserve">strong GPU e.g.:NVIDIA GeForce RTX 3090 GPU,  strong, multi-threaded CPU e.g.: Intel i9-12900k CPU</t>
  </si>
  <si>
    <t xml:space="preserve">Pytorch,Adam-Optimizer, vision-learning-models e.g. :CLIP, DALL·E,WHAR; pre-trained language models e.g. :BERT,CLIP text encoder,GPT-2,Llama 3;Neural Network Intelligence toolkit</t>
  </si>
  <si>
    <t xml:space="preserve">• We propose a novel device position encoding method that leverages textual descriptions of on-body device locations. This approach creates flexible and semantically rich position representations, enabling GOAT to adapt seamlessly to diverse device configurations across datasets while enhancing contextual understanding of multi-device inputs. • We integrate natural language supervision into the pre-training phase of our framework. By aligning wearable activity representations with their corresponding textual descriptions, we significantly enhance the activity encoder’s feature extraction capabilities and cross-dataset generalization performance. • We conduct a comprehensive evaluation of GOAT’s effectiveness and adaptability through rigorous comparisons with state-of-the-art baselines, in-depth analysis of component contributions, investigation of training resource impacts, assessment of zero-shot recognition capabilities, and exploration of single-device adaptation scenarios. Furthermore, we provide a critical discussion of the broader implications, current limitations, and promising future directions of our work.</t>
  </si>
  <si>
    <t>2024_Dec_185.pdf</t>
  </si>
  <si>
    <t xml:space="preserve">Shuzhen Li, Yuxin Chen, Xuesong Chen, Ruiyang Gao, Yupeng Zhang, Chao Yu, Yunfei Li, Ziyi Ye, Weijun Huang, Hongliang Yi, Yue Leng, and Yi Wu. 2024. SleepNetZero: Zero-Burden Zero-Shot Reliable Sleep Staging with Neural Networks Based on Ballistocardiograms. Proc. ACM Interact. Mob. Wearable Ubiquitous Technol. 8, 4, Article 185 (December 2024), 25 pages. https://doi.org/10.1145/3699743</t>
  </si>
  <si>
    <t>https://github.com/nealchen2003/IMWUT2024-SleepNetZero</t>
  </si>
  <si>
    <t xml:space="preserve">Section D says, the Code is available at the given github Link. However, the Repo is empty.</t>
  </si>
  <si>
    <t xml:space="preserve">the following public datasets are used, and referenced with their respective names: SHHS,MrOS, MESA, CCSHS, CFS, HomePAP [all require an authentification before accessing the data], </t>
  </si>
  <si>
    <t xml:space="preserve">NVIDIA H100 80G or other, similiar GPU's, proprietary monitoring pad</t>
  </si>
  <si>
    <t xml:space="preserve">Pytorch,,Neurokit 2, torchaudio,AdamW-Optimizer</t>
  </si>
  <si>
    <t xml:space="preserve">• BCG Component Extraction: We propose to extract three BCG components to leverage vast PSG datasets, scaling the dataset by two orders of magnitude.• Generalization Enhancement: To improve the generalizability of SleepNetZero across diverse real-life disturbances, we introduce data augmentation techniques.• Neural Network Framework: We formulate the problem by a sequence labeling task and devise a deep learning model upon the extracted components.• Experiments and Prototype Validation: We conduct comprehensive experiments on the proposed method, achieving a Kappa of 0.718 and an Accuracy of 0.803, which showcases the reliability of SleepNetZero. We also verify the SleepNetZero through a real deployed sleep monitoring prototype, which is zero-burden for the subject.</t>
  </si>
  <si>
    <t>2024_Dec_186.pdf</t>
  </si>
  <si>
    <t xml:space="preserve">Subigya Nepal, Arvind Pillai, William Campbell, Talie Massachi, Michael V. Heinz, Ashmita Kunwar, Eunsol Soul Choi, Xuhai Xu, Joanna Kuc, Jeremy F. Huckins, Jason Holden, Sarah M. Preum, Colin Depp, Nicholas Jacobson, Mary P. Czerwinski, Eric Granholm, and Andrew T. Campbell. 2024. MindScape Study: Integrating LLM and Behavioral Sensing for Personalized AI-Driven Journaling Experiences. Proc. ACM Interact. Mob. Wearable Ubiquitous Technol. 8, 4, Article 186 (December 2024), 44 pages. https://doi.org/10.1145/3699761</t>
  </si>
  <si>
    <t xml:space="preserve">The code for the MindScape App is missing, and it is unclear how the GPT-4 model is embedded into the user behavioral data analysis.</t>
  </si>
  <si>
    <t xml:space="preserve">User Data required.</t>
  </si>
  <si>
    <t xml:space="preserve">Android Activity Recognition API, GPT-4 API,</t>
  </si>
  <si>
    <t xml:space="preserve">(1) We design MindScape – an AI-driven journaling app that integrates behavioral sensing and LLM to deliver personalized, adaptive journaling prompts. We conduct an 8-week study with 20 college students to evaluate the efficacy of this system. By the end of the study, participants report up to an 11% improvement in well- being scores, with statistically significant enhancements in affect, loneliness, mindfulness, self-reflection,anxiety, and depression. (2) We examine the check-ins and journaling prompts generated by the app, analyzing their topic coverage, and the frequencies of categories to which the prompts belong. We find that the morning check-ins often revolve around social and communication app usage, while afternoon check-ins shift towards academic and social life experiences. (3) We analyze linguistic differences between journals from contextual and generic prompts using the Linguistic Inquiry and Word Count (LIWC) [11]. Our findings indicate that responses to contextual prompts exhibit more personal language, greater references to personal experiences and relationships, whereas broader emotional expressions (such as affect) are more prevalent in journals from generic prompts.(4) We review participant feedback concerning their experience and the app’s usability and provide recommendations for future research. Overall, 85% of participants rate MindScape’s usability as good or excellent.Seventy percent consider the journal prompts to be moderately-to-very relevant, and 85% report that the contextual prompts sometimes, often, or always lead to more in-depth reflection compared to generic prompts, demonstrating the effectiveness of the MindScape app.</t>
  </si>
  <si>
    <t>2024_Dec_187.pdf</t>
  </si>
  <si>
    <t xml:space="preserve">Tan Gemicioglu, Elijah Hopper, Brahmi Dwivedi, Richa Kulkarni, Asha Bhandarkar, Priyanka Rajan, Nathan Eng, Adithya Ramanujam, Charles Ramey, Scott M. Gilliland, Celeste Mason, Caitlyn Seim, and Thad Starner. 2024. Passive Haptic Rehearsal for Augmented Piano Learning in the Wild. Proc. ACM Interact. Mob. Wearable Ubiquitous Technol. 8, 4, Article 187 (December 2024), 26 pages. https://doi.org/10.1145/3699748</t>
  </si>
  <si>
    <t>https://github.com/tangemicioglu/phl-portal</t>
  </si>
  <si>
    <t xml:space="preserve">Repo contains code for the passive haptic learning web-portal</t>
  </si>
  <si>
    <t xml:space="preserve">Passive Haptic Learning Gloves consisting of: 1)a cable assembly with connected vibrotactile motors,2)motors, a microcontroller and battery housed in a case,3)faux leather glove,TinyPico Nano Development Board ,MIDI-Keyboard</t>
  </si>
  <si>
    <t xml:space="preserve">instructions in the Repo's Readme includes an installation guide and a general description of the project.</t>
  </si>
  <si>
    <t xml:space="preserve">• To the best of our knowledge, the first in-the-wild study of passive haptic learning for piano and the characterization of its effect on the learning curve.• A new hybrid approach that we call passive haptic rehearsal, combining passive haptic learning with spaced active practice, and pedagogical insights into its application. • An open-source system integrating recent advances in piano practice compatible with MusicXML and MIDI keyboards to enable passive rehearsal for any musical piece.1</t>
  </si>
  <si>
    <t>2024_Dec_188.pdf</t>
  </si>
  <si>
    <t xml:space="preserve">Tan Gemicioglu, Thalia Viranda, Yiran Zhao, Olzhas Yessenbayev, Jatin Arora, Jane Wang, Pedro Lopes, Alexander T. Adams, and Tanzeem Choudhury. 2024. BreathePulse: Peripheral Guided Breathing via Implicit Airflow Cues for Information Work. Proc. ACM Interact. Mob. Wearable Ubiquitous Technol. 8, 4, Article 188 (December 2024), 33 pages. https://doi.org/10.1145/3702211</t>
  </si>
  <si>
    <t xml:space="preserve">The Paper focuses on developing a piece of Hardware to assist the user with breathing and analyzing its perfomance in a task-focused scenario.</t>
  </si>
  <si>
    <t xml:space="preserve">proprietary Hardware "BreathPulse" is required and consists of: 1)Delta PBT-GF30 Disk Fan,Air Nozzle,Adafruit DRV8871 Motor Driver,Adafruit RP2040 Microcontroller, 12V Power Supply, LED's and some buttons.</t>
  </si>
  <si>
    <t xml:space="preserve">Programm. language "R",Ime4 Packet,SciPy, G*Power 3.1</t>
  </si>
  <si>
    <t xml:space="preserve">• We designed, to the best of our knowledge, the first guided breathing system using airflow as the only modality. • We found that BreathePulse lowered respiratory rate across both easy and difficult primary tasks to different degrees without compromising task performance. In addition, although the airflow guide had little impact on stress, it promoted mindfulness. • We quantified the additive impact of peripheral breathing guides on mental workload by evaluating workload during cognitive tasks with and without breathing guidance, unlike past studies. Based on qualitative feedback, we identified that salience and attention were critical factors in the workload increase.</t>
  </si>
  <si>
    <t>2024_Dec_189.pdf</t>
  </si>
  <si>
    <t xml:space="preserve">Tianhong Catherine Yu, Guilin Hu, Ruidong Zhang, Hyunchul Lim, Saif Mahmud, Chi-Jung Lee, Ke Li, Devansh Agarwal, Shuyang Nie, Jinseok Oh, François Guimbretière, and Cheng Zhang. 2024. Ring-a-Pose: A Ring for Continuous Hand Pose Tracking. Proc. ACM Interact. Mob. Wearable Ubiquitous Technol. 8, 4, Article 189 (December 2024), 30 pages. https://doi.org/10.1145/3699741</t>
  </si>
  <si>
    <t xml:space="preserve">Adoption of ResNet18 is descrbied, yet the actual implementation is unkown.</t>
  </si>
  <si>
    <t xml:space="preserve">proprietary Hardware "Ring-a-Pose" is required and consists of: 1)Flexible Printed Circuit Board (FPCB),2) USound UT-P2019 Speaker and a Microphone(TDK ICS-43434),3)SGW1110-Modul and nRF52840 Microcontroller Unit (MCU),Audio-Amplifier(MAX98357A) and a Voltage regulator(TPS62743), 3.7 V Lip Battery</t>
  </si>
  <si>
    <t xml:space="preserve">MediaPipe Hands,PyTorch, PyTorch Mobile</t>
  </si>
  <si>
    <t xml:space="preserve">• To the best of our knowledge, Ring-a Pose is the first single-ring system to demonstrate continuous hand pose tracking across sessions and participants: we applied the C-FMCW method to the ring to reconstruct hand poses based on the reflection strengths at different echo path lengths from the ring. • We validated that the ring effectively tracks the hand pose when worn on any finger with finger-dependent models. • We evaluated Ring-a-Pose’s performance in continuous hand pose tracking and micro-finger gesture recognition with user studies. • We further discuss the opportunities and challenges of integrating Ring-a-Pose to the future commodity ring platforms.</t>
  </si>
  <si>
    <t>2024_Dec_190.pdf</t>
  </si>
  <si>
    <r>
      <rPr/>
      <t xml:space="preserve">Vaibhav Ganatra, Soumyasis Gun, Pallavi Joshi, Anand Balasubramaniam, Kaushik Murali, Nipun Kwatra, and Mohit Jain. 2024. DEDector: Smartphone-Based Noninvasive Screening of Dry Eye Disease. Proc. ACM Interact. Mob. Wearable Ubiquitous Technol. 8, 4, Article 190 (December 2024), 26 pages. </t>
    </r>
    <r>
      <rPr>
        <u val="single"/>
        <color rgb="FF1155CC"/>
      </rPr>
      <t>https://doi.org/10.1145/3699742</t>
    </r>
  </si>
  <si>
    <t>https://github.com/microsoft/DEDector</t>
  </si>
  <si>
    <t xml:space="preserve">Paper links a public repository with software and hardware details.</t>
  </si>
  <si>
    <t xml:space="preserve">Evaluation uses 46 eye videos from 23 patients; no dataset link or release is mentioned.</t>
  </si>
  <si>
    <t xml:space="preserve">Smartphone with 3D-printed Placido ring attachment and blue LED illumination.</t>
  </si>
  <si>
    <t xml:space="preserve">Video-processing pipeline is provided; no proprietary software requirement stated.</t>
  </si>
  <si>
    <t xml:space="preserve">GitHub repository (software and hardware details) is linked in the paper.</t>
  </si>
  <si>
    <t xml:space="preserve">DEDector achieved a sensitivity of 77.78% and specificity of 82.14%, outperforming FBUT.</t>
  </si>
  <si>
    <t>2024_Dec_191.pdf</t>
  </si>
  <si>
    <t xml:space="preserve">Vivian Dsouza, Jeffrey Pronk, Christian Peppelman, Víctor Ignacio Madariaga, Tatiana Pereira-Cenci, Bas Loomans, and Przemysław Pawełczak. 2024. Densor: An Intraoral Battery-Free Sensing Platform. Proc. ACM Interact. Mob. Wearable Ubiquitous Technol. 8, 4, Article 191 (December 2024), 30 pages. https://doi.org/10.1145/3699746</t>
  </si>
  <si>
    <t>https://github.com/TUDSSL/Densor</t>
  </si>
  <si>
    <t xml:space="preserve">Paper states hardware/firmware, smartphone app, and analysis code are released publicly; repo linked in the paper.</t>
  </si>
  <si>
    <t xml:space="preserve">Authors state all collected data are released alongside code at the linked repository.</t>
  </si>
  <si>
    <t xml:space="preserve">Custom intraoral battery-free device embedded in a dental aligner.</t>
  </si>
  <si>
    <t xml:space="preserve">Custom Android app (Java) for NFC readout/config; firmware built with STM32 tools; no proprietary software required to run the system.</t>
  </si>
  <si>
    <t xml:space="preserve">The repo includes reproduction instructions for hardware, firmware, app, data, and ML pipeline.</t>
  </si>
  <si>
    <t xml:space="preserve">Densor presents an intraoral, actively powered, battery-free platform featuring multi-modal sensors and an extended lifespan.</t>
  </si>
  <si>
    <t>2024_Dec_192.pdf</t>
  </si>
  <si>
    <t xml:space="preserve">Wenqiang Chen, Jiaxuan Cheng, Leyao Wang, Wei Zhao, and Wojciech Matusik. 2024. Sensor2Text: Enabling Natural Language Interactions for Daily Activity Tracking Using Wearable Sensors. Proc. ACM Interact. Mob. Wearable Ubiquitous Technol. 8, 4, Article 192 (December 2024), 26 pages. https://doi.org/10.1145/3699747</t>
  </si>
  <si>
    <t xml:space="preserve">No code repository or executable resources linked in the paper; method and training details only.</t>
  </si>
  <si>
    <r>
      <rPr>
        <u val="single"/>
        <color rgb="FF434343"/>
      </rPr>
      <t>https://action-sense.csail.mit.edu</t>
    </r>
    <r>
      <rPr>
        <color indexed="64"/>
      </rPr>
      <t>;</t>
    </r>
    <r>
      <rPr>
        <u val="single"/>
        <color rgb="FF1155CC"/>
      </rPr>
      <t>https://doi.org/10.1109/ICCV.2019.00875</t>
    </r>
  </si>
  <si>
    <t xml:space="preserve">Uses public ActionSense (multimodal wearable sensors) and MMAct (smartphone/smartwatch IMU) datasets; no new dataset released.</t>
  </si>
  <si>
    <t xml:space="preserve">Wearable sensors; smartphone and smartwatch.</t>
  </si>
  <si>
    <t xml:space="preserve">Training/architecture rely on research models and open releases (LLaMA-7B, ImageBind, VideoLLaMA Q-former); no proprietary software requirement stated.</t>
  </si>
  <si>
    <t xml:space="preserve">Paper provides architecture, datasets, and hyperparameters, but no runnable repository or step-by-step reproduction guide.</t>
  </si>
  <si>
    <t xml:space="preserve">To our knowledge, this represents the first model capable of conversing about wearable sensor data, offering an innovative approach to daily activity tracking that addresses privacy and field-of-view limitations associated with current vision-based solutions.</t>
  </si>
  <si>
    <t>2024_Dec_193.pdf</t>
  </si>
  <si>
    <t xml:space="preserve">Whitney-Jocelyn Kouaho and Daniel A. Epstein. 2024. Investigating Perspectives of and Experiences with Low Cost Commercial Fitness Wearables. Proc. ACM Interact. Mob. Wearable Ubiquitous Technol. 8, 4, Article 193 (December 2024), 22 pages. https://doi.org/10.1145/3699740</t>
  </si>
  <si>
    <t>2024_Dec_194.pdf</t>
  </si>
  <si>
    <t xml:space="preserve">Peng Xia, Hao Zhou, Tianjian Yang, Wangqiu Zhou, Zhi Liu, Xiaoyan Wang, and Xiang-Yang Li. 2024. ESATED: Leveraging Extra-weak Supervision with Auxiliary Task for Enhanced Non-intrusiveness in Energy Disaggregation. Proc. ACM Interact. Mob. Wearable Ubiquitous Technol. 8, 4, Article 194 (December 2024), 32 pages. https://doi.org/10.1145/3699729</t>
  </si>
  <si>
    <t>https://github.com/shar-pen/ESATED</t>
  </si>
  <si>
    <t xml:space="preserve">Public GitHub repository with model designs, training functions, experiment code, and a self-collected dataset.</t>
  </si>
  <si>
    <t xml:space="preserve">Evaluated on public REDD and UK-DALE datasets; repository states it includes a self-collected dataset; no direct download links for REDD/UK-DALE in the paper text.</t>
  </si>
  <si>
    <t xml:space="preserve">Indirect-sensing prototype (Arduino Nano with magnetic/optical/acoustic/thermo sensors) for state collection; edge deployment on Raspberry Pi 4; aggregated power from smart meter.</t>
  </si>
  <si>
    <t xml:space="preserve">Implemented and trained with PyTorch as described; no proprietary software required.</t>
  </si>
  <si>
    <t xml:space="preserve">Paper links an open-source repo; paper itself outlines system, datasets and deployment but does not include full step-by-step reproduction instructions.</t>
  </si>
  <si>
    <t xml:space="preserve">This result demonstrates the effectiveness of the proposed approach to extract information and train the model from extra weak labels.</t>
  </si>
  <si>
    <t>2024_Dec_195.pdf</t>
  </si>
  <si>
    <t xml:space="preserve">Yan Pan, Junhui Gao, Jiashun Duan, Juan Shi, Bin Guo, Yunji Liang, and Yujiao Hu. 2024. Pioneering Cooperative Air-Ground Instant Delivery Using UAVs and Crowdsourced Couriers. Proc. ACM Interact. Mob. Wearable Ubiquitous Technol. 8, 4, Article 195 (December 2024), 26 pages. https://doi.org/10.1145/3699722</t>
  </si>
  <si>
    <r>
      <rPr>
        <u val="single"/>
        <color rgb="FF434343"/>
      </rPr>
      <t>https://www.timeanddate.com/weather/china/shanghai</t>
    </r>
    <r>
      <rPr>
        <color indexed="64"/>
      </rPr>
      <t>;</t>
    </r>
    <r>
      <rPr>
        <u val="single"/>
        <color rgb="FF1155CC"/>
      </rPr>
      <t>https://www.openstreetmap.org/</t>
    </r>
  </si>
  <si>
    <t xml:space="preserve">Uses the aBeacon instant-delivery dataset (described as released) and contextual weather/OSM data; paper lists links for weather and OSM but no link for aBeacon.</t>
  </si>
  <si>
    <t xml:space="preserve">No runnable repository or step-by-step reproduction.</t>
  </si>
  <si>
    <t xml:space="preserve">Comprehensive evaluations are conducted on multiple long-term real-world datasets to demonstrate the superior performance of UCD.</t>
  </si>
  <si>
    <t>2024_Dec_196.pdf</t>
  </si>
  <si>
    <t xml:space="preserve">Yang Chi, Chi Lin, Jie Xiong, Yu Sun, Lei Wang, Guowei Wu, Xin Fan, and Zhongxuan Luo. 2024. U-Flash: Improving Underwater Optical Communication by Scattering Effect. Proc. ACM Interact. Mob. Wearable Ubiquitous Technol. 8, 4, Article 196 (December 2024), 31 pages. https://doi.org/10.1145/3699769</t>
  </si>
  <si>
    <t xml:space="preserve">No repository or code link in the paper.</t>
  </si>
  <si>
    <t xml:space="preserve">Two Redmi 12C smartphones in diving-proof cases; adjustable holders; custom Fresnel lens plugin.</t>
  </si>
  <si>
    <t xml:space="preserve">Custom mobile app for encoding/decoding is described; no specific non open-source software dependency is mandated.</t>
  </si>
  <si>
    <t xml:space="preserve">Paper details architecture and lens design (incl. parts and cost) but provides no runnable repository or step-by-step reproduction guide.</t>
  </si>
  <si>
    <t xml:space="preserve">Specifically, the achievable communication distance is improved from 2.4 m to 7.6 m during daytime in the presence of strong ambient light interference and further extended to 9.8 m in low ambient light scenarios at night.</t>
  </si>
  <si>
    <t>2024_Dec_197.pdf</t>
  </si>
  <si>
    <t xml:space="preserve">Yang Gao, Wenbo Zhang, Junbin Ren, Ruihao Zheng, Yingcheng Jin, Di Wu, Lin Shu, Xiangmin Xu, and Zhanpeng Jin. 2024. PressInPose: Integrating Pressure and Inertial Sensors for Full-Body Pose Estimation in Activities. Proc. ACM Interact. Mob. Wearable Ubiquitous Technol. 8, 4, Article 197 (December 2024), 28 pages. https://doi.org/10.1145/3699773</t>
  </si>
  <si>
    <t xml:space="preserve">Own dataset collected from 25 participants; Synthetic IMU data generated; no dataset release or link provided.</t>
  </si>
  <si>
    <t xml:space="preserve">Custom shoe insole with 8 pressure sensors; battery-powered DAQ board; IMUs on both feet and one wrist; Xsens Awinda (17 sensors) for ground truth; treadmill and smartphones used for experiments/deployment.</t>
  </si>
  <si>
    <t xml:space="preserve">Model trained with PyTorch/PyTorch Lightning; mobile app integration described; no proprietary software requirement stated.</t>
  </si>
  <si>
    <t xml:space="preserve">Paper details hardware design, calibration, training setup and evaluation, but provides no runnable repo or step-by-step reproduction guide.</t>
  </si>
  <si>
    <t xml:space="preserve">The Mean Per Joint Position Error (MPJPE) was reduced to 7.75 cm, highlighting the effectiveness of our multi-modal modeling and virtual data augmentation in refining posture estimation.</t>
  </si>
  <si>
    <t>2024_Dec_198.pdf</t>
  </si>
  <si>
    <t xml:space="preserve">Yatong Chen, Chenzhi Hu, Tomoyoshi Kimura, Qinya Li, Shengzhong Liu, Fan Wu, and Guihai Chen. 2024. SemiCMT: Contrastive Cross-Modal Knowledge Transfer for IoT Sensing with Semi-Paired Multi-Modal Signals. Proc. ACM Interact. Mob. Wearable Ubiquitous Technol. 8, 4, Article 198 (December 2024), 30 pages. https://doi.org/10.1145/3699779</t>
  </si>
  <si>
    <t>https://github.com/SJTU-RTEAS/SemiCMT</t>
  </si>
  <si>
    <t xml:space="preserve">Code is promised for future release at the provided repository; no runnable code linked in the paper.</t>
  </si>
  <si>
    <t xml:space="preserve">Uses four public datasets (SHL, AudioIMU, RealWorld-HAR, PAMAP2); the self-collected InOffice dataset is promised for release at the repository.</t>
  </si>
  <si>
    <t xml:space="preserve">Training on NVIDIA RTX 4090 GPU; deployment evaluation on Raspberry Pi 3B; InOffice sensing nodes include Raspberry Shake seismometer and a microphone array.</t>
  </si>
  <si>
    <t xml:space="preserve">Implementation uses PyTorch 2.0 with Adam/AdamW and cosine scheduler; Swin-Transformer backbone; KNN or linear classifier for finetuning.</t>
  </si>
  <si>
    <t xml:space="preserve">Paper reports architectures and hyperparameters but no step-by-step reproduction or repository instructions.</t>
  </si>
  <si>
    <t xml:space="preserve">SemiCMT consistently outperforms existing self-supervised and knowledge transfer approaches by up to 36.47% in the finetuned target-modal classification tasks.</t>
  </si>
  <si>
    <t>2024_Dec_199.pdf</t>
  </si>
  <si>
    <t xml:space="preserve">Yi Li, Chuyu Wang, Lei Xie, Qiancheng Jin, Long Fan, Jingyi Ning, and Sanglu Lu. 2024. Facial Landmark Detection Based on High Precision Spatial Sampling via Millimeter-wave Radar. Proc. ACM Interact. Mob. Wearable Ubiquitous Technol. 8, 4, Article 199 (December 2024), 26 pages. https://doi.org/10.1145/3699739</t>
  </si>
  <si>
    <t xml:space="preserve">Own dataset collected from 20 volunteers with 68-point facial landmark labels; no dataset release or link provided.</t>
  </si>
  <si>
    <t xml:space="preserve">Texas Instruments mmWave radar with data board; Intel RealSense depth camera for ground truth; experiments processed on a laptop (Intel Core i5-12500H, NVIDIA GeForce RTX 3070).</t>
  </si>
  <si>
    <t xml:space="preserve">MATLAB used to synchronize/control radar and depth camera; algorithms implemented in Python/PyTorch.</t>
  </si>
  <si>
    <t xml:space="preserve">Paper details system design, calibration, training setup and evaluation, but provides no runnable repository or step-by-step reproduction guide.</t>
  </si>
  <si>
    <t xml:space="preserve">Experiment results show that mmFLD can estimate the facial landmark positions with high accuracy, e.g., the average Mean Absolute Error (MAE) is 2.81 mm with eight kinds of different facial expressions, and extended experiment also demonstrates the generalizability and robustness of mmFLD for different experiment conditions.</t>
  </si>
  <si>
    <t>2024_Dec_200.pdf</t>
  </si>
  <si>
    <t xml:space="preserve">Yiwen Feng, Jiayang Zhao, Chuyu Wang, Lei Xie, and Sanglu Lu. 2024. 3D Bounding Box Estimation Based on COTS mmWave Radar via Moving Scanning. Proc. ACM Interact. Mob. Wearable Ubiquitous Technol. 8, 4, Article 200 (December 2024), 27 pages. https://doi.org/10.1145/3699758</t>
  </si>
  <si>
    <t xml:space="preserve">Own dataset collected with robot-car-mounted mmWave radar and depth camera; no release or link provided.</t>
  </si>
  <si>
    <t xml:space="preserve">Texas Instruments IWR6843ISK-ODS mmWave radar with DCA1000EVM capture card mounted on a robotic vehicle; depth camera for ground truth; data collection laptop; model training on four NVIDIA RTX 3090 GPUs; runtime timing measured on AMD Ryzen 9 5900HS + NVIDIA RTX 3050 Ti laptop.</t>
  </si>
  <si>
    <t xml:space="preserve">Algorithms and neural network (mmBouNet) described; environment details given for hardware, but no proprietary software is required or cited.</t>
  </si>
  <si>
    <t xml:space="preserve">Methodology, algorithms, and hyperparameters described, but no runnable repository or step-by-step reproduction guide.</t>
  </si>
  <si>
    <t xml:space="preserve">Extensive experiments show that the average position error of the proposed system in 3D bounding box estimation is 0.11m.</t>
  </si>
  <si>
    <t>2024_Dec_201.pdf</t>
  </si>
  <si>
    <t xml:space="preserve">Yonggeon Lee, Woojin Song, Juhyun Song, and Youngtae Noh. 2024. Extending EV Battery Lifetime: Digital Phenotyping Approach for Departure Time Prediction. Proc. ACM Interact. Mob. Wearable Ubiquitous Technol. 8, 4, Article 201 (December 2024), 30 pages. https://doi.org/10.1145/3699725</t>
  </si>
  <si>
    <t xml:space="preserve">Passive smartphone sensing dataset collected via custom app; no dataset release or link.</t>
  </si>
  <si>
    <t xml:space="preserve">Android smartphones used for passive sensing (activity, steps, motion, calls, screen/unlock, app usage, ambient light/sound).</t>
  </si>
  <si>
    <t xml:space="preserve">EVA (EV Analyzer) Android app for passive sensing (custom, not released); models trained with standard ML methods.</t>
  </si>
  <si>
    <t xml:space="preserve">Paper details algorithms and evaluation but provides no runnable repository or step-by-step reproduction guide.</t>
  </si>
  <si>
    <t xml:space="preserve">Results reveal that models utilizing mobile passive features achieved a Mean Absolute Error (MAE) as low as 2.18 hours on weekdays and 4.46 hours on weekends, demonstrating superior effectiveness in capturing irregular patterns compared to the baseline model trained only on historical temporal features.</t>
  </si>
  <si>
    <t>2024_Dec_202.pdf</t>
  </si>
  <si>
    <t xml:space="preserve">Yu Enokibori. 2024. RTsfNet: A DNN Model with Multi-head 3D Rotation and Time Series Feature Extraction for IMU-based Human Activity Recognition. Proc. ACM Interact. Mob. Wearable Ubiquitous Technol. 8, 4, Article 202 (December 2024), 26 pages. https://doi.org/10.1145/3699733</t>
  </si>
  <si>
    <t>https://bit.ly/40b7R1C</t>
  </si>
  <si>
    <t xml:space="preserve">Official rTsfNet source code and trained models link is provided in the paper.</t>
  </si>
  <si>
    <t>https://bit.ly/45OZ1aT</t>
  </si>
  <si>
    <t xml:space="preserve">Uses public datasets UCI HAR, PAMAP2, Daphnet, and OPPORTUNITY.</t>
  </si>
  <si>
    <t xml:space="preserve">Experiments report using Intel Core i9-9900X CPU, 128 GB RAM, and NVIDIA TITAN RTX 24 GB</t>
  </si>
  <si>
    <t xml:space="preserve">Python 3.9.16 and TensorFlow 2.13.0 (open-source) reported for experiments</t>
  </si>
  <si>
    <t xml:space="preserve">With this combination, rTsfNet showed higher performance than existing models under well-managed benchmark conditions and multiple datasets: UCI HAR, PAMAP2, Daphnet, and OPPORTUNITY, all of which target different activities.</t>
  </si>
  <si>
    <t>2024_Dec_203.pdf</t>
  </si>
  <si>
    <t xml:space="preserve">Yue Lyu, Di Liu, Pengcheng An, Xin Tong, Huan Zhang, Keiko Katsuragawa, and Jian Zhao. 2024. EMooly: Supporting Autistic Children in Collaborative Social-Emotional Learning with Caregiver Participation through Interactive AI-infused and AR Activities. Proc. ACM Interact. Mob. Wearable Ubiquitous Technol. 8, 4, Article 203 (December 2024), 36 pages. https://doi.org/10.1145/3699738</t>
  </si>
  <si>
    <t xml:space="preserve">iPad with EMooly pre-loaded used in sessions; tablet camera used for AR activities.</t>
  </si>
  <si>
    <t xml:space="preserve">Uses OpenAI GPT-3.5/4 for story generation and OpenCV for emotion recognition; runs as an iPad tablet app.</t>
  </si>
  <si>
    <t xml:space="preserve">Paper describes system and study procedure but provides no runnable repository or step-by-step reproduction.</t>
  </si>
  <si>
    <t xml:space="preserve">EMooly demonstrates the potential of AI and AR in enhancing social-emotional development for autistic children via prompt personalizing and engagement, and highlights the importance of caregiver involvement for optimal learning outcomes.</t>
  </si>
  <si>
    <t>2024_Dec_204.pdf</t>
  </si>
  <si>
    <t xml:space="preserve">Yue Ling, Dong Zhao, Kaikai Deng, Kangwen Yin, Wenxin Zheng, and Huadong Ma. 2024. Uranus: Empowering Generalized Gesture Recognition with Mobility through Generating Large-scale mmWave Radar Data. Proc. ACM Interact. Mob. Wearable Ubiquitous Technol. 8, 4, Article 204 (December 2024), 28 pages. https://doi.org/10.1145/3699754</t>
  </si>
  <si>
    <t xml:space="preserve">Authors state they intend to share code; a demo is referenced in supplementary material; no repository link provided.</t>
  </si>
  <si>
    <t xml:space="preserve">Uses five public video datasets and videos from YouTube/Bilibili/Vimeo/Fmovies; also collects a large real-world radar dataset; authors intend to share data but provide no release link.</t>
  </si>
  <si>
    <t xml:space="preserve">FMCW radar, USB 3.0 camera, tripod on Midea M7 mobile robot, Dell laptop for capture; training on Ubuntu 20.08 with two RTX 3080 GPUs.</t>
  </si>
  <si>
    <t xml:space="preserve">Implemented in Python; relies on research models (e.g., JOTR, VPD, FlowFormer++); no proprietary software required.</t>
  </si>
  <si>
    <t xml:space="preserve">Paper reports architectures, hyperparameters and training settings, but no runnable repo or step-by-step reproduction.</t>
  </si>
  <si>
    <t xml:space="preserve">We implement and evaluate Uranus with dynamic video data from public video sources and self-collected radar data, demonstrating that Uranus outperforms the state-of-the-art approaches for gesture recognition in dynamic scenes.</t>
  </si>
  <si>
    <t>2024_Dec_205.pdf</t>
  </si>
  <si>
    <t xml:space="preserve">Yueyuan Sui, Minghui Zhao, Junxi Xia, Xiaofan Jiang, and Stephen Xia. 2024. TRAMBA: A Hybrid Transformer and Mamba Architecture for Practical Audio and Bone Conduction Speech Super Resolution and Enhancement on Mobile and Wearable Platforms. Proc. ACM Interact. Mob. Wearable Ubiquitous Technol. 8, 4, Article 205 (December 2024), 29 pages. https://doi.org/10.1145/3699757</t>
  </si>
  <si>
    <t>https://imec-northwestern.github.io/TRAMBAPage/</t>
  </si>
  <si>
    <t xml:space="preserve">Open-sourced code, designs, and example clips provided.</t>
  </si>
  <si>
    <t xml:space="preserve">Uses VCTK for pre-training and paired BCM/ACCEL+OTA recordings from volunteers; no dataset release or links in the paper.</t>
  </si>
  <si>
    <t xml:space="preserve">Knowles V2S200D bone-conduction sensor; accelerometer; Seeed Studio XIAO nRF52840; smartphone for on-device inference.</t>
  </si>
  <si>
    <t xml:space="preserve">We integrate TRAMBA into real systems and show that TRAMBA (i) improves battery life of wearables by up to 160% by requiring less data sampling and transmission; (ii) generates higher quality voice in noisy environments than over-the-air speech; (iii) requires a memory footprint of less than 20.0 MB.</t>
  </si>
  <si>
    <t>2024_Dec_206.pdf</t>
  </si>
  <si>
    <t xml:space="preserve">Yunjo Han, Panyu Zhang, Minseo Park, and Uichin Lee. 2024. Systematic Evaluation of Personalized Deep Learning Models for Affect Recognition. Proc. ACM Interact. Mob. Wearable Ubiquitous Technol. 8, 4, Article 206 (December 2024), 35 pages. https://doi.org/10.1145/3699724</t>
  </si>
  <si>
    <t>https://github.com/Kaist-ICLab/Personalized_Affective_Computing.git</t>
  </si>
  <si>
    <t xml:space="preserve">Authors open-sourced preprocessing and personalized model code (TensorFlow) with README and full pipeline.</t>
  </si>
  <si>
    <t xml:space="preserve">Uses five open datasets collected in controlled settings: AMIGOS, ASCERTAIN, WESAD, CASE, and K-EmoCon.</t>
  </si>
  <si>
    <t xml:space="preserve">No new hardware used; work re-evaluates open datasets gathered with wearable sensors.</t>
  </si>
  <si>
    <t xml:space="preserve">TensorFlow-based implementations; Adam optimizer and ReduceLROnPlateau; full code released.</t>
  </si>
  <si>
    <t xml:space="preserve">Public GitHub repository with implementation and README for running preprocessing and models; paper emphasizes reproducibility.</t>
  </si>
  <si>
    <t xml:space="preserve">This work offers valuable contributions to the development of personalized affect recognition systems, fostering advancements in both methodology and practical application.</t>
  </si>
  <si>
    <t>2024_Dec_207.pdf</t>
  </si>
  <si>
    <t xml:space="preserve">Zhaoxin Chang, Fusang Zhang, Xujun Ma, Pei Wang, Weiyan Chen, Duo Zhang, Badii Jouaber, and Daqing Zhang. 2024. MmECare: Enabling Fine-grained Vital Sign Monitoring for Emergency Care with Handheld MmWave Radars. Proc. ACM Interact. Mob. Wearable Ubiquitous Technol. 8, 4, Article 207 (December 2024), 24 pages. https://doi.org/10.1145/3699766</t>
  </si>
  <si>
    <t xml:space="preserve">New measurements with TI mmWave radar and ground-truth sensors; no dataset release or links.</t>
  </si>
  <si>
    <t xml:space="preserve">mmWave radar with DCA1000EVM; two cardboard+tinfoil corner reflectors; sliding track for benchmarks; NUL-236 respiration belt and NUL-208 pulse sensors for ground truth.</t>
  </si>
  <si>
    <t xml:space="preserve">MMWAVE-STUDIO for radar configuration and capture; MATLAB used for data processing and implementation.</t>
  </si>
  <si>
    <t xml:space="preserve">Paper describes hardware setup, radar parameters, pipeline and evaluation settings, but provides no runnable repository or step-by-step reproduction guide.</t>
  </si>
  <si>
    <t xml:space="preserve">Real-world tests demonstrate that our system can accurately monitor both respiration and heartbeat with handheld devices, significantly enhancing emergency medical response by improving the accuracy and feasibility of vital sign monitoring in urgent situations.</t>
  </si>
  <si>
    <t>2024_Dec_208.pdf</t>
  </si>
  <si>
    <t xml:space="preserve">Zhixiang He, Jing Chen, Cong Wu, Kun He, Ruiying Du, Ju Jia, Yangyang Gu, and Xiping Sun. 2024. HCR-Auth: Reliable Bone Conduction Earphone Authentication with Head Contact Response. Proc. ACM Interact. Mob. Wearable Ubiquitous Technol. 8, 4, Article 208 (December 2024), 27 pages. https://doi.org/10.1145/3699780</t>
  </si>
  <si>
    <t>https://anonymous.4open.science/r/HCR-Auth-D43B/</t>
  </si>
  <si>
    <t xml:space="preserve">Paper states source code is available at an anonymized repository.</t>
  </si>
  <si>
    <t xml:space="preserve">Authors provide the dataset collected from 60 subjects at the same anonymized link.</t>
  </si>
  <si>
    <t xml:space="preserve">Bone conduction earphones with two 3-axis accelerometers; prototype with Arduino Uno R3; tested on multiple BCE models.</t>
  </si>
  <si>
    <t xml:space="preserve">Custom open-source implementation (Siamese network and signal processing); no proprietary software required.</t>
  </si>
  <si>
    <t xml:space="preserve">Paper links to the repo; step-by-step run commands are not detailed in the paper.</t>
  </si>
  <si>
    <t xml:space="preserve">Extensive experiments show that HCR-Auth achieves a 96.55% BAC to distinguish users with as few as 10 registration samples and can defend against blind and impersonate attacks.</t>
  </si>
  <si>
    <t>2024_Dec_209.pdf</t>
  </si>
  <si>
    <t xml:space="preserve">Zhu Wang, Chendi Geng, Zhuo Sun, Zhen Chen, Sicong Liu, Bin Guo, and Zhiwen Yu. 2024. Size Matters: Characterizing the Effect of Target Size on Wi-Fi Sensing Based on the Fresnel Zone Model. Proc. ACM Interact. Mob. Wearable Ubiquitous Technol. 8, 4, Article 209 (December 2024), 22 pages. https://doi.org/10.1145/3699726</t>
  </si>
  <si>
    <t xml:space="preserve">New CSI measurements with pairs of Wi-Fi transceivers and iron plates; respiration experiments with 5 volunteers using a wearable respiration device; no dataset release or link in the paper.</t>
  </si>
  <si>
    <t xml:space="preserve">Two desktop PCs with Intel 5300 Wi-Fi NICs as transceivers; 8 iron plates of varying sizes; wearable respiration device from Ningbo ElasTech for ground truth.</t>
  </si>
  <si>
    <t xml:space="preserve">MATLAB used for simulations and signal processing; Intel 5300 CSI tool used for data capture (open-source).</t>
  </si>
  <si>
    <t xml:space="preserve">Paper provides detailed system parameters, setups and processing steps, but no runnable repository or step-by-step reproduction guide.</t>
  </si>
  <si>
    <t xml:space="preserve">To the best of our knowledge, this is the first theoretical model that reveals the effect of target size on Wi-Fi sensing.</t>
  </si>
  <si>
    <t>2024_Sep_088.pdf</t>
  </si>
  <si>
    <t xml:space="preserve">Heba Abdelnasser, Mohammad Heggo, Oscar Pang, Mirko Kovac, and Julie A. McCann. 2024. RaDro: Indoor Drone Tracking Using Millimeter Wave Radar. Proc. ACM Interact. Mob. Wearable Ubiquitous Technol. 8, 3, Article 88 (September 2024), 23 pages. https://doi.org/10.1145/3678549</t>
  </si>
  <si>
    <t xml:space="preserve">Texas Instruments (TI) AWR2243 mmWaveRadar,TI DCA1000EVM data acquisition board,Holybro S500 quadcopter,Pixhawk 4 autopilot,Crazyflie 2.1 quadcopter,STM32 microcontroller,Raspberry Pi4</t>
  </si>
  <si>
    <t xml:space="preserve">We propose RaDro; an mmWave radar-based system which enhances drone localization and tracking in indoor environments with minimal hardware requirements. Unlike other existing localization and tracking alternatives, RaDro utilizes a single-chip radar array with no need for multiple point installation in the working environment or any modification requirement to the drone hardware, which significantly reduces the effort required for setup and deployment in new environments. RaDro’s capability to operate without additional hardware attachments further extends its application to intruder detection. • We implement signal processing techniques to extract reliable information from received mmWave signals, including the unique micro-Doppler signature of drone propeller speeds, to distinguish the flying drone from moving objects or possible clutter in the working environment and recognize the drone’s motion type. The signal processing techniques include wavelet denoising, discrete wavelet transformation (DWT), fast Fourier transform (FFT), 2D constant false-alarm rate detector (2D-CFAR), and autocorrelation analysis. • We precisely measure the drone propeller speeds based on their sensed mmWave micro-Doppler shift for the first time in literature. The measured propeller speeds are incorporated into the drone’s motion dynamic model to further promote RaDro’s tracking accuracy. • RaDro’s performance is evaluated in flying arenas involving complex environments with moving humans and metallic obstacles using commercial drones and off-the-shelf mmWave radar through various operating scenarios to verify its robustness. The experimental evaluation demonstrates RaDro’s capability to accurately localize drones in NLoS scenarios where existing optical-based localization systems are ineffective. Moreover, it highlights the significant localization error reduction that RaDro can achieve compared to the baseline mmWave 3D point cloud localization method.</t>
  </si>
  <si>
    <t>2024_Sep_089.pdf</t>
  </si>
  <si>
    <t xml:space="preserve">Mohammed Aldeen, Jeffrey Young, Song Liao, Tsu-Yao Chang, Long Cheng, Haipeng Cai, Xiapu Luo, and Hongxin Hu. 2024. End-Users Know Best: Identifying Undesired Behavior of Alexa Skills Through User Review Analysis. Proc. ACM Interact. Mob. Wearable Ubiquitous Technol. 8, 3, Article 89 (September 2024), 28 pages. https://doi.org/10.1145/3678517</t>
  </si>
  <si>
    <t>https://github.com/REviewTracker/ReviewTracker</t>
  </si>
  <si>
    <t xml:space="preserve">Python 3.7,Conda,Linux environment,Selenium WebDriver,</t>
  </si>
  <si>
    <t xml:space="preserve">There are no instructions inside the referenced Repo.</t>
  </si>
  <si>
    <t xml:space="preserve">• We collected over 700,000 user reviews posted during the period between January 2016 and March 2023 from US marketplace in Amazon Alexa’s skills store. We first used semantic similarity to set rules to filter out unrelated reviews, and we labeled 14,080 reviews with various types of undesired skill behaviors. In our analysis, we categorize these undesired behaviors into two main groups: user frustrations and policy violations. To classify the review data, we designed and developed ReviewTracker2 , an NLP pipeline capable of identifying specific instances of policy violations and user frustrations in Alexa skills. • We conducted a comprehensive analysis of user frustration and policy violation reviews. ReviewTracker identified 17,820 reviews reporting policy violations across 2,813 skills, and 131,855 reviews highlighting different types of user frustrations associated with 9,294 skills. Our findings revealed that users expressed clear dissatisfaction with IoT skills because they didn’t match their advertised capabilities. Also, skills in certain categories only understand simple commands, leading to high volume of users complaining about the skills comprehension. • We also developed a novel LLM-based dynamic testing tool, leveraging ChatGPT to interact with VPA to automatically test skill behaviors and record all the interactions that occur in between. This approach allows us to accurately analyze whether the identified problematic skills align with their actual behavior The dynamic testing revealed violations of policies and safety measures across multiple categories, with 228 skills found to be in violation of at least one policy requirement. Kids-related and Health skills were discovered to collect personal information while a number of skills across other categories redirect users to external websites.</t>
  </si>
  <si>
    <t>2024_Sep_090.pdf</t>
  </si>
  <si>
    <t xml:space="preserve">Atheer Aljeraisy, Omer Rana, and Charith Perera. 2024. Empowering IoT Developers with Privacy-Preserving End-User Development Tools. Proc. ACM Interact. Mob. Wearable Ubiquitous Technol. 8, 3, Article 90 (September 2024), 47 pages. https://doi.org/10.1145/3678588</t>
  </si>
  <si>
    <t>https://gitlab.com/IOTGarage/canella</t>
  </si>
  <si>
    <t xml:space="preserve">NodeMCU ESP8266 Microcontroller,Raspberry Pi Single-Board Computer,heart rate sensors</t>
  </si>
  <si>
    <t xml:space="preserve">Blockly@rduino,Node-RED,MQTT Protocol Support,Arduino IDE ,</t>
  </si>
  <si>
    <t xml:space="preserve">Repo contains a general description about general architecture and components of canella, and how to set up the hardware components.</t>
  </si>
  <si>
    <t xml:space="preserve">• We conducted a focus group study to explore the design and implementation of specific privacy-preserving techniques of the PbD schemes within various EUD environments. This study provided valuable insights into the design and implementation of Canella’s privacy-preserving components. • We present the design and implementation of Canella, a privacy-compliant integrated IoT development ecosystem. It prompts developers to consider privacy during programming, offering real-time feedback on potential privacy issues. Canella enhances developers’ understanding of personal data usage in their applications, introduces alternative privacy options, and increases their knowledge of privacy regulations. • We provide the results of our lab studies on Canella. Our findings demonstrate that developers using Canella can create more privacy-preserving applications, reduce developers’ cognitive load, increase their awareness, streamline privacy implementation, and facilitate adherence to privacy and data protection regulations. Overall, developers consider Canella and its privacy components useful and easy to use.</t>
  </si>
  <si>
    <t>2024_Sep_091.pdf</t>
  </si>
  <si>
    <r>
      <rPr/>
      <t xml:space="preserve">Swarnali Banik, Sougata Sen, Snehanshu Saha, and Surjya Ghosh. 2024. Towards Reducing Continuous Emotion Annotation Effort During Video Consumption: A Physiological Response Profiling Approach. Proc. ACM Interact. Mob. Wearable Ubiquitous Technol. 8, 3, Article 91 (September 2024), 32 pages. </t>
    </r>
    <r>
      <rPr>
        <u val="single"/>
        <color rgb="FF1155CC"/>
      </rPr>
      <t>https://doi.org/10.1145/3678569</t>
    </r>
  </si>
  <si>
    <t xml:space="preserve">a proprietary, self collected dataset of the authors is needed.</t>
  </si>
  <si>
    <t xml:space="preserve">Pulse Rate Sensor (HW-827),Galvanic Skin Response (GSR) Sensor ,Arduino Uno Board</t>
  </si>
  <si>
    <t xml:space="preserve">Annotation Application (“Annotate App”),Data Acquisition and Processing Software,Machine Learning Framework(parameterized LSTM (p-LSTM)),</t>
  </si>
  <si>
    <t xml:space="preserve">• We propose a framework PResUP (Section 5) that reduces the continuous emotion annotation effort during video consumption. It encompasses a parameterized LSTM (p-LSTM) network, which leverages the physiological response pattern to identify the opportune moments for self-report collection, thus reducing the burden of continuous emotion annotation. We demonstrate that in spite of the reduction in the number of probes to be answered by the user, there is no significant difference in the quality of the emotion annotations. • We propose a physiological response based user profile construction approach (Section 5.1). It allows to identify users with similar physiological response behavior (Section 5.2) so that the p-LSTM network embedded in the PResUP framework can be trained more efficiently (Section 5.3). The empirical evaluation demonstrates that training the network by sharing data among similar users helps to identify the opportune probing moments more accurately. • We evaluate PResUP (Section 6) based on the dataset gathered from a real-world user study. The evaluation results on this dataset demonstrate a reduction in average probing rate (34.80%) and a high performance in detecting the opportune probing moments (avg. TPR: 80.07%, avg. FPR: 9.30%) without compromising the annotation quality. Moreover, we discussed the generalizability (Section 9.1.3) of the PResUP by demonstrating its superior performance over the baselines on couple of public datasets. • Finally, we demonstrated the utility of PResUP by deploying it (Section 7, 8) and found that it detects the opportune moments accurately (avg. TPR: 82.26%, avg. FPR: 9.01%) and reduces the continuous emotion annotation effort substantially (avg. reduction: 38.05%).</t>
  </si>
  <si>
    <t>2024_Sep_092.pdf</t>
  </si>
  <si>
    <t xml:space="preserve">Leah Buechley and Alyshia Bustos. 2024. Characteristics of Conductive Paints and Tapes for Interactive Murals. Proc. ACM Interact. Mob. Wearable Ubiquitous Technol. 8, 3, Article 92 (September 2024), 34 pages. https://doi.org/10.1145/3678587</t>
  </si>
  <si>
    <t xml:space="preserve">really big and diverse Set of Paints and Tapes</t>
  </si>
  <si>
    <t xml:space="preserve">The paper’s primary contribution is a detailed comparative and long-term (two year) analysis of four conductive paints and five conductive tapes along with a range of electrical connection techniques. We identify two paints (CuPro-Cote [37] and Silver/Copper Super Shield [19]) and two tapes (Copper [2, 8] and Tin [5]) with low resistance that are stable across all or most of our test conditions including water immersion, freezing, and exposure to rain, hail, and extended sunlight. Durable connection techniques include painting over tape (with CuPro-Cote or Silver/Copper Super Shield) and soldering. We also discuss the successful use of several materials and connection methods in two outdoor interactive murals–murals that contain embedded electronics–that remain fully functional years after their construction</t>
  </si>
  <si>
    <t>2024_Sep_093.pdf</t>
  </si>
  <si>
    <t xml:space="preserve">Youngjae Chang, Sookyung Han, Hyunjong Lee, Seungchul Lee, Wonjung Kim, Jinu Choi, Chloe Ann McCracken, and Junehwa Song. 2024. Understanding Instant Social Control of Shared Devices in Public Spaces: A Field Trial. Proc. ACM Interact. Mob. Wearable Ubiquitous Technol. 8, 3, Article 93 (September 2024), 33 pages. https://doi.org/10.1145/3678592</t>
  </si>
  <si>
    <t xml:space="preserve">Code(Hivemind App) is not referenced, but is available via the Android AppStore</t>
  </si>
  <si>
    <t xml:space="preserve">IoT-Enabled Public Devices (Microphones, Speakers, Air Conditioners,Lights),BLE Beacons,Smartphones or Mobile Devices,</t>
  </si>
  <si>
    <t>OpenHAB</t>
  </si>
  <si>
    <t xml:space="preserve">To this end, we conducted a field trial with a mobile-IoT system, Hivemind [28], as a technology probe. It was deployed to two real-world public spaces: a university auditorium, and a cafeteria. We aimed to understand the perception and usage of instant social control of the actual visitors of these spaces. We listened to their experiences and examined if and when they find instant social control useful and if and when they find it inconvenient. We also looked into unique behavioral strategies or patterns as shown by the visitors. Another area of interest was visitors’ perception and reaction to other visitors’ preferences. Hivemind was instantiated on three of the public devices that were originally installed and operated exclusively in the target spaces. The study participants interacted with the Hivemind-enabled devices at their own will. The field trial allowed us to derive a rich set of findings. Our findings provide insights for the future design of systems and services for instant social control.</t>
  </si>
  <si>
    <t>2024_Sep_094.pdf</t>
  </si>
  <si>
    <t xml:space="preserve">Miguel A. Chávez Tapia, Diego Palma Rodríguez, and Marco Zúñiga Zamalloa. 2024. Edge-Light: Exploiting Luminescent Solar Concentrators for Ambient Light Communication. Proc. ACM Interact. Mob. Wearable Ubiquitous Technol. 8, 3, Article 94 (September 2024), 23 pages. https://doi.org/10.1145/3678574</t>
  </si>
  <si>
    <t xml:space="preserve">The technical implementation of the robot’s communication framework—encompassing optical frequency modulation, signal reception and decoding, and the protocols for acknowledgment and coordination, has not been specified.</t>
  </si>
  <si>
    <t xml:space="preserve">Arduino Due,TCS3200 light sensors,Luminescent Solar Concentrators (LSC),Two mobile robots,</t>
  </si>
  <si>
    <t xml:space="preserve">Arduino IDE &amp; libraries,raytracing simulation Software,Data Analysis Tools (Matlab &amp; Python)</t>
  </si>
  <si>
    <t xml:space="preserve">Contribution 1: LSC analysis [section 2]. Two central properties of any wireless link are its range and field-of-view (FoV). LSC materials have a limited optical conversion efficiency, around ∼5 %1 or higher for research-based LSC [ 23, 24]. Due to this low efficiency, the expected strength of the LSC’s emitted light is limited. We thoroughly analyze different commercial LSCs to identify the one that provides the best coverage in terms of range and field-of-view. Contribution 2: wireless link design and evaluation [section 3]. LSC redirect light but does not modulate it. To build a transmitter, we pair LSC with liquid crystal (LC) shutters and implement frequency-based modulation to cope with the variable intensity of ambient light. To build a receiver, we consider the fact that LSC absorbs white light but emits color light. Thus, we analyze two sensing approaches: color sensors and photodiodes plus color filters. Our final receiver includes various optical components to increase the link’s SNR. We perform thorough evaluation of Edge-Light under artificial ceiling lightning and natural sunlight. Contribution 3: sample application in robot-to-robot communication [section 4]. We build different prototypes of Edge-Light on top of robots and design a protocol for them to exchange three different commands. Our evaluation shows that robots can reliably send these commands (rotate, move forward, stop) for ranges up to one meter. As a sample application, we show a scenario where a single robot cannot move a box, but two robots coordinate and move the box communicating their commands only with sunlight.</t>
  </si>
  <si>
    <t>2024_Sep_095.pdf</t>
  </si>
  <si>
    <t xml:space="preserve">Qiongyan Chen, Zhiqing Wu, Yucheng Liu, Lei Han, Zisu Li, Ge Lin Kan, and Mingming Fan. 2024. SilverCycling: Exploring the Impact of Bike-Based Locomotion on Spatial Orientation for Older Adults in VR. Proc. ACM Interact. Mob. Wearable Ubiquitous Technol. 8, 3, Article 95 (September 2024), 24 pages. https://doi.org/10.1145/3678522</t>
  </si>
  <si>
    <t xml:space="preserve">SilverCycling System (indoor cycling machine, handlebars(-encoder), pedals(-encoder),VR Setup (here consisting of a Computer with at least 48 GB of RAM, Nvidia GeForce GTX 4090 graphics card, and Intel Core i7-7700HQ processor.)Meta Quest Pro head-mounted display,</t>
  </si>
  <si>
    <t xml:space="preserve">Fantastic City Generator,Screen recording software for data capture,IBM SPSS Statistics,Feishu Platform</t>
  </si>
  <si>
    <t xml:space="preserve">• We demonstrated that natural motion-based methods, such as bike-based locomotion, improve spatial orientation for older adults in the open-road urban environment compared to JC in VR, as evidenced by the design and evaluation of our SilverCycling system. • We identified potential factors of SilverCycling system that may contribute to its advantages in supporting spatial orientation; We also derived design considerations for designing locomotion techniques for older adults to sustain spatial orientation and overall user experience.</t>
  </si>
  <si>
    <t>2024_Sep_096.pdf</t>
  </si>
  <si>
    <t xml:space="preserve">Mark Colley, Sebastian Hartwig, Albin Zeqiri, Timo Ropinski, and Enrico Rukzio. 2024. AutoTherm: A Dataset and Benchmark for Thermal Comfort Estimation Indoors and in Vehicles. Proc. ACM Interact. Mob. Wearable Ubiquitous Technol. 8, 3, Article 96 (September 2024), 49 pages. https://doi.org/10.1145/3678503</t>
  </si>
  <si>
    <t>https://github.com/az16/thermal-comfort-classification</t>
  </si>
  <si>
    <t>https://huggingface.co/datasets/kopetri/AutoTherm</t>
  </si>
  <si>
    <t xml:space="preserve">temporal, labeled multi-modal dataset featuring 31 input signals relevant for the task of thermal comfort state estimation</t>
  </si>
  <si>
    <t xml:space="preserve">Climatic Chamber,Air Conditioning Unit(Monzana MZKA1000 Smart A/C),Smart Heating Units (Two Nedis P22-2054875),Data Acquisition Device: Microsoft Kinect v2,temperature Sensors</t>
  </si>
  <si>
    <t xml:space="preserve">proprietary Data Logging tool, which is said to going to be   publicly available, but is not at the point in time of observation.,ensorFlow or PyTorch for implementing LSTM and CNN-LSTM models,Statistical Analysis Software(Tools like R or Python libraries (e.g., Pandas, NumPy)),</t>
  </si>
  <si>
    <t xml:space="preserve">the repos readme consists of a general description of the Dataset. It is not explained how to use the model.</t>
  </si>
  <si>
    <t xml:space="preserve">In this work, we created a (1) temporal, labeled multi-modal dataset featuring 31 input signals (age, gender, weight, height, body fat, body core temperature, activity level, time since last meal, tiredness, clothing level, radiation temperature, emotion, RGB frame, ten body pose key points, heart rate, wrist temperature, galvanic skin response, ambient temperature, relative humidity) relevant for the task of thermal comfort state estimation, which has not yet been addressed in the context of automotive state recognition. (2) The implemented and employed logging can be used as a data-gathering blueprint for future state recognition research. (3) Thirdly, we present a machine-learning-based approach for both indoor and in-vehicle thermal comfort state recognition that takes advantage of different feature combinations to explore predictive performance and the impact of individual input modalities. (4) Fourthly, we report a feature combination study with different network architectures for thermal comfort state estimation and forecasting. (5) Finally, we evaluate our trained classifiers on existing thermal comfort datasets and report superior performance for models trained on our AutoTherm dataset.</t>
  </si>
  <si>
    <t>2024_Sep_097.pdf</t>
  </si>
  <si>
    <t xml:space="preserve">Matthew Corbett, Brendan David-John, Jiacheng Shang, and Bo Ji. 2024. ShouldAR: Detecting Shoulder Surfing Attacks Using Multimodal Eye Tracking and Augmented Reality. Proc. ACM Interact. Mob. Wearable Ubiquitous Technol. 8, 3, Article 97 (September 2024), 23 pages. https://doi.org/10.1145/3678573</t>
  </si>
  <si>
    <t>https://github.com/Asadullah-Dal17/Eyes-Position-Estimator-Mediapipe</t>
  </si>
  <si>
    <t xml:space="preserve">The repository contains several tutorial videos which, as of December 12th, have been deleted and are therefore inaccessible.</t>
  </si>
  <si>
    <t xml:space="preserve">AR Headset (Magic Leap 2),ESP32-CAM with a  OV2640 wide angle lens,</t>
  </si>
  <si>
    <t>Unity,MediaPipe</t>
  </si>
  <si>
    <t xml:space="preserve">all of the instructional videos, which represent all of relevant instructions in the Repo, have been deleted in youtube.</t>
  </si>
  <si>
    <t xml:space="preserve">• We present our design called ShouldAR, a mobile and usable system designed to protect users from SSAs. Using an off-the-shelf camera and microcontroller, and an AR headset, we leverage multimodal eye tracking (i.e., eye gaze information from both the user and attacker) to alert the device user to potential shoulder surfing threats in both typing and writing scenarios. • Through a user study with 24 participants, we evaluate the effectiveness of this system, the effect of the system on comfort in SSA-vulnerable situations, and the perceived usability. Our solution successfully detected an SSA in 87.28% of tests across both typing and writing tasks, a more than two-fold increase in protection over the baseline solution using a rear-facing mirror, a widely used solution to the SSA problem. • Our system improves perceived participant comfort in various representative scenarios and was considered more usable than a baseline solution.</t>
  </si>
  <si>
    <t>2024_Sep_098.pdf</t>
  </si>
  <si>
    <t xml:space="preserve">Veronika Domova, Rebecca Maria Currano, and David Sirkin. 2024. Comfort in Automated Driving: A Literature Survey and a High-Level Integrative Framework. Proc. ACM Interact. Mob. Wearable Ubiquitous Technol. 8, 3, Article 98 (September 2024), 23 pages. https://doi.org/10.1145/3678583</t>
  </si>
  <si>
    <t xml:space="preserve">Patterns that emerge from the framework include that: a) some factors primarily influence physical well-being (such as motion forces), b) some contribute to discomfort (automation failures) while others contribute to comfort (secondary activities), c) some are stable and known before the trip (individual characteristics) while others change over time (environment), and d) comfort or discomfort can lead users to change either the relevant factors (level of automation) or their own behavior (secondary activities).</t>
  </si>
  <si>
    <t>2024_Sep_099.pdf</t>
  </si>
  <si>
    <t xml:space="preserve">Lingyu Du, Jinyuan Jia, Xucong Zhang, and Guohao Lan. 2024. PrivateGaze: Preserving User Privacy in Black-box Mobile Gaze Tracking Services. Proc. ACM Interact. Mob. Wearable Ubiquitous Technol. 8, 3, Article 99 (September 2024), 28 pages. https://doi.org/10.1145/3678595</t>
  </si>
  <si>
    <t>https://github.com/LingyuDu/PrivateGaze</t>
  </si>
  <si>
    <t xml:space="preserve">Official GitHub repository with implementation, training scripts, and pretrained components for PrivateGaze.</t>
  </si>
  <si>
    <t xml:space="preserve">Uses four existing public gaze datasets for training and evaluation; no new dataset is released.</t>
  </si>
  <si>
    <t xml:space="preserve">Implementation is developed using the PyTorch framework and standard machine learning libraries.</t>
  </si>
  <si>
    <t xml:space="preserve">GitHub repository documents main training script and available models, but does not provide a step-by-step reproduction pipeline.</t>
  </si>
  <si>
    <t xml:space="preserve">Meanwhile, when used directly by the black-box gaze estimator as inputs, the obfuscated images lead to comparable tracking performance to the conventional, unprotected full-face images.</t>
  </si>
  <si>
    <t>2024_Sep_100.pdf</t>
  </si>
  <si>
    <t xml:space="preserve">Lihua Fan, Shuning Zhang, Yan Kong, Xin Yi, Yang Wang, Xuhai "Orson" Xu, Chun Yu, Hewu Li, and Yuanchun Shi. 2024. Evaluating the Privacy Valuation of Personal Data on Smartphones. Proc. ACM Interact. Mob. Wearable Ubiquitous Technol. 8, 3, Article 100 (September 2024), 33 pages. https://doi.org/10.1145/3678509</t>
  </si>
  <si>
    <t>2024_Sep_101.pdf</t>
  </si>
  <si>
    <t xml:space="preserve">Glenn J. Fernandes, Jiayi Zheng, Mahdi Pedram, Christopher Romano, Farzad Shahabi, Blaine Rothrock, Thomas Cohen, Helen Zhu, Tanmeet S. Butani, Josiah Hester, Aggelos K. Katsaggelos, and Nabil Alshurafa. 2024. HabitSense: A Privacy-Aware, AI-Enhanced Multimodal Wearable Platform for mHealth Applications. Proc. ACM Interact. Mob. Wearable Ubiquitous Technol. 8, 3, Article 101 (September 2024), 48 pages. https://doi.org/10.1145/3678591</t>
  </si>
  <si>
    <t>https://github.com/HAbitsLab/HabitSense</t>
  </si>
  <si>
    <t xml:space="preserve">Empty GitHub repository.</t>
  </si>
  <si>
    <t xml:space="preserve">Free-living multimodal dataset of eating, smoking and hand-to-mouth gestures collected with HabitSense; paper reports statistics and protocols but does not provide a public data link or release.</t>
  </si>
  <si>
    <t xml:space="preserve">Custom HabitSense RGB-thermal-IMU wearable camera device with 3D-printed enclosure, Li-Po battery and BLE connectivity, iteratively designed across multiple generations and used for data collection in free-living studies.</t>
  </si>
  <si>
    <t xml:space="preserve">Uses standard open-source ML frameworks and tools; no proprietary software is required to reproduce the models.</t>
  </si>
  <si>
    <t xml:space="preserve">Empty GitHub repository; No full step-by-step reproduction instructions. </t>
  </si>
  <si>
    <t xml:space="preserve">This paper highlights the critical roles of clinician feedback, extensive field testing, and privacy-enhancing algorithms in developing an unobtrusive, lightweight, and reproducible wearable system that is both feasible and acceptable for monitoring health-risk behaviors in real-world settings.</t>
  </si>
  <si>
    <t>2024_Sep_102.pdf</t>
  </si>
  <si>
    <t xml:space="preserve">Weiwei Gao, Kexin Du, Yujia Luo, Weinan Shi, Chun Yu, and Yuanchun Shi. 2024. EasyAsk: An In-App Contextual Tutorial Search Assistant for Older Adults with Voice and Touch Inputs. Proc. ACM Interact. Mob. Wearable Ubiquitous Technol. 8, 3, Article 102 (September 2024), 27 pages. https://doi.org/10.1145/3678516</t>
  </si>
  <si>
    <t xml:space="preserve">EasyAsk is implemented as an Android app with a GPT-4-based backend and server-side components, but no source code repository or download link is provided.</t>
  </si>
  <si>
    <t xml:space="preserve">Method relies on an internal tutorial database containing 578 interactive smartphone tutorials and experimental logs; these resources are described but not released.</t>
  </si>
  <si>
    <t xml:space="preserve">Requires Android smartphones to run the EasyAsk app and conduct the user study; all participants used Android phones but no special or custom hardware is introduced.</t>
  </si>
  <si>
    <t xml:space="preserve">Depends on GPT-4 chat completion API, the iFlytek ASR service, Android OS, and the LangChain framework; GPT-4 and iFlytek are proprietary services.</t>
  </si>
  <si>
    <t xml:space="preserve">Paper explains the EasyAsk pipeline and study protocol but does not provide runnable code, configuration files, or step-by-step reproduction instructions for the system.</t>
  </si>
  <si>
    <t xml:space="preserve">Our user experiment, involving 18 older participants, demonstrated that EasyAsk helped users obtain tutorials correctly in 98.94% of cases, making tutorial search accessible and natural.</t>
  </si>
  <si>
    <t>2024_Sep_103.pdf</t>
  </si>
  <si>
    <t xml:space="preserve">Yi Gao, Kaijie Xiao, Fu Li, Weifeng Xu, Jiaming Huang, and Wei Dong. 2024. ChatIoT: Zero-code Generation of Trigger-action Based IoT Programs. Proc. ACM Interact. Mob. Wearable Ubiquitous Technol. 8, 3, Article 103 (September 2024), 29 pages. https://doi.org/10.1145/3678585</t>
  </si>
  <si>
    <t xml:space="preserve">They implement the ChatIoT system but do not provide any source code repository or download link in the paper.</t>
  </si>
  <si>
    <t xml:space="preserve">No dataset is released or linked.</t>
  </si>
  <si>
    <t xml:space="preserve">Experiments use an NVIDIA Jetson Xavier NX and a cloud server with 16 vCPU Intel Xeon Gold 6430, 120 GB RAM, and RTX 4090, plus multiple IoT devices.</t>
  </si>
  <si>
    <t xml:space="preserve">ChatGPT-3.5-turbo as the LLM for TAP generation, VisualGLM as the multimodal teacher model, sentence-transformer for embedding-based similarity, python-miio for device emulation.</t>
  </si>
  <si>
    <t xml:space="preserve">The paper details the architecture, prompting workflows, and DRL-based model customization, but does not provide a runnable repository or concrete step-by-step instructions.</t>
  </si>
  <si>
    <t xml:space="preserve">Results show that ChatIoT can reduce token consumption by 26.1-84.9% and improve TAP generation accuracy by 4.2-65.5% compared to state-of-the-art approaches in multiple settings. We also conducted a real user study, and ChatIoT can achieve 91.57% TAP generation accuracy.</t>
  </si>
  <si>
    <t>2024_Sep_104.pdf</t>
  </si>
  <si>
    <t xml:space="preserve">Feiyu Han, Panlong Yang, You Zuo, Fei Shang, Fenglei Xu, and Xiang-Yang Li. 2024. EarSpeech: Exploring In-Ear Occlusion Effect on Earphones for Data-efficient Airborne Speech Enhancement. Proc. ACM Interact. Mob. Wearable Ubiquitous Technol. 8, 3, Article 104 (September 2024), 30 pages. https://doi.org/10.1145/3678594</t>
  </si>
  <si>
    <t>https://github.com/EarSpeech/earspeech.github.io/</t>
  </si>
  <si>
    <t xml:space="preserve">Source code is provided via GitHub; the paper does not describe whether full training scripts or preprocessing pipelines are included.</t>
  </si>
  <si>
    <t xml:space="preserve">Training relies on public corpora (e.g., LibriSpeech, ESC-50, MUSAN) and a collected dual-channel airborne/in-ear speech dataset; only an audio demo is shared, not the full training dataset.</t>
  </si>
  <si>
    <t xml:space="preserve">Custom earphone prototype; model training uses a server with 4 NVIDIA GeForce RTX 3090 GPUs.</t>
  </si>
  <si>
    <t xml:space="preserve">EarSpeech is implemented with PyTorch and standard machine-learning tooling; no non-open-source or specialized proprietary software is required for reproduction.</t>
  </si>
  <si>
    <t xml:space="preserve">No full step-by-step reproduction instructions</t>
  </si>
  <si>
    <t xml:space="preserve">In addition, with the different impact factors, EarSpeech can significantly improve the quality and intelligibility of noisy speech in daily scenarios.</t>
  </si>
  <si>
    <t>2024_Sep_105.pdf</t>
  </si>
  <si>
    <t xml:space="preserve">Heng Zhou and Takuya Maekawa. 2024. Predicting Signal Reception Information from GNSS Satellites in Indoor Environments without Site Survey: Towards Opportunistic Indoor Positioning Based on GNSS Fingerprinting. Proc. ACM Interact. Mob. Wearable Ubiquitous Technol. 8, 3, Article 105 (September 2024), 30 pages. https://doi.org/10.1145/3678554</t>
  </si>
  <si>
    <t xml:space="preserve">The paper states that codes will be available after double blind review but provides no repository link.</t>
  </si>
  <si>
    <t xml:space="preserve">Data are not released, the paper only notes that data will be available after double blind review.</t>
  </si>
  <si>
    <t xml:space="preserve">Samsung Galaxy S21 smartphone used to collect GPS data in all environments and Google Pixel 4XL used for device heterogeneity experiments; no additional custom hardware.</t>
  </si>
  <si>
    <t xml:space="preserve">Uses a self-developed Android logging app, AR-based Samsung Quick Measure for ground-truth coordinates, and 3D building maps from Google Earth and the Geospatial Information Authority of Japan, plus standard ML frameworks for training MSBF-Net.</t>
  </si>
  <si>
    <t xml:space="preserve">Paper details the network architecture, feature maps, training setup, and evaluation, but does not provide a runnable repository or step-by-step instructions for reproducing the implementation.</t>
  </si>
  <si>
    <t xml:space="preserve">Surprisingly, the positioning method achieved a positioning error of only 2.8 meters when a smartphone is close to window-side areas even though the method does not rely on labeled training data collected in a target environment and signal infrastructures installed in the target environment.</t>
  </si>
  <si>
    <t>2024_Sep_106.pdf</t>
  </si>
  <si>
    <t xml:space="preserve">Nuwan Janaka, Runze Cai, Ashwin Ram, Lin Zhu, Shengdong Zhao, and Kai Qi Yong. 2024. PilotAR: Streamlining Pilot Studies with OHMDs from Concept to Insight. Proc. ACM Interact. Mob. Wearable Ubiquitous Technol. 8, 3, Article 106 (September 2024), 35 pages. https://doi.org/10.1145/3678576</t>
  </si>
  <si>
    <t>https://github.com/Synteraction-Lab/PilotAR</t>
  </si>
  <si>
    <t xml:space="preserve">Open-source PilotAR implementation with source code and usage instructions is provided on GitHub.</t>
  </si>
  <si>
    <t xml:space="preserve">Requires optical head-mounted displays such as HoloLens 2 and compatible cameras plus a computer to run the PilotAR tool for pilot studies.</t>
  </si>
  <si>
    <t xml:space="preserve">PilotAR is implemented with open-source components (Python, Tkinter, FFmpeg, Python-VLC, Whisper).</t>
  </si>
  <si>
    <t xml:space="preserve">Paper links to an open-source GitHub repository with implementation details and instructions for installing and running PilotAR.</t>
  </si>
  <si>
    <t xml:space="preserve">PilotAR facilitates data collection via live first-person and third-person views, multi-modal annotations, and flexible wizarding interfaces.</t>
  </si>
  <si>
    <t>2024_Sep_107.pdf</t>
  </si>
  <si>
    <t xml:space="preserve">Jianan Jiang, Di Wu, Hanhui Deng, Yidan Long, Wenyi Tang, Xiang Li, Can Liu, Zhanpeng Jin, Wenlei Zhang, and Tangquan Qi. 2024. HAIGEN: Towards Human-AI Collaboration for Facilitating Creativity and Style Generation in Fashion Design. Proc. ACM Interact. Mob. Wearable Ubiquitous Technol. 8, 3, Article 107 (September 2024), 27 pages. https://doi.org/10.1145/3678518</t>
  </si>
  <si>
    <t>https://github.com/ExponentiAI/HAIGEN</t>
  </si>
  <si>
    <t xml:space="preserve">Official HAIGEN repository linked in paper</t>
  </si>
  <si>
    <t xml:space="preserve">Experiments use open-source HAIFashion and Clothes-V; no download link provided in paper</t>
  </si>
  <si>
    <t xml:space="preserve">Training/inference run on NVIDIA Tesla A100 40G (cloud) and Tesla V100 32G (local)</t>
  </si>
  <si>
    <t xml:space="preserve">PyTorch-based pipeline with Stable Diffusion + LoRA/ControlNet, VGG/ViT/ResNet components (all open source)</t>
  </si>
  <si>
    <t xml:space="preserve">Paper links GitHub repository with implementation details and instructions</t>
  </si>
  <si>
    <t xml:space="preserve">User surveys also confirmed that HAIGEN offers significant advantages in design efficiency, positioning it as a new generation of aid-tool for designers.</t>
  </si>
  <si>
    <t>2024_Sep_108.pdf</t>
  </si>
  <si>
    <t xml:space="preserve">Xiaoqing Jing, Chun Yu, Kun Yue, Liangyou Lu, Nan Gao, Weinan Shi, Mingshan Zhang, Ruolin Wang, and Yuanchun Shi. 2024. AngleSizer: Enhancing Spatial Scale Perception for the Visually Impaired with an Interactive Smartphone Assistant. Proc. ACM Interact. Mob. Wearable Ubiquitous Technol. 8, 3, Article 108 (September 2024), 31 pages. https://doi.org/10.1145/3678525</t>
  </si>
  <si>
    <t xml:space="preserve">We designed and developed AngleSizer, an innovative smartphone-based teaching assistant. This tool is tailored to assist BVI individuals in learning small and medium spatial scales, by facilitating a convenient, efficient, and cost-effective learning process.</t>
  </si>
  <si>
    <t>2024_Sep_109.pdf</t>
  </si>
  <si>
    <t xml:space="preserve">Gwangbin Kim, Seokhyun Hwang, Minwoo Seong, Dohyeon Yeo, Daniela Rus, and SeungJun Kim. 2024. TimelyTale: A Multimodal Dataset Approach to Assessing Passengers' Explanation Demands in Highly Automated Vehicles. Proc. ACM Interact. Mob. Wearable Ubiquitous Technol. 8, 3, Article 109 (September 2024), 60 pages. https://doi.org/10.1145/3678544</t>
  </si>
  <si>
    <t>https://github.com/GWANGBIN/timelytale</t>
  </si>
  <si>
    <t xml:space="preserve">code for recording data</t>
  </si>
  <si>
    <t>https://doi.org/10.7910/DVN/CQ8UB0</t>
  </si>
  <si>
    <t xml:space="preserve">multiple sensors to record data</t>
  </si>
  <si>
    <t xml:space="preserve">instructions in data recording folder</t>
  </si>
  <si>
    <t xml:space="preserve">We introduce TimelyTale, an approach that records passengers’ demands for explanations in automated vehicles. The dataset includes environmental, driving-related, and passenger-specific sensor data for context-aware explanations. Our machine learning analysis identifies proprioceptive and physiological data as key features for predicting passengers’ explanation demands, suggesting their potential for generating timely, context-aware explanations.</t>
  </si>
  <si>
    <t>2024_Sep_110.pdf</t>
  </si>
  <si>
    <t xml:space="preserve">Heather Jin Hee Kim, Narjes Pourjafarian, Arhan Choudhury, Joan Stilling, and Cindy Hsin-Liu Kao. 2024. MediKnit: Soft Medical Making for Personalized and Clinician-Designed Wearable Devices for Hand Edema. Proc. ACM Interact. Mob. Wearable Ubiquitous Technol. 8, 3, Article 110 (September 2024), 30 pages. https://doi.org/10.1145/3678504</t>
  </si>
  <si>
    <t xml:space="preserve">44 by 61 mm printed circuit board embedded with an Atmega 2560 microcontroller</t>
  </si>
  <si>
    <t xml:space="preserve">MediKnit, an accessible soft medical making design tool and the resulting personalized edema device. MediKnit design tool minimizes technical requirements for the fabrication of textile-based devices. Our tool emphasizes personalization, allowing customized solutions tailored to individual needs and anatomical characteristics. The resulting MediKnit device is delivered timely without the need for iterative adjustments.</t>
  </si>
  <si>
    <t>2024_Sep_111.pdf</t>
  </si>
  <si>
    <t xml:space="preserve">Ha Le, Rithika Lakshminarayanan, Jixin Li, Varun Mishra, and Stephen Intille. 2024. Collecting Self-reported Physical Activity and Posture Data Using Audio-based Ecological Momentary Assessment. Proc. ACM Interact. Mob. Wearable Ubiquitous Technol. 8, 3, Article 111 (September 2024), 35 pages. https://doi.org/10.1145/3678584</t>
  </si>
  <si>
    <t xml:space="preserve">no code for data collection software software or study app</t>
  </si>
  <si>
    <t xml:space="preserve">headsets, wearables</t>
  </si>
  <si>
    <t xml:space="preserve">We demonstrate that in a pilot study with fifteen participants, fourteen out of fifteen participants were able to sustain a response rate of over 60% for at least 7 days, and for at most 14 days. Among the audio recordings collected, 95.0% of the recordings were intelligible to a human annotator.</t>
  </si>
  <si>
    <t>2024_Sep_112.pdf</t>
  </si>
  <si>
    <t xml:space="preserve">Zikang Leng, Amitrajit Bhattacharjee, Hrudhai Rajasekhar, Lizhe Zhang, Elizabeth Bruda, Hyeokhyen Kwon, and Thomas Plötz. 2024. IMUGPT 2.0: Language-Based Cross Modality Transfer for Sensor-Based Human Activity Recognition. Proc. ACM Interact. Mob. Wearable Ubiquitous Technol. 8, 3, Article 112 (September 2024), 32 pages. https://doi.org/10.1145/3678545</t>
  </si>
  <si>
    <t xml:space="preserve">datasets are named, real world not available</t>
  </si>
  <si>
    <t xml:space="preserve">GPT-3.5 [2] and T2M-GPT [79]</t>
  </si>
  <si>
    <t xml:space="preserve">Our results show that using GPT-3.5 [2] and T2M-GPT [79] for virtual IMU data generation lead to the best downstream performance. Using virtual IMU data as additional training material resulted in relative performance improvements of 11.4%, 3.2%, 5.3%, and 2.8% in model accuracy on the RealWorld [65], PAMAP2 [58], USC-HAD [82], and the MyoGym dataset [29], respectively. Additionally, we demonstrate that our proposed diversity metrics can reduce the time and compute resources needed for the data generation process by over 50%, making IMUGPT 2.0 more practically usable.</t>
  </si>
  <si>
    <t>2024_Sep_113.pdf</t>
  </si>
  <si>
    <t xml:space="preserve">Bofan Li, Yili Ren, Yichao Wang, and Jie Yang. 2024. SpaceBeat: Identity-aware Multi-person Vital Signs Monitoring Using Commodity WiFi. Proc. ACM Interact. Mob. Wearable Ubiquitous Technol. 8, 3, Article 113 (September 2024), 23 pages. https://doi.org/10.1145/3678590</t>
  </si>
  <si>
    <t xml:space="preserve">Wifi devices</t>
  </si>
  <si>
    <t xml:space="preserve">Experimental results show that our system can achieve accurate identity-aware vital signs monitoring for multiple people. The overall accuracies of breathing rate and heart rate are 99.1% and 97.9%, respectively.</t>
  </si>
  <si>
    <t>2024_Sep_114.pdf</t>
  </si>
  <si>
    <t xml:space="preserve">Siheng Li, Beihong Jin, Fusang Zhang, Zhi Wang, Junqi Ma, Xiaoyong Ren, and Haiqin Liu. 2024. Hypnos: A Contactless Sleep Stage Monitoring System Using UWB Signals. Proc. ACM Interact. Mob. Wearable Ubiquitous Technol. 8, 3, Article 114 (September 2024), 27 pages. https://doi.org/10.1145/3678581</t>
  </si>
  <si>
    <t xml:space="preserve">UWB sensor XeThru X4M05, Raspberry Pi</t>
  </si>
  <si>
    <t xml:space="preserve">Matlab and Python</t>
  </si>
  <si>
    <t xml:space="preserve">To the best of our knowledge, our system is the first work to develop a deep learning model by using UWB signals to identify five sleep stages (i.e., Wake, N1, N2, N3, and REM), where sleep apnea features extracted from UWB signals are used as the auxiliary information for helping identify sleep stages.</t>
  </si>
  <si>
    <t>2024_Sep_115.pdf</t>
  </si>
  <si>
    <t xml:space="preserve">Yong-Han Lin, Li-Ting Su, Uei-Dar Chen, Yi-Chi Lee, Peng-Jui Wang, and Yung-Ju Chang. 2024. Pinning, Sorting, and Categorizing Notifications: A Mixed-methods Usage and Experience Study of Mobile Notification-management Features. Proc. ACM Interact. Mob. Wearable Ubiquitous Technol. 8, 3, Article 115 (September 2024), 27 pages. https://doi.org/10.1145/3678579</t>
  </si>
  <si>
    <t>2024_Sep_116.pdf</t>
  </si>
  <si>
    <t xml:space="preserve">Georgianna Lin, Brenna Li, Jin Yi Li, Chloe Zhao, Khai Truong, and Alexander Mariakakis. 2024. Users' Perspectives on Multimodal Menstrual Tracking Using Consumer Health Devices. Proc. ACM Interact. Mob. Wearable Ubiquitous Technol. 8, 3, Article 116 (September 2024), 24 pages. https://doi.org/10.1145/3678575</t>
  </si>
  <si>
    <t>2024_Sep_117.pdf</t>
  </si>
  <si>
    <t xml:space="preserve">Alan Liu, Yu-Tai Lin, and Karthikeyan Sundaresan. 2024. View-agnostic Human Exercise Cataloging with Single MmWave Radar. Proc. ACM Interact. Mob. Wearable Ubiquitous Technol. 8, 3, Article 117 (September 2024), 23 pages. https://doi.org/10.1145/3678512</t>
  </si>
  <si>
    <t>https://github.com/Ohesachite/radar-nn-model</t>
  </si>
  <si>
    <t>https://bit.ly/493DXQw</t>
  </si>
  <si>
    <t xml:space="preserve">"We will open source a rich, multi-radar dataset for a dictionary of nine exercises in various environments that will be made publicly available to facilitate further research."</t>
  </si>
  <si>
    <t xml:space="preserve">77 GHz mmWave radar</t>
  </si>
  <si>
    <t xml:space="preserve">instructions in repos, including data preparation</t>
  </si>
  <si>
    <t xml:space="preserve">RF-HAC’s unique approach (i) brings the diversity of multiple radars to scalably train a novel, self-supervised, pose-agnostic transformer-based exercise classifier directly on 3D RF point clouds with minimal manual effort and be deployed on a single radar; and (ii) leverages the underlying doppler behavior of exercises to design a robust self-similarity based segmentation algorithm for counting the repetitions in unstructured RF point clouds. Evaluations on a comprehensive set of challenging exercises in both seen and unseen environments/subjects highlight RF-HAC’s robustness with high accuracy (over 90%) and readiness for real-time, practical deployments over prior art.</t>
  </si>
  <si>
    <t>2024_Sep_118.pdf</t>
  </si>
  <si>
    <t xml:space="preserve">Runze Liu, Taiting Lu, Shengming Yuan, Hao Zhou, and Mahanth Gowda. 2024. SmartDampener: An Open Source Platform for Sport Analytics in Tennis. Proc. ACM Interact. Mob. Wearable Ubiquitous Technol. 8, 3, Article 118 (September 2024), 30 pages. https://doi.org/10.1145/3678507</t>
  </si>
  <si>
    <t xml:space="preserve">SmartDampener Prototype</t>
  </si>
  <si>
    <t xml:space="preserve">In proof of SmartDampener’s performance in tennis analytics, we present various tennis analytic applications that exploit the capability of SmartDampener in capturing the correlations across string vibration, and racket motion, including the estimation of ball speed with a median error of 3.59 mph, estimation of ball impact location with accuracy of 3.03 cm, and classification of six tennis strokes with accuracy of 96.75%. Finally, extensive usability studies with 15 tennis players indicate high levels of social acceptance of form factor design for the SmartDampener dampener in comparison with alternative form factors, as well as its capability of sensing and analyzing tennis stroke in an accurate and robust manner. We believe this platform will enable exciting applications in other sports like badminton, fitness tracking, and injury prevention.</t>
  </si>
  <si>
    <t>2024_Sep_119.pdf</t>
  </si>
  <si>
    <t xml:space="preserve">Eunji Park, Duri Lee, Yunjo Han, James Diefendorff, and Uichin Lee. 2024. Hide-and-seek: Detecting Workers' Emotional Workload in Emotional Labor Contexts Using Multimodal Sensing. Proc. ACM Interact. Mob. Wearable Ubiquitous Technol. 8, 3, Article 119 (September 2024), 28 pages. https://doi.org/10.1145/3678593</t>
  </si>
  <si>
    <t xml:space="preserve">Within the study, we manipulated customer behaviors as confederates and assessed the worker’s emotional workload. As a result, this study provides a benchmark using well-known features and standard machine learning methods. We achieved an accuracy of up to 87% for binary and three-class classification cases. Finally, we discuss the significance of assessing emotional workload and considerations for its practical application in the workplace.</t>
  </si>
  <si>
    <t>2024_Sep_120.pdf</t>
  </si>
  <si>
    <t xml:space="preserve">Francisco Perella-Holfeld, Samar Sallam, Julia Petrie, Randy Gomez, Pourang Irani, and Yumiko Sakamoto. 2024. Parent and Educator Concerns on the Pedagogical Use of AI-Equipped Social Robots. Proc. ACM Interact. Mob. Wearable Ubiquitous Technol. 8, 3, Article 120 (September 2024), 34 pages. https://doi.org/10.1145/3678556</t>
  </si>
  <si>
    <t>2024_Sep_121.pdf</t>
  </si>
  <si>
    <t xml:space="preserve">Tim Scargill, Ritvik Janamsetty, Christian Fronk, Sangjun Eom, and Maria Gorlatova. 2024. Environment Texture Optimization for Augmented Reality. Proc. ACM Interact. Mob. Wearable Ubiquitous Technol. 8, 3, Article 121 (September 2024), 26 pages. https://doi.org/10.1145/3678510</t>
  </si>
  <si>
    <t>https://github.com/timscargill/MoMAR/</t>
  </si>
  <si>
    <t xml:space="preserve">AR devices, mobile devices, server</t>
  </si>
  <si>
    <t xml:space="preserve">instructions including prerequistites and server setup in the repo</t>
  </si>
  <si>
    <t xml:space="preserve">MoMAR, the first system to analyze motion data from multiple AR users, which generates guidance using situated visualizations. We show that MoMAR can be deployed while maintaining an average frame rate &gt; 59fps, for five different devices. We demonstrate the use of MoMAR in a realistic case study; our optimized environment texture allowed users to complete a task significantly faster (p=0.003) than a complex texture.</t>
  </si>
  <si>
    <t>2024_Sep_122.pdf</t>
  </si>
  <si>
    <t xml:space="preserve">Danny Scott, Matthew Bringle, Imran Fahad, Gaddiel Morales, Azizul Zahid, and Sai Swaminathan. 2024. NeuroCamTags: Long-Range, Battery-free, Wireless Sensing with Neuromorphic Cameras. Proc. ACM Interact. Mob. Wearable Ubiquitous Technol. 8, 3, Article 122 (September 2024), 25 pages. https://doi.org/10.1145/3678529</t>
  </si>
  <si>
    <t xml:space="preserve">IXOLAR SM141K06L solar panel, AEM10941 buck-boost device, ... prototype</t>
  </si>
  <si>
    <t xml:space="preserve">NeuroCamTags offer a wide range of functionalities, providing battery-free wireless sensing for various physical stimuli, including changes in temperature, contact, button presses, key presses, and even sound cues. We demonstrate through technical evaluations the robustness of our approach with respect to sensing at long distances as much as 200 feet across a variety of lighting conditions, including low light (500 lux) and across wide placements in an environment. We demonstrate a range of rich interactive sensing opportunities with NeuroCamTags, including battery-free input devices such as buttons, sliders, and knobs, with multiple multi-user application devices. Furthermore, we demonstrate the ability of the NeuroCamTag system to monitor using up to 11 objects in two smart environments (a kitchen and a workshop) with a high activity recognition accuracy of 96.3%.</t>
  </si>
  <si>
    <t>2024_Sep_123.pdf</t>
  </si>
  <si>
    <t xml:space="preserve">Neil Shah, Neha Sahipjohn, Vishal Tambrahalli, Ramanathan Subramanian, and Vineet Gandhi. 2024. StethoSpeech: Speech Generation Through a Clinical Stethoscope Attached to the Skin. Proc. ACM Interact. Mob. Wearable Ubiquitous Technol. 8, 3, Article 123 (September 2024), 21 pages. https://doi.org/10.1145/3678515</t>
  </si>
  <si>
    <t>https://stethospeech.github.io/StethoSpeech/</t>
  </si>
  <si>
    <t xml:space="preserve">link to website for speech samples where you also find a link to the code</t>
  </si>
  <si>
    <t xml:space="preserve">link to website for speech samples where you also find a link to the dataset</t>
  </si>
  <si>
    <t xml:space="preserve">AyuSynk stethoscope to record the data (185 USD)</t>
  </si>
  <si>
    <t xml:space="preserve">step by step instruction in the github repo</t>
  </si>
  <si>
    <t xml:space="preserve">The novelty of the framework lies in overall design, simulation of ground truth speech, and sequence-to-sequence translation network, which works in the latent space. We present comprehensive experiments on the existing CSTR NAM TIMIT Plus corpus and the newly proposed StethoText dataset. Our results show that StethoSpeech provides natural-sounding and intelligible speech, significantly outperforming the existing methods on several quantitative and qualitative metrics. We also demonstrate its ability to work in extremely noisy scenarios.</t>
  </si>
  <si>
    <t>2024_Sep_124.pdf</t>
  </si>
  <si>
    <t xml:space="preserve">Yingjian Song, Zaid Farooq Pitafi, Fei Dou, Jin Sun, Xiang Zhang, Bradley G. Phillips, and WenZhan Song. 2024. Self-Supervised Representation Learning and Temporal-Spectral Feature Fusion for Bed Occupancy Detection. Proc. ACM Interact. Mob. Wearable Ubiquitous Technol. 8, 3, Article 124 (September 2024), 25 pages. https://doi.org/10.1145/3678514</t>
  </si>
  <si>
    <t xml:space="preserve">Raspberry Pi, ADC, seismic sensor, Nvidia RTX1080</t>
  </si>
  <si>
    <t xml:space="preserve">SeismoDot not only achieves high accuracy (98.49%) and F1 scores (98.08%) across 13 diverse environments, but it also maintains high performance (97.01% accuracy and 96.54% F1 score) even when trained with just 20% (4 days) of the total data. This demonstrates its exceptional ability to generalize across various environmental settings, even with limited data availability.</t>
  </si>
  <si>
    <t>2024_Sep_125.pdf</t>
  </si>
  <si>
    <t xml:space="preserve">Wenfan Song, Jianwei Liu, and Jinsong Han. 2024. PuppetMouse: Practical and Contactless Mouse Manipulation Attack via Intentional Electromagnetic Interference Injection. Proc. ACM Interact. Mob. Wearable Ubiquitous Technol. 8, 3, Article 125 (September 2024), 30 pages. https://doi.org/10.1145/3678570</t>
  </si>
  <si>
    <t xml:space="preserve">software-defined radio USRP B210, antenna, rf power amplifier</t>
  </si>
  <si>
    <t xml:space="preserve">PuppetMouse, the first intentional electromagnetic interference (IEMI) injection-based attack that can effectively manipulate mouse clicks and movements without physical contact. By adjusting the parameters of IEMI signals, PuppetMouse can precisely control the click side, as well as the movement direction and speed. We demonstrate PuppetMouse’s effectiveness on 14 wired and wireless mice from popular brands. The short response delay (within 4 ms) affirms the real-time performance of PuppetMouse. Robustness analysis across different attack distances and material occlusions validate the stability and reliability of PuppetMouse.</t>
  </si>
  <si>
    <t>2024_Sep_126.pdf</t>
  </si>
  <si>
    <t xml:space="preserve">Annika Stampf, Mark Colley, Ann-Kathrin Knuth, Cagla Tasci, and Enrico Rukzio. 2024. Examining Psychological Conflict-Handling Strategies for Highly Automated Vehicles to Resolve Legal User-Vehicle Conflicts. Proc. ACM Interact. Mob. Wearable Ubiquitous Technol. 8, 3, Article 126 (September 2024), 25 pages. https://doi.org/10.1145/3678511</t>
  </si>
  <si>
    <t>https://github.com/as116/psychological-conflict-handling-strategies</t>
  </si>
  <si>
    <t xml:space="preserve">study results and scripts are available </t>
  </si>
  <si>
    <t>2024_Sep_127.pdf</t>
  </si>
  <si>
    <t xml:space="preserve">Annika Stampf, Markus Sasalovici, Luca-Maxim Meinhardt, Mark Colley, Marcel Giss, and Enrico Rukzio. 2024. Move, Connect, Interact: Introducing a Design Space for Cross-Traffic Interaction. Proc. ACM Interact. Mob. Wearable Ubiquitous Technol. 8, 3, Article 127 (September 2024), 40 pages. https://doi.org/10.1145/3678580</t>
  </si>
  <si>
    <t xml:space="preserve">Literature Review;User Study</t>
  </si>
  <si>
    <t>2024_Sep_128.pdf</t>
  </si>
  <si>
    <t xml:space="preserve">Tao Sun, Yankai Zhao, Wentao Xie, Jiao Li, Yongyu Ma, and Jin Zhang. 2024. EyeGesener: Eye Gesture Listener for Smart Glasses Interaction Using Acoustic Sensing. Proc. ACM Interact. Mob. Wearable Ubiquitous Technol. 8, 3, Article 128 (September 2024), 28 pages. https://doi.org/10.1145/3678541</t>
  </si>
  <si>
    <t xml:space="preserve">commercial speakers and microphones,hitronix T256 3 ADC USB Audio sound card,Raspberry Pi 4 Model B equipped with 1.5 GHz Quad-core Cortex-A72,</t>
  </si>
  <si>
    <t xml:space="preserve">Python 3.8, PyTorch 2.1, Stochastic Gradient Descent Algorithm applied to a neural network</t>
  </si>
  <si>
    <t xml:space="preserve">• To the best of our knowledge, we propose the first acoustic-based, user-independent eye gesture recognition system for hands-free interaction on smart glasses. • We meticulously design intentional eye gestures for interaction to mitigate the Midas touch problem. We design eye gesture filtering and adversarial-based eye gesture recognition to identify intentional eye gestures, filtering out daily eye movements. We employ adversarial training to achieve user-independent eye gesture recognition. • We conduct extensive experiments to evaluate the system’s robustness. We evaluated the EyeGesener with 16 subjects to assess the performance of eye gesture recognition. The results indicate that our system attains high accuracy and robustness with an average F1-score of 0.93 and the false alarm rate of our system is 0.03. We develop an interactive real-time audio-video player and a user study with 8 participants demonstrates the high usability of EyeGesener.</t>
  </si>
  <si>
    <t>2024_Sep_129.pdf</t>
  </si>
  <si>
    <t xml:space="preserve">Mahan Tabatabaie, Suining He, Hao Wang, and Kang G. Shin. 2024. Beyond "Taming Electric Scooters": Disentangling Understandings of Micromobility Naturalistic Riding. Proc. ACM Interact. Mob. Wearable Ubiquitous Technol. 8, 3, Article 129 (September 2024), 24 pages. https://doi.org/10.1145/3678513</t>
  </si>
  <si>
    <t xml:space="preserve">GoTrax GXL V2 or iSinwheel i9 Pro (E-Scooter),9DOF IMU TDK MPU9250,deep learning server with 4×NVIDIA RTX3090 24GB GDDR5 1×AMD Ryzen Threadripper 3960X (24-Kern, 48-Thread CPU) 128GB RAM or similar specs</t>
  </si>
  <si>
    <t xml:space="preserve">PyTorch 2.0.1,YOLOv5 object detector,Adam Optimizer</t>
  </si>
  <si>
    <t xml:space="preserve">We have designed CENRUS, a novel cross-modality e-scooter naturalistic riding understanding system for HCAI insights on the rider-to-X interactions (RXIs). We have designed a novel PFT based on hierarchical RXI graph representation learning to characterize the semantic OSSA-PSSA interactions across the RXI scenes for various DTs with awareness of behavioral, visual, and textual modalities. We have conducted extensive e-scooter NR experimental studies, and corroborated the effectiveness of CENRUS in disentangling NR understandings, and its potential of hailing for and supporting future human-centered micromobility systems.</t>
  </si>
  <si>
    <t>2024_Sep_130.pdf</t>
  </si>
  <si>
    <t xml:space="preserve">Tram Thi Minh Tran, Callum Parker, Xinyan Yu, Debargha Dey, Marieke Martens, Pavlo Bazilinskyy, and Martin Tomitsch. 2024. Evaluating Autonomous Vehicle External Communication Using a Multi-Pedestrian VR Simulator. Proc. ACM Interact. Mob. Wearable Ubiquitous Technol. 8, 3, Article 130 (September 2024), 26 pages. https://doi.org/10.1145/3678506</t>
  </si>
  <si>
    <t xml:space="preserve">Software Development;User Study;Literature Review</t>
  </si>
  <si>
    <t>https://github.com/minhtramtran/multiped-sim</t>
  </si>
  <si>
    <t xml:space="preserve">Some Scripts of the used VR-Simulator are referenced. The Simulator itself is not made public, but is planned for a later release.</t>
  </si>
  <si>
    <t xml:space="preserve">Meta Quest 2 headset,Two Touch controllers (for hand-tracking)</t>
  </si>
  <si>
    <r>
      <rPr/>
      <t xml:space="preserve">Unity,Photon Unity Networking (PUN 2) framework,AI transcription service (e.g., </t>
    </r>
    <r>
      <rPr>
        <u val="single"/>
        <color rgb="FF1155CC"/>
      </rPr>
      <t>Otter.ai</t>
    </r>
  </si>
  <si>
    <t xml:space="preserve">In response to the call for more research on eHMI scalability, our exploration of AV–pedestrian interaction in multi-pedestrian scenarios highlighted the interplay between technology, individual decisions, and the influence of co-located pedestrians. The introduction of eHMIs offers promising avenues for clearer communication, yet no single concept consistently surpassed others in multi-pedestrian scenarios, suggesting that there may not be a one-size-fits-all solution that excels universally. With the strengths and weaknesses of each communication locus and its corresponding concept outlined, we provide foundational insights for future development and considerations for their appropriate application. The presence of co-located pedestrians introduces uncertainty in AV behaviour, often prompting pedestrians to actively observe their peers as input for decision-making in ambiguous situations. However, this behaviour diminishes with clearer and more targeted AV communications. As we look towards a future with an increased AV presence in urban landscapes, it is crucial to strike a balance between technological guidance and individual autonomy. The ultimate goal remains to ensure safety while preserving human-centric interactions and supporting individual decision-making.</t>
  </si>
  <si>
    <t>2024_Sep_131.pdf</t>
  </si>
  <si>
    <t xml:space="preserve">Nicha Vanichvoranun, Hojeong Lee, Seoyeon Kim, and Sang Ho Yoon. 2024. EStatiG: Wearable Haptic Feedback with Multi-Phalanx Electrostatic Brake for Enhanced Object Perception in VR. Proc. ACM Interact. Mob. Wearable Ubiquitous Technol. 8, 3, Article 131 (September 2024), 29 pages. https://doi.org/10.1145/3678567</t>
  </si>
  <si>
    <t xml:space="preserve">Data has been recorded for different purposes. In an exploratory study, data was collected to investigate human force perception on the finger throughout 2 sessions. in the first session, data has been gathered on the accuracy of force localization across different phalanges. In the second session, the data is about perceived force patterns when blocking forces, presented at multiple phalanges.The findings from this study were used to form the electrostatic brake. In a different User Study (User Study 1, the data collected was used to compare the multi-phalanx approach with a single-phalanx method. In User Study 2,  The Authors evaluated the overall experience of participants (realism, comfort, immersion, harmony, and satisfaction) of using the device while grasping virtual objects.</t>
  </si>
  <si>
    <t xml:space="preserve">proprietary hardware is needed:EStatiG Haptic Glove consisting of components:Electrostatic Brakes,Electrodes,Linear Resonant Actuators,Force Sensor: RA18-DIY,Phalanx Lockers and Actuator Holders. other Hardware:Microcontroller (MCU): Teensy 4.0,High Voltage Reed Relays: 131-1-A-3/1D,Multiplexer: TCA9548A,Motor Driver: DA7280,Push-pull gauge: ZTA-200N</t>
  </si>
  <si>
    <t xml:space="preserve">• A novel design of multi-phalanx electrostatic brake to enrich the object perception of virtual objects; • A formation of the haptic rendering conditions and algorithm to operate multi-phalanx electrostatic brake effectively and efficiently; • Analysis of technical evaluations and user studies to explore the impact of force rendering on the object perception experiences; and • Example applications demonstrating the enhanced haptic experiences with the proposed multi-phalanx electrostatic brake.</t>
  </si>
  <si>
    <t>2024_Sep_132.pdf</t>
  </si>
  <si>
    <t xml:space="preserve">Dhruv Verma, Ian Ruffolo, David B. Lindell, Kiriakos N. Kutulakos, and Alex Mariakakis. 2024. ChromaFlash: Snapshot Hyperspectral Imaging Using Rolling Shutter Cameras. Proc. ACM Interact. Mob. Wearable Ubiquitous Technol. 8, 3, Article 132 (September 2024), 31 pages. https://doi.org/10.1145/3678582</t>
  </si>
  <si>
    <t>https://github.com/chai-toronto/chromaflash/</t>
  </si>
  <si>
    <t xml:space="preserve">The referenced Repo is empty.</t>
  </si>
  <si>
    <r>
      <rPr>
        <u val="single"/>
        <color rgb="FF434343"/>
      </rPr>
      <t>https://cave.cs.columbia.edu/repository/Multispectral</t>
    </r>
    <r>
      <rPr>
        <color indexed="64"/>
      </rPr>
      <t xml:space="preserve"> ,https://repository.kaust.edu.sa/items/12d8306d-8fd9-43e8-a569-dbc364454a36,</t>
    </r>
  </si>
  <si>
    <r>
      <rPr/>
      <t xml:space="preserve">CAVE dataset is accessible. The KAUST Dataset should have been accesible via </t>
    </r>
    <r>
      <rPr>
        <u val="single"/>
        <color rgb="FF1155CC"/>
      </rPr>
      <t>https://repository.kaust.edu.sa/items/12d8306d-8fd9-43e8-a569-dbc364454a36</t>
    </r>
    <r>
      <rPr/>
      <t xml:space="preserve">, but the page is not reacting to a download request.</t>
    </r>
  </si>
  <si>
    <t xml:space="preserve">OnePlus 9 Pro or similiar smartphone with a rolling shutter camera,self-build multispectral flash consisting of 11 narrowband LED's, Lumileds Luxeon C 4000K or similiar,Adafruit ESP32 Feather V2 or other ESP32,MOSFET Transistor Array such as Sanken Electric SLA5085,PC-Workstation for Image-reconstruction</t>
  </si>
  <si>
    <t xml:space="preserve">Access to the depicted Image-Reconstruction-Pipeline is needed (proprietary), Access to the Android-App for the acquisition of spatial-spectral coded images is needed,PyLops,CuPy,OpenCV</t>
  </si>
  <si>
    <t xml:space="preserve">• Rolling shutter-coded hyperspectral imaging: We introduce a novel imaging approach that uses arolling shutter camera and rapidly changing incident light to efficiently capture 3D hyperspectral infor-mation into 2D images with row-wise interleaving of spectral information. We explain the underlyingtheory of the image formation process and outline the steps required to reconstruct complete hyperspectralimages from these coded images.• Discovering optimal parameters of operation: Several parameters impact the accuracy of our approachto hyperspectral reconstruction. For ChromaFlash specifically, these include the frequency at which the illumination is varied, the number of LEDs illuminated together, the number of coded image frames used,and sensor noise. We conducted a series of simulated experiments using publicly available hyperspectraldatasets [34, 63] to examine how these parameters affect reconstruction performance across variousscenes. These simulations helped us quantify theoretical performance limits, trade-offs, and trends beforeimplementing ChromaFlash.• Real-world implementation and evaluation: We demonstrate the feasibility of our approach by im-plementing ChromaFlash using a smartphone camera paired with a compact multispectral LED arrayattachment. We assessed its real-world performance by capturing diverse scenes under varying ambientlighting conditions, comparing it against the state-of-the-art RGB-to-hyperspectral model MST++ [13].These tests contextualize our work within existing research and showcase its robustness and versatility inpractical scenarios.• Open-source hardware and software: To facilitate replication and further development, we provide alist of materials, hardware schematics, and source code for our multispectral flash implementation, Androidcamera application, and image processing pipeline (https://github.com/chai-toronto/chromaflash/).</t>
  </si>
  <si>
    <t>2024_Sep_133.pdf</t>
  </si>
  <si>
    <t xml:space="preserve">Qi Wang, Can Luo, Shuai Yang, Shuo Xu, Yibo Yang, Jie Jia, and Bin Yu. 2024. MRehab: A Mixed Reality Rehabilitation System Supporting Integrated Speech and Hand Training. Proc. ACM Interact. Mob. Wearable Ubiquitous Technol. 8, 3, Article 133 (September 2024), 23 pages. https://doi.org/10.1145/3678532</t>
  </si>
  <si>
    <t xml:space="preserve">MRehab, a mixed-reality based, synhronous training system developed by the Authors is not made publicly available</t>
  </si>
  <si>
    <t xml:space="preserve">Mixed Reality Headset such as HoloLens-2,physical training tools, that help simulating daily activities (Here, their development is part of the study),pressure sensors,300-degree rotary sensor module to measure Rotation angles,Arduino-board</t>
  </si>
  <si>
    <t xml:space="preserve">Unity3D-Plattform for reproducing the Mrehab software,Arduino-Software for the Board,</t>
  </si>
  <si>
    <t xml:space="preserve">This paper presents two studies with MRehab. In the first study, we conducted in-depth user interviewswith seven therapists to understand the current medical practice and patients’ needs regarding integratedspeech and hand function rehabilitation. Utilizing the insights gained, we explore our first research question(RQ1) and clarify the user requirements and design considerations for an MR system that supports integratedspeech and hand-motor rehabilitation. Subsequently, we present our design of MRehab, covering aspects such as the training paradigm, training tasks, scenarios, feedback mechanisms, and physical tools. Through thisdesign practice, we probe our second research question (RQ2). To address the third research question (RQ3),we then conducted a preliminary user test with 12 patients and 5 therapists to validate the feasibility and userexperience with the MRehab system. This study assessed patients’ performance in training tasks and evaluatedthe system’s feasibility and user experiences in the training. In summary, we make three contributions: 1) weexplored the design opportunities and requirements for leveraging MR technologies in integrated speech andhand rehabilitation; 2) we proposed the first attempt that integrates MR daily living scenarios and tangible toolsto support integrated speech and hand rehabilitation; 3) we provided empirical understanding of patients’ andtherapists’ user experience of MRehab and insights into future development.</t>
  </si>
  <si>
    <t>2024_Sep_134.pdf</t>
  </si>
  <si>
    <t xml:space="preserve">Dequan Wang, Xinran Zhang, Kai Wang, Lingyu Wang, Xiaoran Fan, and Yanyong Zhang. 2024. RDGait: A mmWave Based Gait User Recognition System for Complex Indoor Environments Using Single-chip Radar. Proc. ACM Interact. Mob. Wearable Ubiquitous Technol. 8, 3, Article 134 (September 2024), 31 pages. https://doi.org/10.1145/3678552</t>
  </si>
  <si>
    <t xml:space="preserve">RDGait is not publicly available</t>
  </si>
  <si>
    <t>https://github.com/DQ-WDQ/RDGait</t>
  </si>
  <si>
    <t xml:space="preserve">TI IWR6843BOOST single-chip radar,DCA1000- evaluation module,NVIDIA GeForce RTX 3090 GPU or similar for training the deep-learning module</t>
  </si>
  <si>
    <t xml:space="preserve">PyTorch,OpenRadar.framework, AB3DMOT for tracking human movement,</t>
  </si>
  <si>
    <t xml:space="preserve">(1) We develop a gait recognition framework named RDGait based on single-chip mmWave radar, which canaccurately recognize user gaits in complex indoor environments, even when multiple users are present andcan be conveniently deployed in different indoor environments.(2) We devise a series of techniques towards robust gait recognition, including walking constraints guided clus-tering and partitioning, torso velocity change pattern correlation-based ghost detection, and an attention-based gait recognition deep learning network. .(3) We conduct a large-scale and thorough evaluation of RDGait in the real world, with a supporting setfeaturing 2 scenarios and 125 volunteers spanning a wide age range (60 years). Our experimental resultsadequately show the effectiveness of RDGait, demonstrating a remarkable gait recognition top-1 accuracyof 96.5% among the 125 users. We have carefully studied the system performance with different systemparameters such as radar placement and elevation and our system demonstrates great robustness in allsettings. When deploying the system in new environments, we could achieve a recognition accuracyexceeding 90% using only 1 minute of registration data per person.</t>
  </si>
  <si>
    <t>2024_Sep_135.pdf</t>
  </si>
  <si>
    <t xml:space="preserve">Jianyang Wang, Dongheng Zhang, Binbin Zhang, Jinbo Chen, Yang Hu, and Yan Chen. 2024. RF-GymCare: Introducing Respiratory Prior for RF Sensing in Gym Environments. Proc. ACM Interact. Mob. Wearable Ubiquitous Technol. 8, 3, Article 135 (September 2024), 28 pages. https://doi.org/10.1145/3678568</t>
  </si>
  <si>
    <t xml:space="preserve">The RF-GymCare Code is not publicly available.</t>
  </si>
  <si>
    <t xml:space="preserve">a self-collected dataset is used throughout the study.However, it has not been made publicly available.</t>
  </si>
  <si>
    <t xml:space="preserve">mmWave sensing device AWR1843Boost,Equivital EQ02+ LifeMonitor,TI DCA1000EVM</t>
  </si>
  <si>
    <t xml:space="preserve">PyTorch 2.0,mmWave Studio,Equivital Manager,Adam Optimizer,</t>
  </si>
  <si>
    <t xml:space="preserve">• We introduce RF-GymCare, a system that provides respiratory monitoring for individuals during exercise. Thissystem expands the application scenarios of existing RF physiological sensing from homes, offices, and vehiclesto gyms, marking an important step towards achieving ubiquitous respiration sensing.• To the best of our knowledge, we are the first to introduce respiratory priors into the BSS framework andinnovatively apply the knowledge distillation to transfer these priors, enabling the extraction of the demixingweight from mixed signals, and thereby obtaining respiratory waveform.• We implement RF-GymCare on a commercial-grade mmWave radar and evaluate its performance with a13-hour dataset across nine types of gym exercises. The experimental results emphatically illustrate its superiorcapability in recovering respiratory waveform in gym exercise scenarios.</t>
  </si>
  <si>
    <t>2024_Sep_136.pdf</t>
  </si>
  <si>
    <t xml:space="preserve">Zhu Wang, Zhen Chen, Yao Zhang, Chendi Geng, Wenchao Song, Zhuo Sun, Bin Guo, Zhiwen Yu, and Liming Chen. 2024. GrainSense: A Wireless Grain Moisture Sensing System Based on Wi-Fi Signals. Proc. ACM Interact. Mob. Wearable Ubiquitous Technol. 8, 3, Article 136 (September 2024), 25 pages. https://doi.org/10.1145/3678589</t>
  </si>
  <si>
    <t xml:space="preserve">multiple (COTS) Wi-Fi devices acting as a transmitter (TX) and a receiver (RX) for transmission of radio signals, Intel 5300 NIC or similar for each computer participating in the setup, Drying Box for reducing the humidity in grain samples,High-Precision Electronic Scale to get accurate representations of the corresponding sample weight,JXBS-3001 (high-precision) and LB-301 (low-precision) for comparing the perfomance of GrainSense to commercial Grain </t>
  </si>
  <si>
    <t xml:space="preserve">Linux 802.11n CSI Tool,Matlab, low-pass filtering "Hampel"-algorithm, Savitzky-Golay filtering algorithm to smooth the CSI data,</t>
  </si>
  <si>
    <t xml:space="preserve">• First, we propose a wireless grain moisture sensing model based on the refraction phenomenon of Wi-Fisignals and the MIMO technology. To correlate the grain moisture with the feature of wireless signals, apair of transceivers with two transmitting antennas and three receiving antennas are designed, based onwhich grain moisture can be deduced by measuring the phase difference. To the best of our knowledge,this is the first model-based work that achieves accurate grain moisture detection with Wi-Fi signals.• Second, to reduce the multi-path interference in indoor environments, we propose a Wi-Fi beamformingalgorithm to enhance the refracted wireless signal that is useful to moisture detection. We further design anew signal feature, i.e., the Wi-Fi CSI beamforming ratio, to eliminate the effect of sub-carrier frequencybias and cumulative phase bias.• Finally, to verify the effectiveness of the proposed approach, we implement a prototype system namedGrainSense using commercial Wi-Fi devices. Extensive experiments are conducted in different environments,including both the laboratory and the granary. Results demonstrate that the mean absolute error of grainmoisture detection is within 5%, which significantly outperforms the baseline method. It is worth mentioningthat such performance meets the requirements of commercial use.</t>
  </si>
  <si>
    <t>2024_Sep_137.pdf</t>
  </si>
  <si>
    <t xml:space="preserve">Wentao Xie, Chi Xu, Yanbin Gong, Yu Wang, Yuxin Liu, Jin Zhang, Qian Zhang, Zeguang Zheng, and Shifang Yang. 2024. DeepBreath: Breathing Exercise Assessment with a Depth Camera. Proc. ACM Interact. Mob. Wearable Ubiquitous Technol. 8, 3, Article 137 (September 2024), 26 pages. https://doi.org/10.1145/3678519</t>
  </si>
  <si>
    <t xml:space="preserve">Microsoft Azure Kinect Camera, NVIDIA GeForce RTX 4060 Ti or similar and ntel Core i5-12400F or similar to train the models.ADInstruments Spirometer for capturing reference lung volume values to validate the system,NVIDIA Tesla V100 GPU or similar for training the deep-learning model</t>
  </si>
  <si>
    <t xml:space="preserve">PyTorch 1.12,AdamW optimizer,Segment Anything Model,ResNet-18,LiveScan3d</t>
  </si>
  <si>
    <t xml:space="preserve">We summarize the main contributions of this work as follows. First, we propose DeepBreath, the first depthcamera-based solution to practically measure breathing mode and lung volume for pulmonary disease patients,with no impractical assumptions such as consistent chest/belly breathing pattern, per-user calibration, no clothing,and no involuntary body motion. Secondly, we propose a series of techniques that overcome the limitations facedby previous works, including an MTL framework to bypass the complex breathing patterns when predictingbreathing mode, a novel UNet-based model to achieve one-model-fit-all lung volume regression, a lightweight,depth image-based human silhouette segmentation model with knowledge distilled from a state-of-the-art largemodel, a temporal-aware depth image processing algorithm to compensate for the involuntary motion artifacts.Lastly, we collaborate with a medical center to evaluate DeepBreath. The result shows that DeepBreath canaccurately estimate the two breathing metrics - breathing mode and lung volume - with low delay.</t>
  </si>
  <si>
    <t>2024_Sep_138.pdf</t>
  </si>
  <si>
    <t xml:space="preserve">Jiakun Yu, Supun Kuruppu, Biyon Fernando, Praneeth Bimsara Perera, Yuta Sugiura, Sriram Subramanian, and Anusha Withana. 2024. IrOnTex: Using Ironable 3D Printed Objects to Fabricate and Prototype Customizable Interactive Textiles. Proc. ACM Interact. Mob. Wearable Ubiquitous Technol. 8, 3, Article 138 (September 2024), 26 pages. https://doi.org/10.1145/3678543</t>
  </si>
  <si>
    <t>https://github.com/aid-lab-org/IrOnTex-DesignTool</t>
  </si>
  <si>
    <t xml:space="preserve">Design tool publicly released as a Rhino 3D (Grasshopper) plugin</t>
  </si>
  <si>
    <t xml:space="preserve">FDM 3D printer, eTPU; washing machine (Samsung).</t>
  </si>
  <si>
    <t xml:space="preserve">Rhino 3D with Grasshopper required for the design tool; COMSOL Multiphysics used for FEA; Python/OpenCV used for color analysis</t>
  </si>
  <si>
    <t xml:space="preserve">We envision the proposed approach will enable designers to rapidly prototype interactive textile applications.</t>
  </si>
  <si>
    <t>2024_Sep_139.pdf</t>
  </si>
  <si>
    <t xml:space="preserve">Kuang Yuan, Mohamed Ibrahim, Yiwen Song, Guoxiang Deng, Robert A. Nerone, Suvendra Vijayan, Akshay Gadre, and Swarun Kumar. 2024. ToMoBrush: Exploring Dental Health Sensing Using a Sonic Toothbrush. Proc. ACM Interact. Mob. Wearable Ubiquitous Technol. 8, 3, Article 139 (September 2024), 27 pages. https://doi.org/10.1145/3678505</t>
  </si>
  <si>
    <t xml:space="preserve">IRB-approved user study on 19–20 participants and dental models; no dataset link or release provided.</t>
  </si>
  <si>
    <t xml:space="preserve">Prototype uses a Philips toothbrush with a Voice Technologies waterproof microphone mounte; additional dental models used for controlled tests.</t>
  </si>
  <si>
    <t xml:space="preserve">Paper describes system pipeline and hardware setup but provides no runnable repository or step-by-step reproduction instructions.</t>
  </si>
  <si>
    <t xml:space="preserve">Interviews with dental experts further validate ToMoBrush’s potential in enhancing at-home dental healthcare.</t>
  </si>
  <si>
    <t>2024_Sep_141.pdf</t>
  </si>
  <si>
    <t xml:space="preserve">Zhan Zhang, Denghui Song, Anfu Zhou, and Huadong Ma. 2024. AirTac: A Contactless Digital Tactile Receptor for Detecting Material and Roughness via Terahertz Sensing. Proc. ACM Interact. Mob. Wearable Ubiquitous Technol. 8, 3, Article 141 (September 2024), 37 pages. https://doi.org/10.1145/3678586</t>
  </si>
  <si>
    <t xml:space="preserve">Own THz sensing dataset collected in 6 batches over three months; 21k training and 4.2k test samples; no dataset link or release stated.</t>
  </si>
  <si>
    <t xml:space="preserve">Terahertz time-domain spectroscopy instrument requiring a femtosecond laser (~$50k).</t>
  </si>
  <si>
    <t xml:space="preserve">Custom deep neural networks (M-Net, R-Net) and FFT-based preprocessing described; no proprietary software requirement.</t>
  </si>
  <si>
    <t xml:space="preserve">No runnable repository or step-by-step reproduction provided.</t>
  </si>
  <si>
    <t xml:space="preserve">airTac achieves a material identification accuracy of 97.43% and a roughness classification accuracy of 91.46%, which demonstrates that airTac can identify common materials in daily life and exceed a fingertip spatial resolution of 1mm.</t>
  </si>
  <si>
    <t>2024_Sep_142.pdf</t>
  </si>
  <si>
    <t xml:space="preserve">Wenhao Zhang, Haipeng Dai, Dongyu Xia, Yang Pan, Zeshui Li, Wei Wang, Zhen Li, Lei Wang, and Guihai Chen. 2024. MP-Gait: Fine-grained Parkinson's Disease Gait Impairment Assessment with Robust Feature Analysis. Proc. ACM Interact. Mob. Wearable Ubiquitous Technol. 8, 3, Article 142 (September 2024), 31 pages. https://doi.org/10.1145/3678577</t>
  </si>
  <si>
    <t xml:space="preserve">Gait signals collected from 144 participants with &gt;4000 gait cycles; no dataset link or release.</t>
  </si>
  <si>
    <t xml:space="preserve">COTS mmWave radar with DCA1000EVM acquisition board mounted on tripod; used to collect walking data.</t>
  </si>
  <si>
    <t xml:space="preserve">Analysis uses XGBoost and SHAP (both open-source); no proprietary software is required.</t>
  </si>
  <si>
    <t xml:space="preserve">Paper gives algorithms, hyperparameters, and equations, but no runnable repo or step-by-step reproduction.</t>
  </si>
  <si>
    <t xml:space="preserve">mP-Gait achieved mean absolute errors of 7.63cm and 0.096s for stride length and step duration calculation respectively, and achieved MAE=0.379 in predicting UPDRS-III gait scores.</t>
  </si>
  <si>
    <t>2024_Sep_143.pdf</t>
  </si>
  <si>
    <t xml:space="preserve">Panyu Zhang, Gyuwon Jung, Jumabek Alikhanov, Uzair Ahmed, and Uichin Lee. 2024. A Reproducible Stress Prediction Pipeline with Mobile Sensor Data. Proc. ACM Interact. Mob. Wearable Ubiquitous Technol. 8, 3, Article 143 (September 2024), 35 pages. https://doi.org/10.1145/3678578</t>
  </si>
  <si>
    <r>
      <rPr>
        <u val="single"/>
        <color rgb="FF434343"/>
      </rPr>
      <t>https://anonymous.4open.science/r/IndependentReproducibility_MTL-D1BC/</t>
    </r>
    <r>
      <rPr>
        <color indexed="64"/>
      </rPr>
      <t>;</t>
    </r>
    <r>
      <rPr>
        <u val="single"/>
        <color rgb="FF1155CC"/>
      </rPr>
      <t>https://anonymous.4open.science/r/IndependentReproducibility-E7BF/</t>
    </r>
    <r>
      <rPr/>
      <t>;</t>
    </r>
    <r>
      <rPr>
        <u val="single"/>
        <color rgb="FF1155CC"/>
      </rPr>
      <t>https://anonymous.4open.science/r/DeepStressReproducibility-D08F/</t>
    </r>
  </si>
  <si>
    <t xml:space="preserve">Authors provide anonymized repositories for personalization experiments and additional experiments on K-EmoPhone and DeepStress.</t>
  </si>
  <si>
    <r>
      <rPr>
        <u val="single"/>
        <color rgb="FF434343"/>
      </rPr>
      <t>https://zenodo.org/records/7606611</t>
    </r>
    <r>
      <rPr>
        <color indexed="64"/>
      </rPr>
      <t>;</t>
    </r>
    <r>
      <rPr>
        <u val="single"/>
        <color rgb="FF1155CC"/>
      </rPr>
      <t>https://bit.ly/3whIEb2</t>
    </r>
  </si>
  <si>
    <t xml:space="preserve">Uses K-EmoPhone (public, Zenodo) and DeepStress (public, GitHub) datasets.</t>
  </si>
  <si>
    <t xml:space="preserve">No proprietary software required; standard ML tooling implied.</t>
  </si>
  <si>
    <t xml:space="preserve">Paper describes the common pipeline, baselines, and hyperparameters and links code, but does not provide full step-by-step reproduction guide.</t>
  </si>
  <si>
    <t xml:space="preserve">We identified overfitting and distribution shifts across users as the major reasons for performance limitations. We used K-EmoPhone, a public dataset, for experimentation and a new public dataset—DeepStress—to validate the findings. Furthermore, our results suggest that researchers should carefully consider temporal order in cross-validation settings. Additionally, self-report labels for target users are key to enhancing performance in user-independent scenarios.</t>
  </si>
  <si>
    <t>2024_Sep_144.pdf</t>
  </si>
  <si>
    <t xml:space="preserve">Langcheng Zhao, Rui Lyu, Hang Lei, Qi Lin, Anfu Zhou, Huadong Ma, Jingjia Wang, Xiangbin Meng, Chunli Shao, Yida Tang, Guoxuan Chi, and Zheng Yang. 2024. AirECG: Contactless Electrocardiogram for Cardiac Disease Monitoring via mmWave Sensing and Cross-domain Diffusion Model. Proc. ACM Interact. Mob. Wearable Ubiquitous Technol. 8, 3, Article 144 (September 2024), 27 pages. https://doi.org/10.1145/3678550</t>
  </si>
  <si>
    <t>https://github.com/LangchengZhao/AirECG</t>
  </si>
  <si>
    <t xml:space="preserve">Paper states they will update source code and sample data at the GitHub repository.</t>
  </si>
  <si>
    <t xml:space="preserve">Paper mentions sample data will be provided on GitHub; full participant dataset not released.</t>
  </si>
  <si>
    <t xml:space="preserve">Texas Instruments IWR1443BOOST mmWave radar; CarePulse ECG patch for ground truth; training run on a server with 2× NVIDIA RTX3080 GPUs.</t>
  </si>
  <si>
    <t xml:space="preserve">ECG Pro (CarePulse) used for ground-truth ECG labeling; Python with NumPy/SciPy and PyTorch used for modeling.</t>
  </si>
  <si>
    <t xml:space="preserve">Paper provides a GitHub link and states code/sample data will be updated, step-by-step reproduction instructions are included.</t>
  </si>
  <si>
    <t xml:space="preserve">Empirical evaluation demonstrates AirECG’s ability of ECG synthesis with Pearson correlation coefficient (PCC) of 0.955 for normal beats. Especially for abnormal beats, the PCC still exhibits a strong correlation of 0.860, with 15.0%∼21.1% improvement compared with state-of-the-art approaches.</t>
  </si>
  <si>
    <t>2024_Sep_145.pdf</t>
  </si>
  <si>
    <t xml:space="preserve">Kaixing Zhao, Rui Lai, Bin Guo, Le Liu, Liang He, and Yuhang Zhao. 2024. AI-Vision: A Three-Layer Accessible Image Exploration System for People with Visual Impairments in China. Proc. ACM Interact. Mob. Wearable Ubiquitous Technol. 8, 3, Article 145 (September 2024), 27 pages. https://doi.org/10.1145/3678537</t>
  </si>
  <si>
    <t xml:space="preserve">No repository or code link is provided in the paper.</t>
  </si>
  <si>
    <t xml:space="preserve">Android smartphone used by participants; remote cloud server used for processing (Intel Xeon Platinum 8358P CPU, RTX 3090 24 GB GPU, 80 GB memory).</t>
  </si>
  <si>
    <t xml:space="preserve">Microsoft Azure Image Analysis 4.0 API for captions; system integrates SAM and DenseCap; Android app with audio and vibrotactile feedback.</t>
  </si>
  <si>
    <t xml:space="preserve">System architecture and interactions are described, but no runnable repository or step-by-step setup instructions are provided.</t>
  </si>
  <si>
    <t xml:space="preserve">Our 7-day diary study with 10 PVI verified the usability of AI-Vision and also revealed a series of design implications for improving accessible image exploration systems similar to AI-Vision.</t>
  </si>
  <si>
    <t>2024_Sep_146.pdf</t>
  </si>
  <si>
    <t xml:space="preserve">Xiaopeng Zhao, Shen Wang, Zhenlin An, and Lei Yang. 2024. Crowdsourced Geospatial Intelligence: Constructing 3D Urban Maps with Satellitic Radiance Fields. Proc. ACM Interact. Mob. Wearable Ubiquitous Technol. 8, 3, Article 146 (September 2024), 24 pages. https://doi.org/10.1145/3678572</t>
  </si>
  <si>
    <t>https://sensemycity.pt/</t>
  </si>
  <si>
    <t xml:space="preserve">Uses public SenseMyCity GPS data; authors also collected 617,286 smartphone records but do not release them.</t>
  </si>
  <si>
    <t xml:space="preserve">Crowdsourced from Android smartphones with GNSS; training reported on a single NVIDIA GTX 4090 GPU.</t>
  </si>
  <si>
    <t xml:space="preserve">Android GNSS APIs for logging; PyTorch and related ML libraries used for training; City3D toolbox and Google Earth used for visualization (all publicly available).</t>
  </si>
  <si>
    <t xml:space="preserve">Methodology and hyperparameters described, but no runnable repo or step-by-step reproduction instructions are provided.</t>
  </si>
  <si>
    <t xml:space="preserve">Our thorough experimental evaluation, which incorporates approximately 27.4 million GPS records, reveals an average reconstruction accuracy of 83.1% in six varied urban scenes.</t>
  </si>
  <si>
    <t>2024_Sep_147.pdf</t>
  </si>
  <si>
    <t xml:space="preserve">Juntao Zhou, Yijie Li, Yida Wang, Dian Ding, Yu Lu, Yi-Chao Chen, and Guangtao Xue. 2024. Visar: Projecting Virtual Sound Spots for Acoustic Augmented Reality Using Air Nonlinearity. Proc. ACM Interact. Mob. Wearable Ubiquitous Technol. 8, 3, Article 147 (September 2024), 30 pages. https://doi.org/10.1145/3678546</t>
  </si>
  <si>
    <t xml:space="preserve">No dataset release or link.</t>
  </si>
  <si>
    <t xml:space="preserve">Two ultrasonic phased arrays; class D amplifiers (OPA541); 8-channel sound card; microphones incl. ADMP401 and a binaural dummy-head mic (Binal 2).</t>
  </si>
  <si>
    <t xml:space="preserve">Paper details system design, modulation/beam optimization, and evaluation but provides no runnable repo or step-by-step reproduction.</t>
  </si>
  <si>
    <t xml:space="preserve">Extensive experiments show the tracking error is 7.83cm and the orientation estimation error is 10.06°, respectively, envisioning the considerable potential of Visar in AAR applications.</t>
  </si>
  <si>
    <t>2024_Sep_148.pdf</t>
  </si>
  <si>
    <t xml:space="preserve">Hongyu Zhou, Treshan Ayesh, Chenyu Fan, Zhanna Sarsenbayeva, and Anusha Withana. 2024. CoplayingVR: Understanding User Experience in Shared Control in Virtual Reality. Proc. ACM Interact. Mob. Wearable Ubiquitous Technol. 8, 3, Article 148 (September 2024), 25 pages. https://doi.org/10.1145/3678508</t>
  </si>
  <si>
    <t xml:space="preserve">No code repository or link mentioned.</t>
  </si>
  <si>
    <t xml:space="preserve">Two Oculus Quest 2 HMDs with controllers; two PCs connected via USB on same network; GoPro cameras used for recording.</t>
  </si>
  <si>
    <t xml:space="preserve">Unity 2021; Photon Unity Networking with Photon Cloud.</t>
  </si>
  <si>
    <t xml:space="preserve">Paper details system design and study tasks but provides no runnable repo or step-by-step reproduction.</t>
  </si>
  <si>
    <t xml:space="preserve">Our findings demonstrate that the shared control mode improved certain factors of the user experience in VR games, such as the “Challenge”, “Sensory and Imaginative Immersion”, and “Positive Affect” and decreased “Negative Affect”. Furthermore, our results show that the shared control significantly enhanced the performance of novice user when played in tandem with experienced users.</t>
  </si>
  <si>
    <t>2024_Jun_042.pdf</t>
  </si>
  <si>
    <t xml:space="preserve">Dayoung Jeong and Kyungsik Han. 2024. PRECYSE: Predicting Cybersickness using Transformer for Multimodal Time-Series Sensor Data. Proc. ACM Interact. Mob. Wearable Ubiquitous Technol. 8, 2, Article 42 (June 2024), 24 pages. https://doi.org/10.1145/3659594</t>
  </si>
  <si>
    <t>https://github.com/dayoung-jeong/PRECYSE.git</t>
  </si>
  <si>
    <t xml:space="preserve">"The repository is temporarily under maintenance. We appreciate your patience."</t>
  </si>
  <si>
    <t xml:space="preserve">HTC VIVE Pro Eye HMD;Empatica E4 wristband</t>
  </si>
  <si>
    <t xml:space="preserve">repo with graphs of algorithms but no instructions on how to run the code</t>
  </si>
  <si>
    <t xml:space="preserve">We constructed the MSCVR dataset consisting of normalized sensor data, spectrogram formatted sensor data, and cybersickness levels collected from 45 participants through a user study. We proposed two methods for embedding multimodal time-series sensor data into the transformer: modality-specific spatial and temporal transformer encoders for normalized sensor data (MS-STTN) and modality-specific spatial-temporal transformer encoder for spectrogram (MS-STTS). MS-STTN yielded the highest performance in the ablation study and the comparison of the existing models.</t>
  </si>
  <si>
    <t>2024_Jun_043.pdf</t>
  </si>
  <si>
    <t xml:space="preserve">Feiyu Han, Panlong Yang, Yuanhao Feng, Weiwei Jiang, Youwei Zhang, and Xiang-Yang Li. 2024. EarSleep: In-ear Acoustic-based Physical and Physiological Activity Recognition for Sleep Stage Detection. Proc. ACM Interact. Mob. Wearable Ubiquitous Technol. 8, 2, Article 43 (June 2024), 31 pages. https://doi.org/10.1145/3659595</t>
  </si>
  <si>
    <t xml:space="preserve">sleep earbuds(prototype)</t>
  </si>
  <si>
    <t>MATLAB-R2021B</t>
  </si>
  <si>
    <t xml:space="preserve">The experimental results show that our system can accurately detect a rich set of sleep activities. Furthermore, in terms of sleep stage detection, EarSleep outperforms state-of-the-art solutions by 7.12% and 9.32% in average precision and average recall, respectively.</t>
  </si>
  <si>
    <t>2024_Jun_044.pdf</t>
  </si>
  <si>
    <t xml:space="preserve">Christopher Kraemer, William Gelder, and Josiah Hester. 2024. User-directed Assembly Code Transformations Enabling Efficient Batteryless Arduino Applications. Proc. ACM Interact. Mob. Wearable Ubiquitous Technol. 8, 2, Article 44 (June 2024), 32 pages. https://doi.org/10.1145/3659590</t>
  </si>
  <si>
    <t xml:space="preserve">"We will release all code artifacts as open source via GitHub." -&gt; no link</t>
  </si>
  <si>
    <t xml:space="preserve">Adafruit Feather M0 Express connected to an Adafruit SPI FRAM breakout board</t>
  </si>
  <si>
    <t xml:space="preserve">Arduino IDE(v2.1.1)</t>
  </si>
  <si>
    <t xml:space="preserve">We design and develop a tool, BOOTHAMMER, that enables a suite of analysis and transformation for low-level code from the Arduino IDE maker platform, these tools allow for checkpoint / restore mechanisms with very minimal changes to user code and with minimal memory impact and runtime overhead comparable to contemporaries in the field.</t>
  </si>
  <si>
    <t>2024_Jun_045.pdf</t>
  </si>
  <si>
    <t xml:space="preserve">Irmandy Wicaksono, Aditi Maheshwari, Don Derek Haddad, Joseph Paradiso, and Andreea Danielescu. 2024. Design and Fabrication of Multifunctional E-Textiles by Upcycling Waste Cotton Fabrics through Carbonization. Proc. ACM Interact. Mob. Wearable Ubiquitous Technol. 8, 2, Article 45 (June 2024), 31 pages. https://doi.org/10.1145/3659588</t>
  </si>
  <si>
    <t xml:space="preserve">waste cotton fabric, ...</t>
  </si>
  <si>
    <t xml:space="preserve">We identify optimal parameters for the carbonization process and develop encapsulation techniques to improve the response, durability, and washability of the carbonized textiles. We then configure these e-textiles into various ‘design primitives’ including sensors, interconnects, and heating elements, and evaluate their electromechanical properties against commercially available e-textiles. Using these primitives, we demonstrate several applications, including a haptic-transfer fabric, a joint-sensing wearable, and an intelligent sailcloth. Finally, we highlight how the sensors can be composted, re-carbonized and coated onto other fabrics, or repurposed into different sensors towards their end-of-life to promote a circular manufacturing process.</t>
  </si>
  <si>
    <t>2024_Jun_046.pdf</t>
  </si>
  <si>
    <t xml:space="preserve">Lakmal Meegahapola, Hamza Hassoune, and Daniel Gatica-Perez. 2024. M3BAT: Unsupervised Domain Adaptation for Multimodal Mobile Sensing with Multi-Branch Adversarial Training. Proc. ACM Interact. Mob. Wearable Ubiquitous Technol. 8, 2, Article 46 (June 2024), 30 pages. https://doi.org/10.1145/3659591</t>
  </si>
  <si>
    <t xml:space="preserve">WENET and WEEE datasets used are cited</t>
  </si>
  <si>
    <t xml:space="preserve">Through extensive experiments conducted on two multimodal mobile sensing datasets, three inference tasks, and 14 source-target domain pairs, including both regression and classification, we demonstrate that our approach performs effectively on unseen domains. Compared to directly deploying a model trained in the source domain to the target domain, the model shows performance increases up to 12% AUC (area under the receiver operating characteristics curves) on classification tasks, and up to 0.13 MAE (mean absolute error) on regression tasks.</t>
  </si>
  <si>
    <t>2024_Jun_047.pdf</t>
  </si>
  <si>
    <t xml:space="preserve">Taewoo Jo, Dohyeon Yeo, Gwangbin Kim, Seokhyun Hwang, and SeungJun Kim. 2024. WatchCap: Improving Scanning Efficiency in People with Low Vision through Compensatory Head Movement Stimulation. Proc. ACM Interact. Mob. Wearable Ubiquitous Technol. 8, 2, Article 47 (June 2024), 32 pages. https://doi.org/10.1145/3659592</t>
  </si>
  <si>
    <t xml:space="preserve">This study highlights the promise of facilitating head movements to aid those with LVs in visual recognition tasks. Critically, since WatchCap functions independently of predefined or task-specific cues, it has a wide scope of applicability, even in ambient task situations. This independence positions WatchCap to complement existing tools aimed at detailed visual information acquisition, allowing integration with existing tools and facilitating a comprehensive approach to assisting individuals with LV.</t>
  </si>
  <si>
    <t>2024_Jun_048.pdf</t>
  </si>
  <si>
    <t xml:space="preserve">Yexu Zhou, Haibin Zhao, Yiran Huang, Tobias Röddiger, Murat Kurnaz, Till Riedel, and Michael Beigl. 2024. AutoAugHAR: Automated Data Augmentation for Sensor-based Human Activity Recognition. Proc. ACM Interact. Mob. Wearable Ubiquitous Technol. 8, 2, Article 48 (June 2024), 27 pages. https://doi.org/10.1145/3659589</t>
  </si>
  <si>
    <t>https://github.com/JoeZYX/AutoAugHAR</t>
  </si>
  <si>
    <t xml:space="preserve">"We are writing documentation for the code as well as new interfaces. We will open the code as soon as possible"</t>
  </si>
  <si>
    <t xml:space="preserve">public datasets are used</t>
  </si>
  <si>
    <t xml:space="preserve">This study presents AutoAugHAR, an innovative two-stage gradient-based data augmentation optimization framework. AutoAugHAR is designed to take into account the unique attributes of candidate augmentation operations and the unique nature and challenges of HAR tasks. Notably, it optimizes the augmentation pipeline during HAR model training without substantially extending the training duration. In evaluations on eight inertial-measurement-units-based benchmark datasets using five HAR models, AutoAugHAR has demonstrated superior robustness and effectiveness compared to other leading data augmentation frameworks. A salient feature of AutoAugHAR is its model-agnostic design, allowing for its seamless integration with any HAR model without the need for structural modifications. Furthermore, we also demonstrate the generalizability and flexible extensibility of AutoAugHAR on four datasets from other adjacent domains.</t>
  </si>
  <si>
    <t>2024_Jun_049.pdf</t>
  </si>
  <si>
    <t xml:space="preserve">Bhawana Chhaglani, Camellia Zakaria, Richard Peltier, Jeremy Gummeson, and Prashant Shenoy. 2024. AeroSense: Sensing Aerosol Emissions from Indoor Human Activities. Proc. ACM Interact. Mob. Wearable Ubiquitous Technol. 8, 2, Article 49 (June 2024), 30 pages. https://doi.org/10.1145/3659593</t>
  </si>
  <si>
    <t>https://github.com/umassos/AeroSense</t>
  </si>
  <si>
    <t xml:space="preserve">maybe some data missing, no documentation</t>
  </si>
  <si>
    <t xml:space="preserve">wo ReSpeaker Microphone Array v2.0, Raspberry Pi 3B+</t>
  </si>
  <si>
    <t xml:space="preserve">repo without instructions</t>
  </si>
  <si>
    <t xml:space="preserve">We employ a combination of binary classifiers using the Random Forest algorithm to detect simultaneous occurrences of activities with an average recall of 85%. It determines the level of all detected activities by estimating the distance between the microphone and the activity source. This level estimation technique yields an average of 7.74% error. Additionally, we developed a lightweight mask detection classifier to detect mask-wearing, which yields a recall score of 75%. These intermediary outputs are critical predictors needed for AeroSense to estimate the amounts of aerosol generated from an active human source. Our model to predict aerosol is a Random Forest regression model, which yields 2.34 MSE and 0.73 𝑟 2 value.</t>
  </si>
  <si>
    <t>2024_Jun_050.pdf</t>
  </si>
  <si>
    <t xml:space="preserve">Zhiqing Hong, Haotian Wang, Yi Ding, Guang Wang, Tian He, and Desheng Zhang. 2024. SmallMap: Low-cost Community Road Map Sensing with Uncertain Delivery Behavior. Proc. ACM Interact. Mob. Wearable Ubiquitous Technol. 8, 2, Article 50 (June 2024), 26 pages. https://doi.org/10.1145/3659596</t>
  </si>
  <si>
    <t xml:space="preserve">To evaluate the effectiveness of SmallMap, we utilize a two-month dataset from one of the largest logistics companies in China. The extensive evaluation results demonstrate that our framework significantly outperforms state-of-the-art baselines, achieving a precision of 90.5%, a recall of 87.5%, and an F1-score of 88.9%, respectively. Moreover, we conduct three case studies in Beijing City for courier workload estimation, Estimated Time of Arrival (ETA) in last-mile delivery, and fine-grained order assignment.</t>
  </si>
  <si>
    <t>2024_Jun_051.pdf</t>
  </si>
  <si>
    <t xml:space="preserve">Jarrett G.W. Lee, Bongshin Lee, Soyoung Choi, JooYoung Seo, and Eun Kyoung Choe. 2024. Identify, Adapt, Persist: The Journey of Blind Individuals with Personal Health Technologies. Proc. ACM Interact. Mob. Wearable Ubiquitous Technol. 8, 2, Article 51 (June 2024), 21 pages. https://doi.org/10.1145/3659585</t>
  </si>
  <si>
    <t>2024_Jun_052.pdf</t>
  </si>
  <si>
    <t xml:space="preserve">Yongjian Fu, Yongzhao Zhang, Hao Pan, Yu Lu, Xinyi Li, Lili Chen, Ju Ren, Xiong Li, Xiaosong Zhang, and Yaoxue Zhang. 2024. Pushing the Limits of Acoustic Spatial Perception via Incident Angle Encoding. Proc. ACM Interact. Mob. Wearable Ubiquitous Technol. 8, 2, Article 52 (June 2024), 28 pages. https://doi.org/10.1145/3659583</t>
  </si>
  <si>
    <t xml:space="preserve">microphone array, an 3D-printed AMS, sound sources, and a Bela development board</t>
  </si>
  <si>
    <t xml:space="preserve">We implement MetaAng on a COTS Bela platform and evaluate its performance in a variety of scenarios. Specifically, for inaudible sounds, the frequency diversity introduced by AMS enables a mean angle estimation error of 1.91 degrees even with only two microphones, and an error of 4.85 degrees when estimating 5 incident signals simultaneously. Compared with the baseline super-resolution angle estimation algorithm, the system can reduce the estimation error from 53.9% to 64.5%. Moreover, the system can maintain stable angle estimation performance for microphone arrays of different geometric types. Finally, we also evaluate the performance of our system in localization and tracking.</t>
  </si>
  <si>
    <t>2024_Jun_053.pdf</t>
  </si>
  <si>
    <t xml:space="preserve">Chentao Li, Jinyang Yu, Ke He, Jianjiang Feng, and Jie Zhou. 2024. SwivelTouch: Boosting Touchscreen Input with 3D Finger Rotation Gesture. Proc. ACM Interact. Mob. Wearable Ubiquitous Technol. 8, 2, Article 53 (June 2024), 30 pages. https://doi.org/10.1145/3659584</t>
  </si>
  <si>
    <t xml:space="preserve">scikit learn</t>
  </si>
  <si>
    <t xml:space="preserve">SwivelTouch leverages the analysis of finger movement characteristics on the touchscreen captured through original capacitive image sequences, which aims to rapidly and accurately identify these advanced 3D gestures, clearly differentiating them from conventional touch interactions like tapping and sliding, thus enhancing user interaction with touch devices and meanwhile compatible with existing 2D gestures. User study further confirms that the implementation of SwivelTouch significantly enhances the efficiency of text editing on smartphones.</t>
  </si>
  <si>
    <t>2024_Jun_054.pdf</t>
  </si>
  <si>
    <t xml:space="preserve">Haokun Wang, Yatharth Singhal, and Jin Ryong Kim. 2024. Let It Snow: Designing Snowfall Experience in VR. Proc. ACM Interact. Mob. Wearable Ubiquitous Technol. 8, 2, Article 54 (June 2024), 24 pages. https://doi.org/10.1145/3659587</t>
  </si>
  <si>
    <t xml:space="preserve">prototype interface</t>
  </si>
  <si>
    <t xml:space="preserve">Our approach considers humans' ability to identify tactile and cold stimuli without masking each other when projected onto the same location on their skin, making illusions of snowflakes and raindrops. We design both visual and haptic renderings to be tightly coupled to present snow melting and rain droplets for realistic visuo-tactile experiences. For multiple snowflakes and raindrops rendering, we propose an aggregated haptic scheme to simulate heavy snowfall and rainfall environments with many visual particles. The results show that the aggregated haptic rendering scheme demonstrates a more realistic experience than other schemes. We also confirm that our approach of providing cold-tactile cues enhances the user experiences in both conditions compared to other modality conditions.</t>
  </si>
  <si>
    <t>2024_Jun_055.pdf</t>
  </si>
  <si>
    <t xml:space="preserve">Prasoon Patidar, Tricia J. Ngoon, John Zimmerman, Amy Ogan, and Yuvraj Agarwal. 2024. ClassID: Enabling Student Behavior Attribution from Ambient Classroom Sensing Systems. Proc. ACM Interact. Mob. Wearable Ubiquitous Technol. 8, 2, Article 55 (June 2024), 28 pages. https://doi.org/10.1145/3659586</t>
  </si>
  <si>
    <t>https://github.com/edusense/ClassID</t>
  </si>
  <si>
    <t xml:space="preserve">"Additional Instructions for running individual module coming soon."</t>
  </si>
  <si>
    <t xml:space="preserve">4k camera, 5 fps</t>
  </si>
  <si>
    <t xml:space="preserve">instructions on setting up environment using conda, note that further instructions to run modules will follow</t>
  </si>
  <si>
    <t xml:space="preserve">We propose ClassID, a data attribution method for within a class session and across multiple sessions of a course without these constraints. For within-session, our approach assigns unique identifiers to 98% of students with 95% accuracy. It significantly reduces multiple ID assignments compared to the baseline approach (3 vs. 167) based on our testing on data from 15 classroom sessions. For across-session attributions, our approach, combined with student attendance, shows higher precision than the state-of-the-art approach (85% vs. 44%) on three courses. Finally, we present a set of four use cases to demonstrate how individual behavior attribution can enable a rich set of learning analytics, which is not possible with aggregate data alone.</t>
  </si>
  <si>
    <t>2024_Jun_056.pdf</t>
  </si>
  <si>
    <t xml:space="preserve">Zachary Englhardt, Chengqian Ma, Margaret E. Morris, Chun-Cheng Chang, Xuhai "Orson" Xu, Lianhui Qin, Daniel McDuff, Xin Liu, Shwetak Patel, and Vikram Iyer. 2024. From Classification to Clinical Insights: Towards Analyzing and Reasoning About Mobile and Behavioral Health Data With Large Language Models. Proc. ACM Interact. Mob. Wearable Ubiquitous Technol. 8, 2, Article 56 (June 2024), 25 pages. https://doi.org/10.1145/3659604</t>
  </si>
  <si>
    <t>https://github.com/ubicomplab/classification-to-clinical</t>
  </si>
  <si>
    <t xml:space="preserve">public GLOBEM dataset used and linked in github repo</t>
  </si>
  <si>
    <t>gpt-4</t>
  </si>
  <si>
    <t xml:space="preserve">instructions to set up dataset, configure shellsscript and run it to generate prompts</t>
  </si>
  <si>
    <t xml:space="preserve">We develop chain-of-thought prompting methods to generate LLM reasoning on how data pertaining to activity, sleep and social interaction relate to conditions such as depression and anxiety. We then prompt the LLM to perform binary classification, achieving accuracies of 61.1%, exceeding the state of the art. We find models like GPT-4 correctly reference numerical data 75% of the time.</t>
  </si>
  <si>
    <t>2024_Jun_057.pdf</t>
  </si>
  <si>
    <t xml:space="preserve">Lei Wang, Xingwei Wang, Yu Zhang, Xiaolei Ma, Haipeng Dai, Yong Zhang, Zhijun Li, and Tao Gu. 2024. Accurate Blood Pressure Measurement Using Smartphone's Built-in Accelerometer. Proc. ACM Interact. Mob. Wearable Ubiquitous Technol. 8, 2, Article 57 (June 2024), 28 pages. https://doi.org/10.1145/3659599</t>
  </si>
  <si>
    <t xml:space="preserve">Smartphone with Built-in Accelerometer e.g. Xiaomi 13, Samsung Galaxy S5 or S10,Omron J751 Blood Pressure Monitor to obtain Ground truth data,High-Performance GPU e.g. NVIDIA A100 GPU or similar for training the deep learning model, Blood-Pressure devices for cross-platform validation of the developed system e.g. Samsung Watch5 or WT901 WIFI</t>
  </si>
  <si>
    <t xml:space="preserve">AdamW Optimizer,Huber loss function,Power Evaluation Tool: PowerTutor, various signal processing algorithms e.g. ICEEMDAN,Recursive Least Squares,Soft-thresholding,Min-Max Method,Spline Interpolation</t>
  </si>
  <si>
    <t xml:space="preserve">• To the best of our knowledge, we are the first to create a highly accurate BP measurement system solelyrelying on the built-in accelerometer of a mobile phone. Our system is superior to previous mobile phone-basedBP methods, providing advancements such as high SNR, ease of use, and energy efficiency. We’ve established apromising scenario for daily BP monitoring that requires only pressing a mobile phone against the chest anytimeand anywhere. The system swiftly measures BP, stores the data in the user’s health profile, and aids in the earlydetection and screening of cardiovascular diseases.• We propose a triple-stage noise reduction scheme, consisting of ICEEMDAN, RLS adaptive filter, and soft-thresholding, to effectively reconstruct high-quality heartbeat waveforms from contaminated raw SCG signals.Moreover, we introduce a data augmentation technique, encompassing normalization coupled with temporal-sliding, effectively augmenting the diversity of the training sample set. To enable battery efficiency on smartphone,we propose a resource-efficient deep learning model that incorporates resource-efficient convolution, shortcutconnections, and Huber loss.• We successfully implement our system on Android smartphones and conduct extensive experiments with 70volunteers––35 healthy individuals and 35 individuals diagnosed with hypertension––in a user-independent setting.The results reveal that the mean error (ME) and standard deviation (SD) for diastolic blood pressure (DBP) are0.93 mmHg and 5.27 mmHg, respectively. For systolic blood pressure (SBP), the ME and SD are 1.81 mmHgand 5.91 mmHg, respectively. The results demonstrate that our system is capable of robust and accurate daily BPmeasurement.</t>
  </si>
  <si>
    <t>2024_Jun_058.pdf</t>
  </si>
  <si>
    <t xml:space="preserve">Weiying Hou and Chenshu Wu. 2024. RFBoost: Understanding and Boosting Deep WiFi Sensing via Physical Data Augmentation. Proc. ACM Interact. Mob. Wearable Ubiquitous Technol. 8, 2, Article 58 (June 2024), 26 pages. https://doi.org/10.1145/3659620</t>
  </si>
  <si>
    <t>https://github.com/aiot-lab/RFBoost?tab=readme-ov-file</t>
  </si>
  <si>
    <t xml:space="preserve">The Repo is well described and contains both the Data and the developed Code of RFBoost</t>
  </si>
  <si>
    <t xml:space="preserve">The required Widar3 dataset is referenced inside the Repo, leading to another Website.The Access is protected by a password, that can be found in the Repo. However, the paper does not specify whether the data is included within the repository. </t>
  </si>
  <si>
    <t xml:space="preserve">NVIDIA A100 and RTX4090 or similar for training and evaluating the models.</t>
  </si>
  <si>
    <t xml:space="preserve">PyTorch, Custom Data Loader for handling raw channel state information,</t>
  </si>
  <si>
    <t xml:space="preserve">The Readme Specifizes how to setup Prerequisites, and how to run the code. The Structure of the directories is also explained</t>
  </si>
  <si>
    <r>
      <rPr/>
      <t xml:space="preserve">• We introduce the problem of radio data augmentation to the community as a data-space solution to the datascarcity of DWS. We present an in-depth understanding of DWS by exploring wireless data representationsand design RFBoost, a simple and effective RDA framework that incorporates a plug-and-play RDA moduleto boost the training of DWS models.• We propose a set of physical data augmentation techniques by leveraging the inherent data diversity ofWiFi signals, which boost training data substantially and effectively in an interpretable way.• We implement RFBoost as an open library and evaluate it on multiple datasets and models. Resultsshow that RFBoost augments the training significantly and achieves consistent performance gains acrossdifferent datasets and models. RFBoost’s code is released at </t>
    </r>
    <r>
      <rPr>
        <u val="single"/>
        <color rgb="FF1155CC"/>
      </rPr>
      <t>https://github.com/aiot-lab/RFBoost.</t>
    </r>
  </si>
  <si>
    <t>2024_Jun_059.pdf</t>
  </si>
  <si>
    <t xml:space="preserve">Meagan B. Loerakker, Jasmin Niess, and Paweł W. Woźniak. 2024. Technology which Makes You Think: The Reflection, Rumination and Thought in Technology Scale. Proc. ACM Interact. Mob. Wearable Ubiquitous Technol. 8, 2, Article 59 (June 2024), 24 pages. https://doi.org/10.1145/3659615</t>
  </si>
  <si>
    <t xml:space="preserve">To this end, this paper contributes the development and validation of the Reflection, Rumination and Thoughtin Technology (R2T2) scale, a scale that evaluates to what extent a technical artefact fosters reflection, ruminationand self-focused thinking. This paper is structured as follows. First, we explore previous work on the theoriesof reflection, rumination and other self-focused attention, which form the theoretical underpinnings of R2T2.We then report on the development and validation of the scale. Finally, we discuss the implications of our scaledesign and possible applications for R2T2.</t>
  </si>
  <si>
    <t>2024_Jun_060.pdf</t>
  </si>
  <si>
    <t xml:space="preserve">Pin-Sung Ku, Shuwen Jiang, Wei-Hsin Wang, and Hsin-Liu Cindy Kao. 2024. ECSkin: Tessellating Electrochromic Films for Reconfigurable On-skin Displays. Proc. ACM Interact. Mob. Wearable Ubiquitous Technol. 8, 2, Article 60 (June 2024), 26 pages. https://doi.org/10.1145/3659613</t>
  </si>
  <si>
    <t xml:space="preserve">The ECSkin Design Tool, that was developed during this Work, is required.</t>
  </si>
  <si>
    <t xml:space="preserve">proprietary ECSKin toolkit is required. It consists of: EC Ink,PEDOT:PSS conductive ink,Counter Electrode (CE) Ink,Electrolyte Gel Layer,Microcontroller  Teensy 3.2,DS2413 addressable switches. For evaluation Spectrophotometer and a digital multimeter are needed.</t>
  </si>
  <si>
    <t xml:space="preserve">React UI library,P5 JavaScript library,Arduino IDE</t>
  </si>
  <si>
    <t xml:space="preserve">We summarize the contributions of this paper as follows:• ECSkin, a modular construction toolkit for reconfigurable and scalable electrochromic displays.• User evaluations of ECSkin as extensible and customizable on-skin displays.• The exploration of on-skin display design space and the software design tool that supports users in on-skindisplay customization.</t>
  </si>
  <si>
    <t>2024_Jun_061.pdf</t>
  </si>
  <si>
    <t xml:space="preserve">Nikola Kovačević, Christian Holz, Markus Gross, and Rafael Wampfler. 2024. The Personality Dimensions GPT-3 Expresses During Human-Chatbot Interactions. Proc. ACM Interact. Mob. Wearable Ubiquitous Technol. 8, 2, Article 61 (June 2024), 36 pages. https://doi.org/10.1145/3659626</t>
  </si>
  <si>
    <t xml:space="preserve">Our contributions are threefold:• We analyze the personality space exhibited by GPT-3 in human-chatbot interactions from a dataset collectedin-the-wild.• We show that the perceived agent personality, though overlapping, shows substantial differences comparedto human personality models and existing agent personality models.• We present a multi-granular exploration of the underlying factor space, yielding a new set of eightpersonality traits based on the user’s perception of conversational agents using state-of-the-art languagemodels.</t>
  </si>
  <si>
    <t>2024_Jun_062.pdf</t>
  </si>
  <si>
    <t xml:space="preserve">Junqi Ma, Fusang Zhang, Beihong Jin, Chang Su, Siheng Li, Zhi Wang, and Jiazhi Ni. 2024. Push the Limit of Highly Accurate Ranging on Commercial UWB Devices. Proc. ACM Interact. Mob. Wearable Ubiquitous Technol. 8, 2, Article 62 (June 2024), 27 pages. https://doi.org/10.1145/3659602</t>
  </si>
  <si>
    <t xml:space="preserve">DW1000 UWB-Chips from Decawave,multiple UWB antennas,STM32F103 Microcontroller,Raspberry Pi 4B</t>
  </si>
  <si>
    <t xml:space="preserve">DW1000 API,Savitzky-Golay (SG) Filter,Dynamic Time Warping  algorithm,</t>
  </si>
  <si>
    <t xml:space="preserve">• We are the first to utilize phase information for UWB ranging on commercial devices, which greatlyincreases the accuracy of the ranging from centimeter to sub-millimeter level.• We observe that UWB signals propagating in separate directions exhibit converse phase drift. By combiningthese bi-directional messages, we propose a novel approach to cancel phase drift and retrieve UWB phasewith high accuracy.• We propose a method to enlarge the ambiguity cycle with phase differences from two UWB channels withdifferent frequencies, greatly improving the robustness in phase ambiguity resolution.• We design and implement the ranging system on commercial UWB devices. Comprehensive benchmarkexperiments and three real-life applications demonstrate that the performance of our system significantlyoutperforms the state-of-the-art in UWB ranging.</t>
  </si>
  <si>
    <t>2024_Jun_063.pdf</t>
  </si>
  <si>
    <t xml:space="preserve">Wenwei Li, Ruiyang Gao, Jie Xiong, Jiarun Zhou, Leye Wang, Xingjian Mao, Enze Yi, and Daqing Zhang. 2024. WiFi-CSI Difference Paradigm: Achieving Efficient Doppler Speed Estimation for Passive Tracking. Proc. ACM Interact. Mob. Wearable Ubiquitous Technol. 8, 2, Article 63 (June 2024), 29 pages. https://doi.org/10.1145/3659608</t>
  </si>
  <si>
    <t xml:space="preserve">The self-collected Dataset containing the CSI data is required.</t>
  </si>
  <si>
    <t xml:space="preserve">multiple Workstations, each containing Intel 5300 Wireless-NICs, Workstation with Intel i7-9750H CPU und 16GB RAM,HTC VIVE Cosmos  </t>
  </si>
  <si>
    <t xml:space="preserve">Linux CSI Tool,MATLAB,Phase-Restoration-Algorithmus(CSO/SFO),Phase-Restoration-algorithm/CSO/SFO)</t>
  </si>
  <si>
    <r>
      <rPr/>
      <t xml:space="preserve">To summarize, we made the following contributions.• We propose to use CSI difference instead of CSI for Doppler speed estimation. We establish the rigorousmathematical relationship between CSI difference and Doppler speed for the first time.• Based on the model proposed, we derive the theoretical lower bound of the number of samples required forDoppler speed estimation.• We propose a novel scheme to combine both signal phase and amplitude to improve the estimation accuracy,lowing the number of samples required for Doppler estimation in practice. Our design can greatly reducethe interference of WiFi sensing on communication, moving one step towards real-life adoption of Dopplerspeed for tracking.• We conduct extensive experiments to demonstrate the effectiveness of the proposed system. The resultshows that our method outperforms the state-of-the-art approaches, and our prototype system achievessimilar tracking accuracy compared to the state-of-the-art systems, while significantly reducing the requirednumber of samples to only 5%. The demo video can be found at: </t>
    </r>
    <r>
      <rPr>
        <u val="single"/>
        <color rgb="FF1155CC"/>
      </rPr>
      <t>https://youtu.be/5fQi2mSYbwA.</t>
    </r>
  </si>
  <si>
    <t>2024_Jun_064.pdf</t>
  </si>
  <si>
    <t xml:space="preserve">Zhiqing Hong, Zelong Li, Shuxin Zhong, Wenjun Lyu, Haotian Wang, Yi Ding, Tian He, and Desheng Zhang. 2024. CrossHAR: Generalizing Cross-dataset Human Activity Recognition via Hierarchical Self-Supervised Pretraining. Proc. ACM Interact. Mob. Wearable Ubiquitous Technol. 8, 2, Article 64 (June 2024), 26 pages. https://doi.org/10.1145/3659597</t>
  </si>
  <si>
    <r>
      <rPr/>
      <t xml:space="preserve">UCI Dataset: </t>
    </r>
    <r>
      <rPr>
        <u val="single"/>
        <color rgb="FF1155CC"/>
      </rPr>
      <t>https://archive.ics.uci.edu/dataset/240/human+activity+recognition+using+smartphones</t>
    </r>
    <r>
      <rPr/>
      <t xml:space="preserve">,HHAR Dataset: </t>
    </r>
    <r>
      <rPr>
        <u val="single"/>
        <color rgb="FF1155CC"/>
      </rPr>
      <t>https://archive.ics.uci.edu/dataset/344/heterogeneity+activity+recognition</t>
    </r>
    <r>
      <rPr/>
      <t xml:space="preserve">, if Shoaib and Motion Datasets are publicly available required additional analysis.</t>
    </r>
  </si>
  <si>
    <t xml:space="preserve">Server with A P40 GPU with 24GB of memory and 40GB of RAM or similar components for training the model.</t>
  </si>
  <si>
    <t xml:space="preserve">PyTorch 1.12,Adam-Optimierer,Android Studio</t>
  </si>
  <si>
    <t xml:space="preserve">• Firstly, we aim to generalize HAR from the source dataset to the target dataset that shares a combination ofmultiple domain differences, while most existing studies focus on settings without domain shift or with domainshift only in one domain.• Secondly, we focus on HAR without any labeled or unlabeled training data from the target dataset, which ismore challenging and different from most existing studies.• Moreover, to our knowledge, most of the existing self-supervised methods are not designed for IMU sensordata in cross-dataset HAR. We innovatively design a hierarchical self-supervised pretraining method to learngeneralizable representations from unlabeled IMU data.</t>
  </si>
  <si>
    <t>2024_Jun_065.pdf</t>
  </si>
  <si>
    <t xml:space="preserve">Zhi Wang, Beihong Jin, Fusang Zhang, Siheng Li, and Junqi Ma. 2024. UWB-enabled Sensing for Fast and Effortless Blood Pressure Monitoring. Proc. ACM Interact. Mob. Wearable Ubiquitous Technol. 8, 2, Article 65 (June 2024), 26 pages. https://doi.org/10.1145/3659617</t>
  </si>
  <si>
    <r>
      <rPr>
        <u val="single"/>
        <color rgb="FF1155CC"/>
      </rPr>
      <t>https://www.nature.com/articles/s41597-020-00629-5</t>
    </r>
    <r>
      <rPr/>
      <t xml:space="preserve"> The Public Nature-Dataset can be found here. The Author's self-collected Dataset is not available.</t>
    </r>
  </si>
  <si>
    <t xml:space="preserve">Ultra-wideband Sensor X4M05,Raspberry Pi as a processing unit,sphygmomanometer Omron HEM-7132,HK-2000C digital pulse sensor</t>
  </si>
  <si>
    <t xml:space="preserve">Matlab R2022a,PyTorch 1.11.0,Dynamic Background Subtraction algorithm,autocorrelation-algorithm,Butterworth-Filter,Automatic Multiscale-based Peak Detection-algorithm,Multi-scale Feature Extractor,Adam Optimizer,Huber Loss-Function</t>
  </si>
  <si>
    <t xml:space="preserve">• We build a BP monitoring system named RF-BP, combining biomedical signal processing and deep learningto achieve regular daily monitoring of BP using UWB signals. Specifically, RF-BP can infer BP for a sittingsubject, as long as the subject is detected to be sitting still, intentionally or inadvertently, for 20 seconds.• We propose two methods that utilize peak detection and principal component analysis (PCA) respectivelyto detect and remove aliased and deformed parts in the received UWB signals, after eliminating knowninterferences such as disturbances caused by human movements and respiration, and the reflections ofstatic objects.• We design a multi-scale feature extractor to extract features of quasi-pulse waves at different scales anddevelop an attention-augmented convolutional neural network with the bottleneck residual structure toidentify the value of these features.• We conduct extensive experiments on a self-built dataset and a public dataset. The experimental resultsshow that our system RF-BP can accurately predict BP. Over the self-built dataset, the mean absolute error(MAE) and standard deviation (SD) for SBP are 6.5 mmHg and 6.1 mmHg, and the MAE and SD for DBPare 4.7 mmHg and 4.9 mmHg.</t>
  </si>
  <si>
    <t>2024_Jun_066.pdf</t>
  </si>
  <si>
    <t xml:space="preserve">Kimberly Garcia, Jonathan Vontobel, and Simon Mayer. 2024. A Digital Companion Architecture for Ambient Intelligence. Proc. ACM Interact. Mob. Wearable Ubiquitous Technol. 8, 2, Article 66 (June 2024), 26 pages. https://doi.org/10.1145/3659610</t>
  </si>
  <si>
    <t xml:space="preserve">UFactory robotic xArm, two cameras,Microsoft HoloLens 2 Mixed Reality headset</t>
  </si>
  <si>
    <t xml:space="preserve">YOLOv4,Scene Graph Generation (custom algorithm),A custom Mixed Reality Application for the HoloLens 2</t>
  </si>
  <si>
    <t xml:space="preserve">In this paper, we present an architecture for modern AmI systems. This architecture aligns research on DCsand the objectives of the AmI research field. The objective of DCs is to assist and protect users in a proactivemanner. To achieve this, we propose the creation of systems in charge of managing a physical environment calledExpert DCs, and systems capable of learning about a specific user called Personal DCs. In our architecture, we In this paper, we present an architecture for modern AmI systems. This architecture aligns research on DCsand the objectives of the AmI research field. The objective of DCs is to assist and protect users in a proactivemanner. To achieve this, we propose the creation of systems in charge of managing a physical environment calledExpert DCs, and systems capable of learning about a specific user called Personal DCs. In our architecture, we</t>
  </si>
  <si>
    <t>2024_Jun_067.pdf</t>
  </si>
  <si>
    <t xml:space="preserve">Luca-Maxim Meinhardt, Maximilian Rück, Julian Zähnle, Maryam Elhaidary, Mark Colley, Michael Rietzler, and Enrico Rukzio. 2024. Hey, What's Going On? Conveying Traffic Information to People with Visual Impairments in Highly Automated Vehicles: Introducing OnBoard. Proc. ACM Interact. Mob. Wearable Ubiquitous Technol. 8, 2, Article 67 (June 2024), 24 pages. https://doi.org/10.1145/3659618</t>
  </si>
  <si>
    <t>https://github.com/luca-maxim/hey_whats_going_on</t>
  </si>
  <si>
    <t xml:space="preserve">2 DoF Motion Chair,Arduino Mega Microcontroller,5 SG90 Micro Servo Motors,Linear Actuator (80mm stroke)</t>
  </si>
  <si>
    <t xml:space="preserve">Unity,Arduino IDE,Fantastic City Generator,Urban Traffic System</t>
  </si>
  <si>
    <t xml:space="preserve">• Empirical study that tells us about people. We conducted an interactive workshop with N=4 BVIPs tounderstand what traffic information is relevant to them and how to design a tactile and auditory interfacethat conveys this information.• Artifact. Based on the workshop, we built OnBoard and an auditory interface that conveys relevant trafficinformation.• Empirical study that tells us about how people use a system. We conducted a user study with N=14BVIPs to explore usability and engagement with the auditory interface and OnBoard.</t>
  </si>
  <si>
    <t>2024_Jun_068.pdf</t>
  </si>
  <si>
    <t xml:space="preserve">Qian Zhang, Ke Liu, and Dong Wang. 2024. Sensing to Hear through Memory: Ultrasound Speech Enhancement without Real Ultrasound Signals. Proc. ACM Interact. Mob. Wearable Ubiquitous Technol. 8, 2, Article 68 (June 2024), 31 pages. https://doi.org/10.1145/3659598</t>
  </si>
  <si>
    <t xml:space="preserve">required public Datasets: VoxCeleb and VoxCeleb2, AISHELL-1,aidatatang, proprietary dataset with audio samples and respective Ultrasound-signals is required.</t>
  </si>
  <si>
    <t xml:space="preserve">Desktop PC with NVIDIA GTX 1080Ti GPU and Intel i9-7900X CPU or similar for training the neural-networks,Smartphones as test devices, Smartphone with built-in accelerometer, magnetometer, and gyroscope</t>
  </si>
  <si>
    <t xml:space="preserve">PyTorch,pretrained ECAPA-TDNN out of the PeddleSpech toolkit,Adam optimizer,</t>
  </si>
  <si>
    <t xml:space="preserve">• We propose a scenario-independent ultrasound speech enhancement network that can exploit the priorlearned ultrasound knowledge for multi-modal speech enhancement without real ultrasound signals.Besides, we incorporate the speaker embedding to interact with noisy audio prior to its processing by thememory module, which contributes to the network paying more attention to the speech information of thetarget speaker.• We design a Close2Mic Detector to detect whether ultrasound is reliable in daily life scenarios. Using it canfurther improve the performance of MUS.• We create noisy audio datasets under three experimental settings. The results demonstrate that MUSoutperforms the audio-only methods by a large margin. In addition, we conduct scenario-independentevaluation experiments and evaluate the system in daily life. The results show MUS performs much betterthan the ultrasound-based method when lip-induced ultrasound signals are unreliable or completely absent.</t>
  </si>
  <si>
    <t>2024_Jun_069.pdf</t>
  </si>
  <si>
    <t xml:space="preserve">Zimo Liao, Meng Jin, Shun An, Chaoyue Niu, Fan Wu, Tao Deng, and Guihai Chen. 2024. Waving Hand as Infrared Source for Ubiquitous Gas Sensing. Proc. ACM Interact. Mob. Wearable Ubiquitous Technol. 8, 2, Article 69 (June 2024), 26 pages. https://doi.org/10.1145/3659605</t>
  </si>
  <si>
    <t xml:space="preserve">the self-collected User Diversity Dataset is required.</t>
  </si>
  <si>
    <t xml:space="preserve">PIR-Detector,Arduino Due Microcontroller,</t>
  </si>
  <si>
    <t xml:space="preserve">Signal Acquisition and Processing Software for the Interaction between PIR Detector and the Microcontroller</t>
  </si>
  <si>
    <t xml:space="preserve">• To the best of our knowledge, we are the first to explore the feasibility of using the human hand as apowerless and flexible IR source to realize ubiquitous IR sensing with a single IR detector. We believe thatthe implications of such a natural IR source extend beyond gas detection and pave the way for excitingnew avenues for exploration in IR-based systems.• We have designed a gas sensing system rely on a single IR detector. Our system effectively addressespractical challenges, including weak IR radiation, unstable optical path, and various environmental factors.The integration of the hand enables resource-limited mobile devices to conduct IR-based gas sensing.• We implement a prototype of HELLO and evaluate its performance through extensive experiments. Evalua-tion results demonstrate that HELLO can realize ethanol, water, and CO2 detection with 96.7%, 92.1%, and94.2%, respectively.</t>
  </si>
  <si>
    <t>2024_Jun_070.pdf</t>
  </si>
  <si>
    <t xml:space="preserve">Ruyi Li, Yaxin Zhu, Min Liu, Yihang Zeng, Shanning Zhuang, Jiayi Fu, Yi Lu, Guyue Zhou, Can Liu, and Jiangtao Gong. 2024. TeleAware Robot: Designing Awareness-augmented Telepresence Robot for Remote Collaborative Locomotion. Proc. ACM Interact. Mob. Wearable Ubiquitous Technol. 8, 2, Article 70 (June 2024), 33 pages. https://doi.org/10.1145/3659622</t>
  </si>
  <si>
    <t xml:space="preserve">ROS main control board (STM32F407VET6),HIKVISION DS-UVC-U64 Pro 2K camera,27-inch REDMI display,HTC VIVE base stations for the tracking system,TPLINK IPC55A panoramic camera</t>
  </si>
  <si>
    <t xml:space="preserve">Unity3D-Engine,OpenCV for Unity,YOLOX Object Detection for human-body-recognition,SteamVR,</t>
  </si>
  <si>
    <t xml:space="preserve">Our contributions can be summarized as follows: i) An awareness framework derived from an observationalstudy of natural human behavior for collaborative locomotion in an example scenario of colocated dyads visitingexhibitions together. ii) Based on this framework, we introduced four design goals to enhance the awareness oftelepresence robots in supporting collaborative locomotion and designed a set of awareness-enhancing featuresto reach these goals. iii) We built TeleAware Robot by adding these features to a standard telepresence robot andtested its effectiveness on enhancing awareness and improving collaborative locomotion in comparison with astandard robot as the baseline. iv) We contribute insights from an in-depth analysis and discussion on the effectsof the awareness-enhancing features on users’ roles, interaction and presence, informing the future design oftelepresence for collaboration.</t>
  </si>
  <si>
    <t>2024_Jun_071.pdf</t>
  </si>
  <si>
    <t xml:space="preserve">Changshuo Hu, Thivya Kandappu, Yang Liu, Cecilia Mascolo, and Dong Ma. 2024. BreathPro: Monitoring Breathing Mode during Running with Earables. Proc. ACM Interact. Mob. Wearable Ubiquitous Technol. 8, 2, Article 71 (June 2024), 25 pages. https://doi.org/10.1145/3659607</t>
  </si>
  <si>
    <t xml:space="preserve">Two analog microphones CMC-4015-40L100 by CUI Devices,Bela Mini development board,Raspberry Pi,philtrum microphone,</t>
  </si>
  <si>
    <t xml:space="preserve">Bela Mini IDE,Implementations of KNN and Linear Regression model,</t>
  </si>
  <si>
    <t xml:space="preserve">• The development of a machine learning (ML) based breathing mode classification model requires preciselyannotated data, namely, accurately segmented in-ear signals between inspiration and expiration. However,the breathing signals collected from the in-ear microphone are considerably weak and span across widefrequency ranges, making it challenging to discern the transitions of breathing phases in both time andfrequency domains. To resolve this issue, we leverage the ground truth signal collected near the nose to • The development of a machine learning (ML) based breathing mode classification model requires preciselyannotated data, namely, accurately segmented in-ear signals between inspiration and expiration. However,the breathing signals collected from the in-ear microphone are considerably weak and span across widefrequency ranges, making it challenging to discern the transitions of breathing phases in both time andfrequency domains. To resolve this issue, we leverage the ground truth signal collected near the nose to</t>
  </si>
  <si>
    <t>2024_Jun_072.pdf</t>
  </si>
  <si>
    <t xml:space="preserve">Andrea Cuadra, Justine Breuch, Samantha Estrada, David Ihim, Isabelle Hung, Derek Askaryar, Marwan Hassanien, Kristen L. Fessele, and James A. Landay. 2024. Digital Forms for All: A Holistic Multimodal Large Language Model Agent for Health Data Entry. Proc. ACM Interact. Mob. Wearable Ubiquitous Technol. 8, 2, Article 72 (June 2024), 39 pages. https://doi.org/10.1145/3659624</t>
  </si>
  <si>
    <t>https://github.com/StanfordHCI/CareQuestionnaire</t>
  </si>
  <si>
    <t xml:space="preserve">Repository referenced in the paper; system uses a React frontend and Firebase backend driven by GPT-4.</t>
  </si>
  <si>
    <t xml:space="preserve">Study with N=10 older adults; questionnaire items listed in Appendix B.</t>
  </si>
  <si>
    <t xml:space="preserve">iPad tablet (used: iPad Pro) with microphone/speaker on a stand;</t>
  </si>
  <si>
    <t xml:space="preserve">OpenAI GPT-4 API for classification/response; Speechly ASR library for on-device speech-to-text; React (TypeScript) frontend; Firebase; iOS/Safari text-to-speech.</t>
  </si>
  <si>
    <t xml:space="preserve">Paper describes architecture, prompts, and schema; no full runnable step-by-step reproduction guide.</t>
  </si>
  <si>
    <t xml:space="preserve">As a whole, our system and findings set a foundation for creating inclusive and scalable digital forms without overburdening other stakeholders.</t>
  </si>
  <si>
    <t>2024_Jun_073.pdf</t>
  </si>
  <si>
    <t xml:space="preserve">Ziqi Yang, Xuhai Xu, Bingsheng Yao, Ethan Rogers, Shao Zhang, Stephen Intille, Nawar Shara, Guodong Gordon Gao, and Dakuo Wang. 2024. Talk2Care: An LLM-based Voice Assistant for Communication between Healthcare Providers and Older Adults. Proc. ACM Interact. Mob. Wearable Ubiquitous Technol. 8, 2, Article 73 (June 2024), 35 pages. https://doi.org/10.1145/3659625</t>
  </si>
  <si>
    <t xml:space="preserve">User interviews and user studies conducted; no dataset release or download link provided.</t>
  </si>
  <si>
    <t xml:space="preserve">Deployed as an Amazon Alexa Skill using an Echo Dot device; earlier experiments with Raspberry Pi/Arduino noted, but final implementation uses Alexa hardware/services.</t>
  </si>
  <si>
    <t xml:space="preserve">Requires proprietary Amazon Alexa speech services and OpenAI GPT-3.5 API; provider dashboard implemented in React.</t>
  </si>
  <si>
    <t xml:space="preserve">Paper provides system architecture and detailed prompt designs but no runnable repository or step-by-step reproduction guide.</t>
  </si>
  <si>
    <t xml:space="preserve">The results showed that Talk2Care could facilitate the communication process, enrich the health information collected from older adults, and considerably save providers’ efforts and time.</t>
  </si>
  <si>
    <t>2024_Jun_074.pdf</t>
  </si>
  <si>
    <t xml:space="preserve">Kaiyan Ling, Hang Zhao, Xiangmin Fan, Xiaohui Niu, Wenchao Yin, Yue Liu, Cui Wang, and Xiaojun Bi. 2024. Model Touch Pointing and Detect Parkinson's Disease via a Mobile Game. Proc. ACM Interact. Mob. Wearable Ubiquitous Technol. 8, 2, Article 74 (June 2024), 24 pages. https://doi.org/10.1145/3659627</t>
  </si>
  <si>
    <t xml:space="preserve">Source code is said to be uploaded as supporting materials; no public repo link is given in the paper.</t>
  </si>
  <si>
    <t>https://github.com/hangzhaosbu/Ubicomp2024-Model-Touch-Pointing-and-Detect-Parkinson-s-Disease-via-a-Mobile-Game</t>
  </si>
  <si>
    <t xml:space="preserve">Dataset from 40 participants and comfort ratings; authors state all data are on GitHub.</t>
  </si>
  <si>
    <t xml:space="preserve">Study conducted on a SONY Xperia XZ Android smartphone; standardized setup with experimenter holding the phone to stabilize angle and position.</t>
  </si>
  <si>
    <t xml:space="preserve">Paper and materials describe models and architecture but do not provide a runnable repository or step-by-step reproduction instructions.</t>
  </si>
  <si>
    <t xml:space="preserve">Overall, our research contributes models that reveal the temporal and spatial characteristics of touch pointing for PD users, and provide a new method (CNN-Transformer model) and a mobile game (MoleBuster) for convenient PD detection.</t>
  </si>
  <si>
    <t>2024_Jun_075.pdf</t>
  </si>
  <si>
    <t xml:space="preserve">Long Fan, Lei Xie, Wenhui Zhou, Chuyu Wang, Yanling Bu, and Sanglu Lu. 2024. Beamforming for Sensing: Hybrid Beamforming based on Transmitter-Receiver Collaboration for Millimeter-Wave Sensing. Proc. ACM Interact. Mob. Wearable Ubiquitous Technol. 8, 2, Article 75 (June 2024), 27 pages. https://doi.org/10.1145/3659619</t>
  </si>
  <si>
    <t xml:space="preserve">No code repository or link provided in the paper.</t>
  </si>
  <si>
    <t xml:space="preserve">Offline datasets collected (15 subjects); no dataset link or release.</t>
  </si>
  <si>
    <t xml:space="preserve">TI MMWCAS-RF-EVM radar with MMWCAS-DSP-EVM capture card; ER2 ECG device; additional experiments with TI AWR6843-ISK; vibration platform; five volunteers for heartbeat sensing.</t>
  </si>
  <si>
    <t xml:space="preserve">MATLAB used for preprocessing; Lua for radar control; Python/PyTorch for model training and inference.</t>
  </si>
  <si>
    <t xml:space="preserve">No runnable repo or step-by-step reproduction.</t>
  </si>
  <si>
    <t xml:space="preserve">Compared to non-beamforming, Trebsen demonstrates a reduction of 23.6% in average HR error and 27.47% in average IBI error. Moreover, we verified the search performance of Trebsen, compared with random search, Trebsen exhibits a 90% increase in search speed.</t>
  </si>
  <si>
    <t>2024_Jun_076.pdf</t>
  </si>
  <si>
    <t xml:space="preserve">Chitralekha Gupta, Shreyas Sridhar, Denys J.C. Matthies, Christophe Jouffrais, and Suranga Nanayakkara. 2024. SonicVista: Towards Creating Awareness of Distant Scenes through Sonification. Proc. ACM Interact. Mob. Wearable Ubiquitous Technol. 8, 2, Article 76 (June 2024), 32 pages. https://doi.org/10.1145/3659609</t>
  </si>
  <si>
    <t>2024_Jun_077.pdf</t>
  </si>
  <si>
    <t xml:space="preserve">Christoph Gebhardt, Andreas Brombach, Tiffany Luong, Otmar Hilliges, and Christian Holz. 2024. Detecting Users' Emotional States during Passive Social Media Use. Proc. ACM Interact. Mob. Wearable Ubiquitous Technol. 8, 2, Article 77 (June 2024), 30 pages. https://doi.org/10.1145/3659606</t>
  </si>
  <si>
    <t xml:space="preserve">NAPS and NAPS-ERO images used; participant sensor data collected; no dataset link.</t>
  </si>
  <si>
    <t xml:space="preserve">Huawei P9 Plus phone; Shimmer3 GSR+, Polar H10 ECG, Vernier respiration belt; Xiaomi Mi A3 for logging.</t>
  </si>
  <si>
    <t xml:space="preserve">Android app with WebView (Vue.js), Python backend; NeuroKit2 and scikit-learn for processing/classification.</t>
  </si>
  <si>
    <t xml:space="preserve">Describes apparatus and pipeline but no runnable reproduction steps.</t>
  </si>
  <si>
    <t xml:space="preserve">Our findings also demonstrate that using emotional properties of images, predicted by a deep learning model, further improves emotion recognition.</t>
  </si>
  <si>
    <t>2024_Jun_078.pdf</t>
  </si>
  <si>
    <t xml:space="preserve">Zeyu Wang, Yuanchun Shi, Yuntao Wang, Yuchen Yao, Kun Yan, Yuhan Wang, Lei Ji, Xuhai Xu, and Chun Yu. 2024. G-VOILA: Gaze-Facilitated Information Querying in Daily Scenarios. Proc. ACM Interact. Mob. Wearable Ubiquitous Technol. 8, 2, Article 78 (June 2024), 33 pages. https://doi.org/10.1145/3659623</t>
  </si>
  <si>
    <t>https://github.com/Sky-Wang326/gvoila.git</t>
  </si>
  <si>
    <t xml:space="preserve">Open-source VOILA-G implementation.</t>
  </si>
  <si>
    <t xml:space="preserve">User enactment and evaluation datasets not released.</t>
  </si>
  <si>
    <t xml:space="preserve">Pupil Labs Invisible smart glasses; local laptop; remote GPU server (V100/A100).</t>
  </si>
  <si>
    <t xml:space="preserve">GPT-4 API; also uses Whisper, SAM, KosMos-2, OWL-ViT.</t>
  </si>
  <si>
    <t xml:space="preserve">Appendix provides prompt and implementation details; no end-to-end run steps.</t>
  </si>
  <si>
    <t xml:space="preserve">We further conducted interviews and provided insights for future gaze-facilitated information querying systems.</t>
  </si>
  <si>
    <t>2024_Jun_079.pdf</t>
  </si>
  <si>
    <t xml:space="preserve">Matthew Clark and Afsaneh Doryab. 2024. Changing Your Tune: Lessons for Using Music to Encourage Physical Activity. Proc. ACM Interact. Mob. Wearable Ubiquitous Technol. 8, 2, Article 79 (June 2024), 24 pages. https://doi.org/10.1145/3659611</t>
  </si>
  <si>
    <t xml:space="preserve">No code link provided in the paper.</t>
  </si>
  <si>
    <t xml:space="preserve">Participant Fitbit step data and surveys; no dataset release or link.</t>
  </si>
  <si>
    <t xml:space="preserve">Fitbit Sense devices provided to all participants for step tracking.</t>
  </si>
  <si>
    <t xml:space="preserve">Surveys via Qualtrics; activity modeled and music generated as described.</t>
  </si>
  <si>
    <t xml:space="preserve">Paper provides study procedure but no runnable repo or end-to-end reproduction steps.</t>
  </si>
  <si>
    <t xml:space="preserve">Results showed that participants were marginally more active during the music feedback compared to their baseline period, and significantly more active compared to the text-based feedback (p = 0.000).</t>
  </si>
  <si>
    <t>2024_Jun_080.pdf</t>
  </si>
  <si>
    <t xml:space="preserve">Yufei Wang, Wenting Zeng, Changzhen Liu, Zhuohan Ye, Jiawei Sun, Junxiang Ji, Zhihan Jiang, Xianyi Yan, Yongyi Wu, Yigao Wang, Dingqi Yang, Leye Wang, Daqing Zhang, Cheng Wang, and Longbiao Chen. 2024. CrowdBot: An Open-Environment Robot Management System for On-Campus Services. Proc. ACM Interact. Mob. Wearable Ubiquitous Technol. 8, 2, Article 80 (June 2024), 27 pages. https://doi.org/10.1145/3659601</t>
  </si>
  <si>
    <t xml:space="preserve">Crowdsourced campus task dataset summarized (Table 1) without a download link.</t>
  </si>
  <si>
    <t xml:space="preserve">Modular plug-and-play robots incl. robot dog/UAV/underwater robot with hot-swappable equipment, RFID-tagged devices, robotic arm, repositories and charging stations.</t>
  </si>
  <si>
    <t xml:space="preserve">Unity (with ML-Agents) for simulation/training; ROS for device drivers; CrowdOS/LLM components.</t>
  </si>
  <si>
    <t xml:space="preserve">Framework described, but no runnable repo or step-by-step reproduction instructions.</t>
  </si>
  <si>
    <t xml:space="preserve">Real-world case studies further affirm CrowdBot’s capability to adeptly execute tasks and judiciously recycle resources, thereby offering a smart and viable solution for the streamlined management of campus services.</t>
  </si>
  <si>
    <t>2024_Jun_081.pdf</t>
  </si>
  <si>
    <t xml:space="preserve">Ziqi Xu, Jingwen Zhang, Jacob Greenberg, Madelyn Frumkin, Saad Javeed, Justin K. Zhang, Braeden Benedict, Kathleen Botterbush, Thomas L. Rodebaugh, Wilson Z. Ray, and Chenyang Lu. 2024. Predicting Multi-dimensional Surgical Outcomes with Multi-modal Mobile Sensing: A Case Study with Patients Undergoing Lumbar Spine Surgery. Proc. ACM Interact. Mob. Wearable Ubiquitous Technol. 8, 2, Article 81 (June 2024), 30 pages. https://doi.org/10.1145/3659628</t>
  </si>
  <si>
    <t xml:space="preserve">Clinical cohort of 122 lumbar spine surgery patients; no dataset link.</t>
  </si>
  <si>
    <t xml:space="preserve">Fitbit Inspire 2 wristband and participants smartphones (LifeData app) used for data collection.</t>
  </si>
  <si>
    <t xml:space="preserve">LifeData smartphone app for EMA; analysis uses TensorFlow and scikit-learn.</t>
  </si>
  <si>
    <t xml:space="preserve">No runnable repo or step-by-step code instructions.</t>
  </si>
  <si>
    <t xml:space="preserve">This work contributes to advancing personalized peri-operative care with accurate pre-operative predictions of multi-dimensional outcomes.</t>
  </si>
  <si>
    <t>2024_Jun_082.pdf</t>
  </si>
  <si>
    <t xml:space="preserve">Yuchen Su, Shiyue Huang, Hongbo Liu, Yuefeng Chen, Yicong Du, Yan Wang, Yanzhi Ren, and Yingying Chen. 2024. PPG-Hear: A Practical Eavesdropping Attack with Photoplethysmography Sensors. Proc. ACM Interact. Mob. Wearable Ubiquitous Technol. 8, 2, Article 82 (June 2024), 28 pages. https://doi.org/10.1145/3659603</t>
  </si>
  <si>
    <t>https://github.com/soerenab/AudioMNIST</t>
  </si>
  <si>
    <t xml:space="preserve">Uses AudioMNIST and Google Speech Commands; own volunteer data not released.</t>
  </si>
  <si>
    <t xml:space="preserve">TicWatch Pro 3 and OPPO Watch Pro 3 smartwatches; prototype MAX30101 sensor; Xiaomi Sound Pro speaker.</t>
  </si>
  <si>
    <t xml:space="preserve">No runnable repo or step-by-step procedure.</t>
  </si>
  <si>
    <t xml:space="preserve">Through an array of real-world experiments, encompassing common eavesdropping scenarios such as surrounding speakers and the device’s own speakers, we show that PPG-Hear can achieve remarkable accuracy of 90% for recognizing human speech, surpassing the current state-of-the-art side-channel eavesdropping attacks using motion sensors operating at equivalent sampling rates (i.e., 50Hz to 500Hz).</t>
  </si>
  <si>
    <t>2024_Jun_083.pdf</t>
  </si>
  <si>
    <t xml:space="preserve">Xiyuxing Zhang, Yuntao Wang, Yuxuan Han, Chen Liang, Ishan Chatterjee, Jiankai Tang, Xin Yi, Shwetak Patel, and Yuanchun Shi. 2024. The EarSAVAS Dataset: Enabling Subject-Aware Vocal Activity Sensing on Earables. Proc. ACM Interact. Mob. Wearable Ubiquitous Technol. 8, 2, Article 83 (June 2024), 26 pages. https://doi.org/10.1145/3659616</t>
  </si>
  <si>
    <t xml:space="preserve">Algorithm Development;Dataset Paper;Hardware Development;Software Development;User Study</t>
  </si>
  <si>
    <t>https://github.com/THU-CS-PI-LAB/EarSAVAS</t>
  </si>
  <si>
    <t xml:space="preserve">All code publicly available on GitHub</t>
  </si>
  <si>
    <t>https://www.kaggle.com/datasets/earsavas/earsavas-dataset</t>
  </si>
  <si>
    <t xml:space="preserve">EarSAVAS multimodal dataset released on Kaggle</t>
  </si>
  <si>
    <t xml:space="preserve">Modified Sony WF-1000XM3 earbud with feed-forward/feedback mics and embedded MPU6050 IMU; BES2300YP MCU for synchronous logging</t>
  </si>
  <si>
    <t xml:space="preserve">PyTorch 1.13.0 used for training</t>
  </si>
  <si>
    <t xml:space="preserve">Training settings in paper; GitHub includes scripts with usage instructions.</t>
  </si>
  <si>
    <t xml:space="preserve">We hope that the proposed EarSAVAS and benchmark models can inspire other researchers to further explore efficient subject-aware human vocal activity sensing on earables.</t>
  </si>
  <si>
    <t>2024_Jun_084.pdf</t>
  </si>
  <si>
    <t xml:space="preserve">Qian Zhang, Yubin Lan, Kaiyi Guo, and Dong Wang. 2024. Lipwatch: Enabling Silent Speech Recognition on Smartwatches using Acoustic Sensing. Proc. ACM Interact. Mob. Wearable Ubiquitous Technol. 8, 2, Article 84 (June 2024), 29 pages. https://doi.org/10.1145/3659614</t>
  </si>
  <si>
    <t xml:space="preserve">SSI datasets collected from volunteers; no public release or link.</t>
  </si>
  <si>
    <t xml:space="preserve">Commercial smartwatch (OPPO Watch 2) with speaker, microphone, and accelerometer.</t>
  </si>
  <si>
    <t xml:space="preserve">Implemented on-device with TensorFlow Lite.</t>
  </si>
  <si>
    <t xml:space="preserve">The user study shows that Lipwatch can be a practical and promising option to enable SSI on smartwatches.</t>
  </si>
  <si>
    <t>2024_Jun_085.pdf</t>
  </si>
  <si>
    <t xml:space="preserve">Ran Zhu, Mingkun Yang, and Qing Wang. 2024. ShuffleFL: Addressing Heterogeneity in Multi-Device Federated Learning. Proc. ACM Interact. Mob. Wearable Ubiquitous Technol. 8, 2, Article 85 (June 2024), 34 pages. https://doi.org/10.1145/3659621</t>
  </si>
  <si>
    <t xml:space="preserve">Uses public datasets FEMNIST, Shakespeare, Google Speech, HARBox, and RealWorld.</t>
  </si>
  <si>
    <t xml:space="preserve">Evaluations emulate heterogeneous devices; embedded boards profiled but not required to reproduce.</t>
  </si>
  <si>
    <t xml:space="preserve">Standard ML tooling implied; no proprietary software required.</t>
  </si>
  <si>
    <t xml:space="preserve">No runnable setup or step-by-step reproduction provided.</t>
  </si>
  <si>
    <t xml:space="preserve">Our investigation of data shuffling in the hierarchical FL framework provides a viable solution to enhance the time-to-accuracy performance of the FL system from the root, offering tangible evidence of the benefits it brings to ubiquitous computing applications.</t>
  </si>
  <si>
    <t>2024_Jun_086.pdf</t>
  </si>
  <si>
    <t xml:space="preserve">Ziyu Wu, Fangting Xie, Yiran Fang, Zhen Liang, Quan Wan, Yufan Xiong, and Xiaohui Cai. 2024. Seeing through the Tactile: 3D Human Shape Estimation from Temporal In-Bed Pressure Images. Proc. ACM Interact. Mob. Wearable Ubiquitous Technol. 8, 2, Article 86 (June 2024), 39 pages. https://doi.org/10.1145/3659612</t>
  </si>
  <si>
    <t>https://github.com/USTCWzy/PIMesh</t>
  </si>
  <si>
    <t xml:space="preserve">Code and models on GitHub.</t>
  </si>
  <si>
    <t xml:space="preserve">TIP dataset referenced as available.</t>
  </si>
  <si>
    <t xml:space="preserve">Pressure-sensing bedsheet, Azure Kinect DK RGBD camera, microcontroller for synchronized acquisition.</t>
  </si>
  <si>
    <t xml:space="preserve">Uses YOLOv8, ViTPose, SMPLify-based optimizer, and MAE.</t>
  </si>
  <si>
    <t xml:space="preserve">GitHub includes scripts with no full usage instructions.</t>
  </si>
  <si>
    <t xml:space="preserve">The results demonstrate that the pressure-sensing bedsheet could be a promising alternative for long-term in-bed human shape estimation.</t>
  </si>
  <si>
    <t>2024_Jun_087.pdf</t>
  </si>
  <si>
    <t xml:space="preserve">Zhenyu Xu, Hailin Xu, Zhouyang Lu, Yingying Zhao, Rui Zhu, Yujiang Wang, Mingzhi Dong, Yuhu Chang, Qin Lv, Robert P. Dick, Fan Yang, Tun Lu, Ning Gu, and Li Shang. 2024. Can Large Language Models Be Good Companions? An LLM-Based Eyewear System with Conversational Common Ground. Proc. ACM Interact. Mob. Wearable Ubiquitous Technol. 8, 2, Article 87 (June 2024), 41 pages. https://doi.org/10.1145/3659600</t>
  </si>
  <si>
    <t>https://github.com/MemX-Research/OS-1</t>
  </si>
  <si>
    <t xml:space="preserve">Repo linked in paper (OS-1 client/server).</t>
  </si>
  <si>
    <t xml:space="preserve">No dataset or download link provided for lab or pilot data.</t>
  </si>
  <si>
    <t xml:space="preserve">Smart eyewear prototype (Snapdragon Wear 4100+, 8MP camera, battery), Bluetooth earpiece; cloud GPUs used for processing.</t>
  </si>
  <si>
    <t xml:space="preserve">Proprietary APIs (e.g., GPT-4/Gemini, Alibaba Cloud TTS) used alongside open-source tools.</t>
  </si>
  <si>
    <t xml:space="preserve">Repo includes client/server configuration and deployment details; no full end-to-end run steps in paper.</t>
  </si>
  <si>
    <t xml:space="preserve">This enhances user satisfaction and potentially leads to various personal service scenarios, such as emotional support and assistance.</t>
  </si>
  <si>
    <t>2024_Mar_001.pdf</t>
  </si>
  <si>
    <t xml:space="preserve">Nafees Ahmad and Ho-fung Leung. 2024. HyperHAR: Inter-sensing Device Bilateral Correlations and Hyper-correlations Learning Approach for Wearable Sensing Device Based Human Activity Recognition. Proc. ACM Interact. Mob. Wearable Ubiquitous Technol. 8, 1, Article 1 (March 2024), 29 pages. https://doi.org/10.1145/3643511</t>
  </si>
  <si>
    <t xml:space="preserve">public datasets used</t>
  </si>
  <si>
    <t xml:space="preserve">Nvidia RTX 3090 GPU</t>
  </si>
  <si>
    <t xml:space="preserve">Both the HyperHAR and HyperHAR-Lite outperform SOTA models across three commonly used benchmark datasets with significant margins. We validate the efficiency and effectiveness of the proposed frameworks through an ablation study and quantitative and qualitative analysis.</t>
  </si>
  <si>
    <t>2024_Mar_002.pdf</t>
  </si>
  <si>
    <t xml:space="preserve">Leonardo Alchieri, Nouran Abdalazim, Lidia Alecci, Shkurta Gashi, Martin Gjoreski, and Silvia Santini. 2024. Lateralization Effects in Electrodermal Activity Data Collected Using Wearable Devices. Proc. ACM Interact. Mob. Wearable Ubiquitous Technol. 8, 1, Article 2 (March 2024), 30 pages. https://doi.org/10.1145/3643541</t>
  </si>
  <si>
    <t>https://github.com/LeonardoAlchieri/LateralizationPhysiologicalWearables</t>
  </si>
  <si>
    <t xml:space="preserve">one of the two used datasets is publicly available</t>
  </si>
  <si>
    <t xml:space="preserve">instructions including cetting up conda env, statistical analysis and ml modely,; jupyter notebooks for analysis</t>
  </si>
  <si>
    <t xml:space="preserve">In this work, we address this issue by examining the impact of EDA lateralization in two classification tasks: a cognitive load recognition task executed in the lab and a sleep monitoring task in a real-world setting. We implement a machine learning pipeline to compare the performance obtained on both classification tasks using EDA data collected from the left and right sides of the body. Our results show that using EDA from the side that is not associated with the specific hemisphere activation leads to a significant decline in performance for the considered classification tasks. This finding highlights that researchers and practitioners relying on EDA data should consider possible EDA lateralization effects when deciding on sensor placement.</t>
  </si>
  <si>
    <t>2024_Mar_003.pdf</t>
  </si>
  <si>
    <t xml:space="preserve">Shaikh Shawon Arefin Shimon, Ali Neshati, Junwei Sun, Qiang Xu, and Jian Zhao. 2024. Exploring Uni-manual Around Ear Off-Device Gestures for Earables. Proc. ACM Interact. Mob. Wearable Ubiquitous Technol. 8, 1, Article 3 (March 2024), 29 pages. https://doi.org/10.1145/3643513</t>
  </si>
  <si>
    <t>2024_Mar_004.pdf</t>
  </si>
  <si>
    <t xml:space="preserve">Sizhen Bian, Mengxi Liu, Bo Zhou, Paul Lukowicz, and Michele Magno. 2024. Body-Area Capacitive or Electric Field Sensing for Human Activity Recognition and Human-Computer Interaction: A Comprehensive Survey. Proc. ACM Interact. Mob. Wearable Ubiquitous Technol. 8, 1, Article 4 (March 2024), 49 pages. https://doi.org/10.1145/3643555</t>
  </si>
  <si>
    <t>2024_Mar_005.pdf</t>
  </si>
  <si>
    <t xml:space="preserve">Wenqiang Chen, Shupei Lin, Zhencan Peng, Farshid Salemi Parizi, Seongkook Heo, Shwetak Patel, Wojciech Matusik, Wei Zhao, and John Stankovic. 2024. ViObject: Harness Passive Vibrations for Daily Object Recognition with Commodity Smartwatches. Proc. ACM Interact. Mob. Wearable Ubiquitous Technol. 8, 1, Article 5 (March 2024), 26 pages. https://doi.org/10.1145/3643547</t>
  </si>
  <si>
    <t xml:space="preserve">android smartwatch</t>
  </si>
  <si>
    <t xml:space="preserve">In this paper, we present the design and implementation of ViObject, to address challenges such as motion interference, different object-touching positions, different grasp speeds/pressure, and model customization to new users and new objects. We evaluate the system's performance using a dataset of 20 objects from 20 participants and show that ViObject achieves an average accuracy of 86.4%. We also customize models for new users and new objects, achieving an average accuracy of 90.1%. Overall, ViObject demonstrates a novel technology concept of passive object recognition using commodity smartwatches and opens up new avenues for research and innovation in this area.</t>
  </si>
  <si>
    <t>2024_Mar_006.pdf</t>
  </si>
  <si>
    <t xml:space="preserve">Kaijie Gong, Yi Gao, and Wei Dong. 2024. Privacy-Preserving and Cross-Domain Human Sensing by Federated Domain Adaptation with Semantic Knowledge Correction. Proc. ACM Interact. Mob. Wearable Ubiquitous Technol. 8, 1, Article 6 (March 2024), 26 pages. https://doi.org/10.1145/3643503</t>
  </si>
  <si>
    <t xml:space="preserve">four public datasets are used, one realworld dataset not available</t>
  </si>
  <si>
    <t xml:space="preserve">one Jetson Xavier NX device, one Jetson Nano device, and six Raspberry Pi 4B+ devices</t>
  </si>
  <si>
    <t xml:space="preserve">FDAS achieves concurrent alignment at both domain and semantic levels to improve the semantic quality of the aligned features, thereby reducing the misalignment of environment-dependent features. Moreover, we design a cross-domain semantic similarity metric and further devise feature selection and feature refinement mechanisms to enhance the two-level alignment. In addition, we propose a similarity-aware model fine-tuning strategy to further improve the target model performance. We evaluate the performance of FDAS extensively on four public and a real-world human sensing datasets. Extensive experiments demonstrate the superior effectiveness of FDAS and its potential in the real-world ubiquitous computing scenarios.</t>
  </si>
  <si>
    <t>2024_Mar_007.pdf</t>
  </si>
  <si>
    <t xml:space="preserve">Zhizhang Hu, Amirmohammad Radmehr, Yue Zhang, Shijia Pan, and Phuc Nguyen. 2024. IOTeeth: Intra-Oral Teeth Sensing System for Dental Occlusal Diseases Recognition. Proc. ACM Interact. Mob. Wearable Ubiquitous Technol. 8, 1, Article 7 (March 2024), 29 pages. https://doi.org/10.1145/3643516</t>
  </si>
  <si>
    <t xml:space="preserve">intra-oral wearable prototype</t>
  </si>
  <si>
    <t xml:space="preserve">We evaluate IOTeeth with 12 articulator teeth models from dental clinic patients. Evaluation results show an F1 score of 0.97 for activity recognition with leave-one-out validation and an average F1 score of 0.92 for dental disease recognition for different activities with leave-one-out validation.</t>
  </si>
  <si>
    <t>2024_Mar_008.pdf</t>
  </si>
  <si>
    <t xml:space="preserve">Zeyuan Huang, Cangjun Gao, Haiyan Wang, Xiaoming Deng, Yu-Kun Lai, Cuixia Ma, Sheng-feng Qin, Yong-Jin Liu, and Hongan Wang. 2024. SpeciFingers: Finger Identification and Error Correction on Capacitive Touchscreens. Proc. ACM Interact. Mob. Wearable Ubiquitous Technol. 8, 1, Article 8 (March 2024), 28 pages. https://doi.org/10.1145/3643559</t>
  </si>
  <si>
    <t>https://github.com/iscas-MMSketch/SpeciFingers</t>
  </si>
  <si>
    <t xml:space="preserve">Wacom DTH-2242 tabletop touchscreen device</t>
  </si>
  <si>
    <t xml:space="preserve">instructions including conda env, and data preperation and training  model</t>
  </si>
  <si>
    <t xml:space="preserve">We evaluate our pipeline with finger identification and error correction in the scenario of the use case. The evaluation results highlight the 99.45% accuracy and the advantages in preventing error and recovering from error with our pipeline. The proposed finger-layout binding interaction also demonstrates significantly less visual attention occupation and higher usefulness in the user study.</t>
  </si>
  <si>
    <t>2024_Mar_009.pdf</t>
  </si>
  <si>
    <t xml:space="preserve">Sungjin Hwang, Jiwoong Heo, Youngwug Cho, Jucheol Moon, Yushin Lee, Hansung Kim, Jaehyuk Cha, and Kwanguk Kim. 2024. Transportation Mode Detection Technology to Predict Wheelchair Users' Life Satisfaction in Seoul, South Korea. Proc. ACM Interact. Mob. Wearable Ubiquitous Technol. 8, 1, Article 9 (March 2024), 20 pages. https://doi.org/10.1145/3643506</t>
  </si>
  <si>
    <t xml:space="preserve">The contributions of our study can be summarized as follows: 1) we collected a new dataset and classified the wTMD modes that wheelchair users adopt; 2) we evaluated our wTMD model with data from new users because the wTMD model’s performance on new users is critical for a practical approach; and 3) we provided an understanding of the impact of wheelchair users’ transportation mode on their life satisfaction by conducting regression analyses. To the best of our knowledge, this is the first study to apply TMD technology to show its benefits in analyzing social science issues.</t>
  </si>
  <si>
    <t>2024_Mar_010.pdf</t>
  </si>
  <si>
    <t xml:space="preserve">Yonchanok Khaokaew, Hao Xue, and Flora D. Salim. 2024. MAPLE: Mobile App Prediction Leveraging Large Language Model Embeddings. Proc. ACM Interact. Mob. Wearable Ubiquitous Technol. 8, 1, Article 10 (March 2024), 25 pages. https://doi.org/10.1145/3643514</t>
  </si>
  <si>
    <t>https://github.com/cruiseresearchgroup/MAPLE</t>
  </si>
  <si>
    <t xml:space="preserve">two publicly accessible app usage datasets</t>
  </si>
  <si>
    <t xml:space="preserve">description in the repo but no implicit instructions besides code annotations; no requirements</t>
  </si>
  <si>
    <t xml:space="preserve">MAPLE stands out as a comprehensive and effective solution, setting a new benchmark for more precise and personalised app usage predictions. In tests on two real-world datasets, MAPLE surpasses contemporary models in both standard and cold start scenarios. These outcomes validate MAPLE's capacity for precise app usage predictions and its resilience against the cold start problem. This enhanced performance stems from the model's proficiency in capturing complex temporal patterns and leveraging contextual information.</t>
  </si>
  <si>
    <t>2024_Mar_011.pdf</t>
  </si>
  <si>
    <t xml:space="preserve">Mohammad Kianpisheh, Alex Mariakakis, and Khai N. Truong. 2024. ExHAR: An Interface for Helping Non-Experts Develop and Debug Knowledge-based Human Activity Recognition Systems. Proc. ACM Interact. Mob. Wearable Ubiquitous Technol. 8, 1, Article 11 (March 2024), 30 pages. https://doi.org/10.1145/3643500</t>
  </si>
  <si>
    <t xml:space="preserve">two publicly available datasets</t>
  </si>
  <si>
    <t xml:space="preserve">To investigate this process, we developed and studied how people interact with an explainable knowledge-based HAR development tool called exHAR. Our tool empowers users to define their activities as a set of factual propositions. Users can debug these definitions by soliciting explanations for model predictions (why and why-not) and candidate corrections for faulty predictions (what-if and how-to). After conducting a study to evaluate the effectiveness of exHAR in helping users design accurate HAR systems, we conducted a think-aloud study to better understand people's approach to debugging and personalizing HAR systems and the challenges they may encounter. Our findings revealed why some participants had inaccurate mental models of knowledge-based HAR systems and inefficient approaches to the debugging process.</t>
  </si>
  <si>
    <t>2024_Mar_012.pdf</t>
  </si>
  <si>
    <t xml:space="preserve">Evan King, Haoxiang Yu, Sangsu Lee, and Christine Julien. 2024. Sasha: Creative Goal-Oriented Reasoning in Smart Homes with Large Language Models. Proc. ACM Interact. Mob. Wearable Ubiquitous Technol. 8, 1, Article 12 (March 2024), 38 pages. https://doi.org/10.1145/3643505</t>
  </si>
  <si>
    <t xml:space="preserve">smarthome devices</t>
  </si>
  <si>
    <t>GPT</t>
  </si>
  <si>
    <t xml:space="preserve">We empirically study the baseline quality and failure modes of LLM-created action plans with a survey of age-diverse users. We find that LLMs can reason creatively to achieve challenging goals, but they experience patterns of failure that diminish their usefulness. We address these gaps with Sasha, a smarter smart home assistant. Sasha responds to loosely-constrained commands like "make it cozy" or "help me sleep better" by executing plans to achieve user goals---e.g., setting a mood with available devices, or devising automation routines. We implement and evaluate Sasha in a hands-on user study, showing the capabilities and limitations of LLM-driven smart homes when faced with unconstrained user-generated scenarios.</t>
  </si>
  <si>
    <t>2024_Mar_013.pdf</t>
  </si>
  <si>
    <t xml:space="preserve">Chen Liu, Zixuan Dong, Li Huang, Wenlong Yan, Xin Wang, Dingyi Fang, and Xiaojiang Chen. 2024. TagSleep3D: RF-based 3D Sleep Posture Skeleton Recognition. Proc. ACM Interact. Mob. Wearable Ubiquitous Technol. 8, 1, Article 13 (March 2024), 28 pages. https://doi.org/10.1145/3643512</t>
  </si>
  <si>
    <t xml:space="preserve">Impinj R420 RFID reader with a fixed frequency of 924.375 MHz, a circularly polarized antenna with a gain of 8 dBi, and a tag array</t>
  </si>
  <si>
    <t xml:space="preserve">Specifically, inspired by the concept of RFID tag sheets, we explore the possibility of recognizing 3D sleep posture by deploying an RFID tag array under the bedsheet. When a user sleeps in bed, the signals of some tags could be blocked or reflected by the sleep posture, which can produce a body imprint. We then propose a novel deep learning model composed of the attention mechanism, convolutional neural network, and together with two data augmentation methods to retrieve the 3D sleep postures by analyzing these body imprints. We evaluate TagSleep3D with 43 users and we totally collect 27,300 sleep posture samples. Our extensive experiments demonstrate that TagSleep3D can recognize each joint on the human skeleton with a median MPJPE (Mean Per Joint Position Error) of 4.76 cm for seen users and 7.58 cm for unseen users.</t>
  </si>
  <si>
    <t>2024_Mar_014.pdf</t>
  </si>
  <si>
    <t xml:space="preserve">Tamanna Motahar and Jason Wiese. 2024. Investigating Technology Adoption Soon After Sustaining a Spinal Cord Injury. Proc. ACM Interact. Mob. Wearable Ubiquitous Technol. 8, 1, Article 14 (March 2024), 24 pages. https://doi.org/10.1145/3643507</t>
  </si>
  <si>
    <t xml:space="preserve">Smarthome environment consisting of e.g. :Smart Lights,Smart Curtains,smart coffee machine and smart water kettle,smart AC, smart TV and Speakers. A Workstation for executing the sasha model is also required.</t>
  </si>
  <si>
    <t xml:space="preserve">Access to GPT-4 und GPT-3.5 via OpenAI's API's, Access to Llama 2 (7B and13B).</t>
  </si>
  <si>
    <t xml:space="preserve">• A system that introduces LLMs to the problem of reasoning in response to user commands in smart spaces.• An empirical study that demonstrates the potential for LLMs to support goal-oriented interactions, whilealso revealing specific patterns of failure that diminish LLMs’ usefulness.• Sasha, a smarter smart home assistant that leverages a novel iterative reasoning process to producehigh-quality action plans in response to under-specified user commands in different smart homes.• A set of evaluations of Sasha that qualitatively and quantitatively validate each step of the iterative reasoningprocess that the system uses to produce action plans.• A real-world implementation and user study of Sasha in a test home that demonstrates the system’s practicalcapabilities when faced with unconstrained, user-generated scenarios.</t>
  </si>
  <si>
    <t>2024_Mar_015.pdf</t>
  </si>
  <si>
    <t xml:space="preserve">Fei Shang, Panlong Yang, Dawei Yan, Sijia Zhang, and Xiang-Yang Li. 2024. LiquImager: Fine-grained Liquid Identification and Container Imaging System with COTS WiFi Devices. Proc. ACM Interact. Mob. Wearable Ubiquitous Technol. 8, 1, Article 15 (March 2024), 29 pages. https://doi.org/10.1145/3643509</t>
  </si>
  <si>
    <t xml:space="preserve">COTS Wifi devices such as Wi-Fi Link 5300 (IWL5300),workstation with Intel Core i7-5550U CPU and 8 GB RAM or similar,</t>
  </si>
  <si>
    <t xml:space="preserve">PicoScenes,Python 3.10 and python modules(Pytorch 2.0 and CUDA 11.8),</t>
  </si>
  <si>
    <t xml:space="preserve">• We design LiquImager, which can use COTS Wi-Fi devices to image centimeter-level containers and identifyliquids regardless of liquid position and container shape. To the best of our knowledge, this is the firstsystem to simultaneously perform material identification and centimeter-scale target imaging using COTSWi-Fi devices, which will provide more possibilities for ubiquitous sensing.• Since the vessel size is similar to the wavelength, diffraction makes the effect of liquid on the signal socomplex that it is difficult to approximate it with simple geometric models (such as classical ray-tracingmodels). Instead, we build an electric field scattering sensing model directly based on Maxwell’s equations,which can more accurately describe the influence of the dielectric properties, position, and size of themedium on the signal. Based on this model, we utilize the received signal to infer the complex permittivitydistribution in the sensing area, which allows us to solve the problem of container imaging and liquid • We design LiquImager, which can use COTS Wi-Fi devices to image centimeter-level containers and identifyliquids regardless of liquid position and container shape. To the best of our knowledge, this is the firstsystem to simultaneously perform material identification and centimeter-scale target imaging using COTSWi-Fi devices, which will provide more possibilities for ubiquitous sensing.• Since the vessel size is similar to the wavelength, diffraction makes the effect of liquid on the signal socomplex that it is difficult to approximate it with simple geometric models (such as classical ray-tracingmodels). Instead, we build an electric field scattering sensing model directly based on Maxwell’s equations,which can more accurately describe the influence of the dielectric properties, position, and size of themedium on the signal. Based on this model, we utilize the received signal to infer the complex permittivitydistribution in the sensing area, which allows us to solve the problem of container imaging and liquid</t>
  </si>
  <si>
    <t>2024_Mar_016.pdf</t>
  </si>
  <si>
    <t xml:space="preserve">Yuqi Su, Fusang Zhang, Kai Niu, Tianben Wang, Beihong Jin, Zhi Wang, Yalan Jiang, Daqing Zhang, Lili Qiu, and Jie Xiong. 2024. Embracing Distributed Acoustic Sensing in Car Cabin for Children Presence Detection. Proc. ACM Interact. Mob. Wearable Ubiquitous Technol. 8, 1, Article 16 (March 2024), 28 pages. https://doi.org/10.1145/3643548</t>
  </si>
  <si>
    <t xml:space="preserve">PXUA216MB-DL2-M/XMOS sound card, laptop, Vehicle</t>
  </si>
  <si>
    <t xml:space="preserve">• We are the first to propose the concept of distributed acoustic sensing, bringing full-coverage sensing tocar cabin platform.• By fully leveraging the unique properties of in-cabin environment, we propose novel designs to enablehighly accurate in-cabin sensing without the need of modifying the existing hardware. Specifically, wepropose to use signal phase for distributed sensing and adopt secondary reflections to address the primaryreflection blockage issue.• We build a real-time child presence detection system without the need for any training. We compareour system with RF-based solutions (e.g., mmWave radar and UWB radar) to demonstrate the superiorperformance of the proposed system in terms of sensing accuracy and sensing coverage. The demo videocan be found at https://youtu.be/dz_eXa41swo.</t>
  </si>
  <si>
    <t>2024_Mar_017.pdf</t>
  </si>
  <si>
    <t xml:space="preserve">Ke Sun, Chunyu Xia, Xinyu Zhang, Hao Chen, and Charlie Jianzhong Zhang. 2024. Multimodal Daily-Life Logging in Free-living Environment Using Non-Visual Egocentric Sensors on a Smartphone. Proc. ACM Interact. Mob. Wearable Ubiquitous Technol. 8, 1, Article 17 (March 2024), 32 pages. https://doi.org/10.1145/3643553</t>
  </si>
  <si>
    <t>https://github.com/Samsonsjarkal/EgoADL</t>
  </si>
  <si>
    <t>https://zenodo.org/records/8248159</t>
  </si>
  <si>
    <t xml:space="preserve">Head-mounted GoPro, Laptop, Smartphone, Wifi-Router(ASUS RT-AC86U)</t>
  </si>
  <si>
    <t xml:space="preserve">self-developed App, Nexmon CSI</t>
  </si>
  <si>
    <t xml:space="preserve">Instruction are very detailled and explain alle Prerequisites, a guide for the installation of the required android app, and an explanation of the required hardware setup.</t>
  </si>
  <si>
    <t xml:space="preserve">• We introduce a new concept of multi-modal egocentric ADL sensing based on non-visual sensors on in-pocketsmartphones. We build a platform for EgoADL sensor data collection and labeling, and establish the dataset • We introduce a new concept of multi-modal egocentric ADL sensing based on non-visual sensors on in-pocketsmartphones. We build a platform for EgoADL sensor data collection and labeling, and establish the dataset</t>
  </si>
  <si>
    <t>2024_Mar_018.pdf</t>
  </si>
  <si>
    <t xml:space="preserve">Naoki Tateyama, Ryota Yokomura, Yuki Ban, Shin'ichi Warisawa, and Rui Fukui. 2024. Planning the Future in a Longer Perspective: Effects of a One-week Forecast of Mental Health. Proc. ACM Interact. Mob. Wearable Ubiquitous Technol. 8, 1, Article 18 (March 2024), 20 pages. https://doi.org/10.1145/3643538</t>
  </si>
  <si>
    <t xml:space="preserve">Smartphones,workstation for running implementations of Long Short-Term Memory (LSTM) and Multilayer Perceptron models.</t>
  </si>
  <si>
    <t xml:space="preserve">Google Calendar API, custom Web-Application for data Collection,</t>
  </si>
  <si>
    <t xml:space="preserve">• The implementation of a one-week mental health forecasting model based on calendar events, which is alonger period than previous studies was realized. The model is incorporated into a web application thatenables users to plan their future actions based on the forecast.• A new mental health indicator called “mental debt” is proposed, which takes into account past situations.This indicator reflects the situation of the previous week in a way that conventional mood indicatorscannot.• A four-week experiment involving 105 participants was conducted to introduce the web application into areal-life setting. The results of a qualitative analysis revealed the effects of the one-week forecast of mentalhealth indicators and factors that prevented the usage of the forecast.</t>
  </si>
  <si>
    <t>2024_Mar_019.pdf</t>
  </si>
  <si>
    <t xml:space="preserve">ML Tlachac, Michael Heinz, Miranda Reisch, and Samuel S. Ogden. 2024. Symptom Detection with Text Message Log Distributions for Holistic Depression and Anxiety Screening. Proc. ACM Interact. Mob. Wearable Ubiquitous Technol. 8, 1, Article 19 (March 2024), 28 pages. https://doi.org/10.1145/3643554</t>
  </si>
  <si>
    <t>https://github.com/mltlachac/SLOTH</t>
  </si>
  <si>
    <t xml:space="preserve">(1) the introduction of a new dataset consisting of text logs with mental health labels,(2) the introduction of two new types of text distribution features to complement reply latency: consecutivemessages and conversation ratio,(3) the comparison of the usefulness of three types of text distribution features in machine learning classifiersfor both mental illness screening and symptom detection, and(4) the proposal of a symptom-level ensemble approach to improve depression and anxiety screening.</t>
  </si>
  <si>
    <t>2024_Mar_020.pdf</t>
  </si>
  <si>
    <t xml:space="preserve">Chongyang Wang, Yuan Feng, Lingxiao Zhong, Siyi Zhu, Chi Zhang, Siqi Zheng, Chen Liang, Yuntao Wang, Chengqi He, Chun Yu, and Yuanchun Shi. 2024. UbiPhysio: Support Daily Functioning, Fitness, and Rehabilitation with Action Understanding and Feedback in Natural Language. Proc. ACM Interact. Mob. Wearable Ubiquitous Technol. 8, 1, Article 20 (March 2024), 27 pages. https://doi.org/10.1145/3643552</t>
  </si>
  <si>
    <t>https://github.com/Mvrjustid/ubiphysio/tree/main</t>
  </si>
  <si>
    <t xml:space="preserve">Python,NLTK-,Rouge-, Pycocoevalcap-, Bert-Score -libraries,ChatGLM2 6B model,Llama 2 7B model,GPT-4 API</t>
  </si>
  <si>
    <t xml:space="preserve">• We introduce UbiPhysio, a milestone framework capable of delivering expert-like action descriptionsin terms of the action type and movement patterns-of-interest in natural language. It further generatespersonalized and professional feedback to improve user engagement and performance.• To enhance the framework, we propose two novel tuning strategies, including the integration of comprehen-sive biomechanical bodily features for precise action quantification and the instruction tuning conditionedby the action type to optimize language output results.• We evaluate the framework with data collected from 43 healthy participants (22 males, 21 females, with anaverage age of 28.125 (std: 8.951)) and 61 participants with chronic lower-back pain (20 males, 41 females,with an average age of 32.582 (std: 10.433)) in a furnished, home-like environment. In addition to usingbenchmark metrics, we conduct a user study with the participants and physios to gain realistic insights onlanguage outputs. Aside from using IMUs for full-body pose estimation by default, we test the frameworkusing pose inputs acquired with a visual system, to demonstrate its potential for real-life deployment.</t>
  </si>
  <si>
    <t>2024_Mar_021.pdf</t>
  </si>
  <si>
    <t xml:space="preserve">Fei Wang, Yizhe Lv, Mengdie Zhu, Han Ding, and Jinsong Han. 2024. XRF55: A Radio Frequency Dataset for Human Indoor Action Analysis. Proc. ACM Interact. Mob. Wearable Ubiquitous Technol. 8, 1, Article 21 (March 2024), 34 pages. https://doi.org/10.1145/3643543</t>
  </si>
  <si>
    <t>https://github.com/aiotgroup/XRF55-repo</t>
  </si>
  <si>
    <t>https://aiotgroup.github.io/XRF55/#</t>
  </si>
  <si>
    <t xml:space="preserve">Cpu or NVIDIA Gpu</t>
  </si>
  <si>
    <t xml:space="preserve">CUDA CuDNN,Python 3.7, Linux</t>
  </si>
  <si>
    <t xml:space="preserve">The Repo is well organized and includes instructions for different intentions. For reproducing the experiments, a detailed tutorial can be found inside the repo.</t>
  </si>
  <si>
    <t xml:space="preserve">(1) We have created and will release a dataset for human indoor action recognition using RF technology. Ourdataset comprises of 23 RFID tags operating at 922.38MHz, 9 Wi-Fi links operating at 5.64GHz, one mmWaveradar operating at 60-64GHz, and one Azure Kinect equipped with RGB+D+IR sensors. XRF55 encompasses 55action classes, with a total of 42,900 valid data samples, amounting to over 59 hours. It is the first RF dataset topossess such a scale of action classes and sample quantity.(2) XRF55 includes 15 human-object interaction actions, 7 human-human interaction actions, 8 fitness actions,14 body motion actions, and 11 human-computer instruction actions. These actions were meticulously selectedfrom 19 RF sensing papers and 16 video action recognition datasets. Each action is chosen to support variousapplications of high practical value, such as elderly fall detection, fatigue monitoring, domestic violence detection, (1) We have created and will release a dataset for human indoor action recognition using RF technology. Ourdataset comprises of 23 RFID tags operating at 922.38MHz, 9 Wi-Fi links operating at 5.64GHz, one mmWaveradar operating at 60-64GHz, and one Azure Kinect equipped with RGB+D+IR sensors. XRF55 encompasses 55action classes, with a total of 42,900 valid data samples, amounting to over 59 hours. It is the first RF dataset topossess such a scale of action classes and sample quantity.(2) XRF55 includes 15 human-object interaction actions, 7 human-human interaction actions, 8 fitness actions,14 body motion actions, and 11 human-computer instruction actions. These actions were meticulously selectedfrom 19 RF sensing papers and 16 video action recognition datasets. Each action is chosen to support variousapplications of high practical value, such as elderly fall detection, fatigue monitoring, domestic violence detection,</t>
  </si>
  <si>
    <t xml:space="preserve">UFace: Your Smartphone Can "Hear" Your Facial Expression!</t>
  </si>
  <si>
    <t>2024_Mar_022.pdf</t>
  </si>
  <si>
    <r>
      <rPr/>
      <t xml:space="preserve">Shuning Wang, Linghui Zhong, Yongjian Fu, Lili Chen, Ju Ren, and Yaoxue Zhang. 2024. UFace: Your Smartphone Can "Hear" Your Facial Expression! Proc. ACM Interact. Mob. Wearable Ubiquitous Technol. 8, 1, Article 22 (March 2024), 27 pages. </t>
    </r>
    <r>
      <rPr>
        <u val="single"/>
        <color rgb="FF1155CC"/>
      </rPr>
      <t>https://doi.org/10.1145/3643546</t>
    </r>
  </si>
  <si>
    <t>https://github.com/Sulingy/UFace</t>
  </si>
  <si>
    <t xml:space="preserve">The Repo is empty.</t>
  </si>
  <si>
    <t xml:space="preserve">Smartphone: Samsung S8 or similar,Server-PC for signal processing,NVIDIA GeForce RTX 2080 Ti or similar,</t>
  </si>
  <si>
    <t xml:space="preserve">DFNet Source Code,Python,Matlab,AdamW Optimizer</t>
  </si>
  <si>
    <t xml:space="preserve">• We present UFace, a long-term, unobtrusive, and reliable acoustic sensing-based system for fine-grainedfacial expression recognition using smartphones that is capable of identifying 7 facial expressions. To thebest of our knowledge, this is the first robust solution for the acoustic-based FER system via smartphones.• We design an expression recognition model with dual-stream input based on the attention mechanism,which can leverage distance-time profiles from various viewpoints to facilitate more accurate identification.• We design a novel reliability detection mechanism to safeguard the system from high flexibility andself-interference issues, advancing UFace one step closer to practical real-life adoption.• We conduct extensive experiments on the commercial smartphone to demonstrate the performance of oursystem. The results show that UFace can recognize 7 typical facial expressions with an average accuracyof 87.8% under 20 participants. Meanwhile, UFace maintains high accuracy in a diversity of real-worldscenarios, such as at various distances, angles, ambient noise, and the presence of finger swipes.</t>
  </si>
  <si>
    <t>2024_Mar_023.pdf</t>
  </si>
  <si>
    <t xml:space="preserve">Yichao Wang, Yili Ren, and Jie Yang. 2024. Multi-Subject 3D Human Mesh Construction Using Commodity WiFi. Proc. ACM Interact. Mob. Wearable Ubiquitous Technol. 8, 1, Article 23 (March 2024), 25 pages. https://doi.org/10.1145/3643504</t>
  </si>
  <si>
    <t xml:space="preserve">WiFi Transmitter and Receivers e.g. DELL Latitude-PC, Intel 5300 NIC's,NVIDIA RTX 3090 GPU or similar for training the deep learning model</t>
  </si>
  <si>
    <t xml:space="preserve">Linux 802.11 CSI Tool,PyTorch,YOLACT framework,DeepSORT framework,Skinned-Multi-Person-Linear (SMPL) framework,ResNet as a feature extractor</t>
  </si>
  <si>
    <t xml:space="preserve">• We design a multi-subject 3D human mesh construction system using commodity WiFi devices, expandingthe applications of WiFi-based human mesh construction from single-subject to multi-subject scenarios.• We propose a multi-subject separation method that leverages the 2D AoA, AoD, and ToF information ofreflected signals to jointly separate subjects who are close to each other and significantly improve theresolvability of WiFi sensing.• We mitigate dynamic interferences by removing indirect reflections. We also distinguish the weak signalsof faraway subjects with the noises to better detect the signal reflections of subjects.• We conduct extensive experiments in various environments. We conduct experiments with occlusionand implement human mesh construction for different distances between subjects and different distancesbetween the subjects and the WiFi devices. These evaluations demonstrate that our system can accuratelyconstruct 3D human meshes for multiple subjects with unseen people and environments.</t>
  </si>
  <si>
    <t>2024_Mar_024.pdf</t>
  </si>
  <si>
    <t xml:space="preserve">Zi Wang, Yilin Wang, and Jie Yang. 2024. EarSlide: a Secure Ear Wearables Biometric Authentication Based on Acoustic Fingerprint. Proc. ACM Interact. Mob. Wearable Ubiquitous Technol. 8, 1, Article 24 (March 2024), 29 pages. https://doi.org/10.1145/3643515</t>
  </si>
  <si>
    <t xml:space="preserve">Microphone Chip,Earbuds,Mobile Phone,PC,</t>
  </si>
  <si>
    <t xml:space="preserve">Matlab,custom Android App for data collection,Siamese Neural Network,</t>
  </si>
  <si>
    <t xml:space="preserve">• We investigate the theory of friction and the acoustic fingerprint. The distinctive acoustic fingerprint’scharacteristics are categorized into three representative classes: pattern-class, ridge-groove-class, and coupling-class. These classes encapsulate the inherent attributes of acoustic fingerprint, offering a unique set ofbiometric features for robust authentication.• We design and implement EarSlide, an acoustic fingerprint based earable authentication system. EarSlidepresents several advantages, including its resilience against spoofing attacks, enhanced user acceptabilityand compatibility, and an adaptable user authentication framework. Leveraging the secure face-ear chan-nel, and the inward-facing microphone on earables, EarSlide not only captures sound waves reliably butalso enhance the security and privacy of users.• We conduct experiments in diverse real-world environments to assess the performance of EarSlide. Ourresults indicate that EarSlide achieves an average balanced accuracy rate of 98.37% in differentiating fin-gerprint. This high accuracy rate shows EarSlide’s potential as a robust, reliable, and secure earable au-thentication system.</t>
  </si>
  <si>
    <t>2024_Mar_025.pdf</t>
  </si>
  <si>
    <t xml:space="preserve">Chongzhi Xu, Xiaolong Zheng, Zhiyuan Ren, Liang Liu, and Huadong Ma. 2024. UHead: Driver Attention Monitoring System Using UWB Radar. Proc. ACM Interact. Mob. Wearable Ubiquitous Technol. 8, 1, Article 25 (March 2024), 28 pages. https://doi.org/10.1145/3643551</t>
  </si>
  <si>
    <t xml:space="preserve">Novelda X4M05 IR-UWB radar, PC,IMU,vehicle</t>
  </si>
  <si>
    <t xml:space="preserve">Python,two-layer Long Short-Term Memory(LSTM) network, </t>
  </si>
  <si>
    <t xml:space="preserve">• We propose UHead, a driver attention monitoring system that uses UWB radar placed on a phone holderin vehicle to detect the head rotation angle to infer the driver attention, which can enable smart in-cabinapplications such as distracted driving monitoring and human-vehicle interaction prediction.• We extract fine-grained accurate head rotation information by removing signal dynamic noise and calculat-ing joint time-frequency representations with high resolution in both time and frequency. We develop anovel head structure-based rotation angle estimation algorithm, which calculates the head rotation anglefrom time-varying rotation information of a certain reflection point.• We conduct extensive experiments to evaluate the performance of the UHead and the effectiveness of thecomponents. The results show that the UHead is effective in estimating the 3D head rotation angle.</t>
  </si>
  <si>
    <t>2024_Mar_026.pdf</t>
  </si>
  <si>
    <t xml:space="preserve">Zhaopeng Xu, Tong Liu, Ruobing Jiang, Pengfei Hu, Zhongwen Guo, and Chao Liu. 2024. AFace: Range-flexible Anti-spoofing Face Authentication via Smartphone Acoustic Sensing. Proc. ACM Interact. Mob. Wearable Ubiquitous Technol. 8, 1, Article 26 (March 2024), 33 pages. https://doi.org/10.1145/3643510</t>
  </si>
  <si>
    <t>https://github.com/ouc-chao-liu/AFace.git</t>
  </si>
  <si>
    <t xml:space="preserve">The Instructions include a general description of the framework's structure. However, instructions about how to run the code are missing.</t>
  </si>
  <si>
    <t xml:space="preserve">• We establish a 3D spoofing-resistant identity authentication system and introduce the first iso-depth modelthat links acoustic echo signals to human facial features.• We present a unique RA algorithm to enhance the system’s versatility, ensuring high accuracy at variousdistances between the smartphone and the user’s face.• Through extensive experiments with 40 participants, the response time of AFace for the registration andauthentication are around 10 seconds and 1 second, respectively. It demonstrates an average accuracyof 96.9 %, the precision of 96.9 % and recall rate of 96.91 %, and no image/video-based attack successfullycompromises the system.</t>
  </si>
  <si>
    <t>2024_Mar_027.pdf</t>
  </si>
  <si>
    <t xml:space="preserve">Albin Zeqiri, Pascal Jansen, Jan Ole Rixen, Michael Rietzler, and Enrico Rukzio. 2024.  'Eco Is Just Marketing': Unraveling Everyday Barriers to the Adoption of Energy-Saving Features in Major Home Appliances. Proc. ACM Interact. Mob. Wearable Ubiquitous Technol. 8, 1, Article 27 (March 2024), 27 pages. https://doi.org/10.1145/3643558</t>
  </si>
  <si>
    <t xml:space="preserve">(1) Insights into a comprehensive analysis of user perspectives on ESFs in major HAs reported in 394 Amazonproduct reviews and 98 Reddit discussions, shedding light on real-world challenges and perceptions.(2) Identification and detailed exploration of six specific barriers that currently prevent ESF adoption, providinga deeper understanding of the underlying reasons for user resistance and skepticism.(3) Insights from an expert focus group (N=5) in which we critically assessed the feasibility of behavior changeinterventions to increase ESF adoption and give an outlook on alternative strategies.</t>
  </si>
  <si>
    <t>2024_Mar_028.pdf</t>
  </si>
  <si>
    <t xml:space="preserve">Lupeng Zhang, Pingchuan Wang, Minhao Cui, Jingwen Wei, Yu Tian, Jingchi Zhang, Jie Xiong, and Lei Wang. 2024. AquaKey: Exploiting the Randomness of the Underwater Visible Light Communication Channel for Key Extraction. Proc. ACM Interact. Mob. Wearable Ubiquitous Technol. 8, 1, Article 28 (March 2024), 25 pages. https://doi.org/10.1145/3643557</t>
  </si>
  <si>
    <t>https://github.com/zerlina0106/VLC_RSS</t>
  </si>
  <si>
    <t xml:space="preserve">VLC_RSS tool and Linux driver for channel probing released.</t>
  </si>
  <si>
    <t xml:space="preserve">No dataset release; results based on real-world experiments in pool, lakes, sea.</t>
  </si>
  <si>
    <t xml:space="preserve">OpenVLC v1.3 on BeagleBone Black with LED/PD and waterproof casing; lenses 15°–90°.</t>
  </si>
  <si>
    <t xml:space="preserve">Linux driver integrated with OpenVLC; PRU firmware on BeagleBone.</t>
  </si>
  <si>
    <t xml:space="preserve">Paper explains TRBP/EMAQ design; repo linked but no runnable reproduction steps.</t>
  </si>
  <si>
    <t xml:space="preserve">Through extensive real-world experiments, we show that AquaKey can achieve reliable key extraction with cheap hardware, generating a 512-bit key in just 0.5-1 seconds.</t>
  </si>
  <si>
    <t>2024_Mar_029.pdf</t>
  </si>
  <si>
    <t xml:space="preserve">Zhihan Zhang, Felix Hähnlein, Yuxuan Mei, Zachary Englhardt, Shwetak Patel, Adriana Schulz, and Vikram Iyer. 2024. DeltaLCA: Comparative Life-Cycle Assessment for Electronics Design. Proc. ACM Interact. Mob. Wearable Ubiquitous Technol. 8, 1, Article 29 (March 2024), 29 pages. https://doi.org/10.1145/3643561</t>
  </si>
  <si>
    <t xml:space="preserve">Open-source tool mentioned; no code link in paper.</t>
  </si>
  <si>
    <t xml:space="preserve">PCB design files used in case studies; no dataset links provided.</t>
  </si>
  <si>
    <t xml:space="preserve">No special hardware; software tool on a laptop.</t>
  </si>
  <si>
    <t xml:space="preserve">GaBi LCA software used for baseline full LCAs; DeltaLCA itself uses Python/tkinter.</t>
  </si>
  <si>
    <t xml:space="preserve">No runnable repository or step-by-step run instructions.</t>
  </si>
  <si>
    <t xml:space="preserve">We show through case studies DeltaLCA achieves the same result as evaluating full LCAs, and that it accelerates LCA comparisons from eight expert-hours to a single click for devices with ~30 components, and 15 minutes for more complex devices with ~100 components.</t>
  </si>
  <si>
    <t>2024_Mar_030.pdf</t>
  </si>
  <si>
    <t xml:space="preserve">Langcheng Zhao, Rui Lyu, Qi Lin, Anfu Zhou, Huanhuan Zhang, Huadong Ma, Jingjia Wang, Chunli Shao, and Yida Tang. 2024. MmArrhythmia: Contactless Arrhythmia Detection via mmWave Sensing. Proc. ACM Interact. Mob. Wearable Ubiquitous Technol. 8, 1, Article 30 (March 2024), 25 pages. https://doi.org/10.1145/3643549</t>
  </si>
  <si>
    <t xml:space="preserve">20-participant mmWave+ECG clinical dataset; no release or link.</t>
  </si>
  <si>
    <t xml:space="preserve">TI IWR1443BOOST mmWave radar with DCA1000EVM; CarePulse ECG patch for ground truth.</t>
  </si>
  <si>
    <t xml:space="preserve">TI mmWave Studio for radar config/capture; CarePulse ECG Pro for labeling; PyTorch/NumPy/SciPy used.</t>
  </si>
  <si>
    <t xml:space="preserve">Paper reports settings and parameters but no runnable repo or step-by-step reproduction.</t>
  </si>
  <si>
    <t xml:space="preserve">Empirical evaluation over 79,910 heartbeats demonstrates mmArrhythmia’s ability of robust arrhythmia detection, with 97.32% accuracy, 98.63% specificity, and 92.30% sensitivity.</t>
  </si>
  <si>
    <t>2024_Mar_031.pdf</t>
  </si>
  <si>
    <t xml:space="preserve">Xuhai Xu, Bingsheng Yao, Yuanzhe Dong, Saadia Gabriel, Hong Yu, James Hendler, Marzyeh Ghassemi, Anind K. Dey, and Dakuo Wang. 2024. Mental-LLM: Leveraging Large Language Models for Mental Health Prediction via Online Text Data. Proc. ACM Interact. Mob. Wearable Ubiquitous Technol. 8, 1, Article 31 (March 2024), 32 pages. https://doi.org/10.1145/3643540</t>
  </si>
  <si>
    <t>https://github.com/neuhai/Mental-LLM</t>
  </si>
  <si>
    <t xml:space="preserve">Authors release code and finetuned models (Mental-Alpaca, Mental-FLAN-T5).</t>
  </si>
  <si>
    <t xml:space="preserve">Uses multiple Reddit/Twitter/SMS datasets cited in text; no download links provided in paper.</t>
  </si>
  <si>
    <t xml:space="preserve">Experiments run on 8 Nvidia A100 GPUs; finetuning on eight A100 GPUs.</t>
  </si>
  <si>
    <t xml:space="preserve">Requires OpenAI API access for GPT-3.5/GPT-4 baselines; other models use open-source frameworks.</t>
  </si>
  <si>
    <t xml:space="preserve">Paper details prompts, datasets, and training setup but no step-by-step run instructions.</t>
  </si>
  <si>
    <t xml:space="preserve">Our best-finetuned models, Mental-Alpaca and Mental-FLAN-T5, outperform the best prompt design of GPT-3.5 (25 and 15 times bigger) by 10.9% on balanced accuracy and the best of GPT-4 (250 and 150 times bigger) by 4.8%.</t>
  </si>
  <si>
    <t>2024_Mar_032.pdf</t>
  </si>
  <si>
    <t xml:space="preserve">Sarah Andrew, Chelsea Bishop, and Garreth W. Tigwell. 2024. Light and Dark Mode: A Comparison Between Android and iOS App UI Modes and Interviews with App Designers and Developers. Proc. ACM Interact. Mob. Wearable Ubiquitous Technol. 8, 1, Article 32 (March 2024), 23 pages. https://doi.org/10.1145/3643539</t>
  </si>
  <si>
    <t>2024_Mar_033.pdf</t>
  </si>
  <si>
    <t xml:space="preserve">Tianshi Li, Lorrie Faith Cranor, Yuvraj Agarwal, and Jason I. Hong. 2024. Matcha: An IDE Plugin for Creating Accurate Privacy Nutrition Labels. Proc. ACM Interact. Mob. Wearable Ubiquitous Technol. 8, 1, Article 33 (March 2024), 38 pages. https://doi.org/10.1145/3643544</t>
  </si>
  <si>
    <t>https://matcha-ide.github.io</t>
  </si>
  <si>
    <t xml:space="preserve">Plugin and source code available at project site.</t>
  </si>
  <si>
    <t xml:space="preserve">User study data not released.</t>
  </si>
  <si>
    <t xml:space="preserve">Android Studio plugin; no proprietary software required.</t>
  </si>
  <si>
    <t xml:space="preserve">Paper describes five-step workflow and usage; no end-to-end install/run steps provided.</t>
  </si>
  <si>
    <t xml:space="preserve">Drawing on Matcha, we discuss general design recommendations for developer tools used to create accurate standardized privacy notices.</t>
  </si>
  <si>
    <t>2024_Mar_034.pdf</t>
  </si>
  <si>
    <t xml:space="preserve">Eunsol Sol Choi and Younah Kang. 2024. A Multi-sensory Kiosk Interface to Familiarize Users with New Foods. Proc. ACM Interact. Mob. Wearable Ubiquitous Technol. 8, 1, Article 34 (March 2024), 26 pages. https://doi.org/10.1145/3643545</t>
  </si>
  <si>
    <t xml:space="preserve">No code repository or link provided.</t>
  </si>
  <si>
    <t xml:space="preserve">Questionnaire and interview data collected from 83 participants; no dataset release.</t>
  </si>
  <si>
    <t xml:space="preserve">Kiosk with embedded speakers, Arduino humidifier module, tactile buttons, fragrance oils.</t>
  </si>
  <si>
    <t xml:space="preserve">Framer for UI; Adobe Audition for audio; XLSTAT and Atlas.ti for analysis.</t>
  </si>
  <si>
    <t xml:space="preserve">High-level build details (e.g., Arduino humidifier, tactile buttons) but no end-to-end steps.</t>
  </si>
  <si>
    <t xml:space="preserve">These findings suggest that technology that integrates sensory exposure into daily life can effectively educate and familiarize people with novel food products.</t>
  </si>
  <si>
    <t>2024_Mar_035.pdf</t>
  </si>
  <si>
    <t xml:space="preserve">Hanhui Deng, Jianan Jiang, Zhiwang Yu, Jinhui Ouyang, and Di Wu. 2024. CrossGAI: A Cross-Device Generative AI Framework for Collaborative Fashion Design. Proc. ACM Interact. Mob. Wearable Ubiquitous Technol. 8, 1, Article 35 (March 2024), 27 pages. https://doi.org/10.1145/3643542</t>
  </si>
  <si>
    <t xml:space="preserve">QMUL-Shoe-V2 cited; self-collected and crawled data; no downloads provided.</t>
  </si>
  <si>
    <t xml:space="preserve">Server uses NVIDIA RTX4090 GPU; client devices include laptops, tablets, large screen; LAN deployment.</t>
  </si>
  <si>
    <t xml:space="preserve">Webstrates, Docker, Django, MySQL, PyTorch described; all public/open.</t>
  </si>
  <si>
    <t xml:space="preserve">System/training details only; no runnable repo or step-by-step setup.</t>
  </si>
  <si>
    <t xml:space="preserve">Furthermore, the qualitative analysis on user experience and work quality demonstrates the efficiency and effectiveness of CrossGAI system in design work.</t>
  </si>
  <si>
    <t>2024_Mar_036.pdf</t>
  </si>
  <si>
    <t xml:space="preserve">Sudershan Boovaraghavan, Haozhe Zhou, Mayank Goel, and Yuvraj Agarwal. 2024. Kirigami: Lightweight Speech Filtering for Privacy-Preserving Activity Recognition using Audio. Proc. ACM Interact. Mob. Wearable Ubiquitous Technol. 8, 1, Article 36 (March 2024), 28 pages. https://doi.org/10.1145/3643502</t>
  </si>
  <si>
    <t>www.github.com/synergylabs/kirigami</t>
  </si>
  <si>
    <t xml:space="preserve">GitHub link provided in paper.</t>
  </si>
  <si>
    <t xml:space="preserve">Uses public dataset; TIMIT, ESC-50, and MS-SNSD; no new dataset released.</t>
  </si>
  <si>
    <t xml:space="preserve">Microphones and an ARM Cortex-M4F microcontroller plus a laptop used for evaluation.</t>
  </si>
  <si>
    <t xml:space="preserve">Open-source toolkits (SpeechBrain, Whisper, Wav2Vec, AST) mentioned; no proprietary software required.</t>
  </si>
  <si>
    <t xml:space="preserve">PDF references a GitHub repo but includes no full end-to-end run steps.</t>
  </si>
  <si>
    <t xml:space="preserve">Finally, we conducted a real-world user study and showed the robustness of Kirigami on a laptop and an ARM Cortex-M4F microcontroller under three different background noises.</t>
  </si>
  <si>
    <t>2024_Mar_037.pdf</t>
  </si>
  <si>
    <t xml:space="preserve">Maryam Khalid, Elizabeth B. Klerman, Andrew W. McHill, Andrew J. K. Phillips, and Akane Sano. 2024. SleepNet: Attention-Enhanced Robust Sleep Prediction using Dynamic Social Networks. Proc. ACM Interact. Mob. Wearable Ubiquitous Technol. 8, 1, Article 37 (March 2024), 34 pages. https://doi.org/10.1145/3643508</t>
  </si>
  <si>
    <t>https://github.com/comp-well-org/SPAND_Dataset.git</t>
  </si>
  <si>
    <t xml:space="preserve">Processed features, labels, and dynamic graphs released; raw data not public.</t>
  </si>
  <si>
    <t xml:space="preserve">Q-sensor wearable and Android phones used for data collection; not needed when using released dataset.</t>
  </si>
  <si>
    <t xml:space="preserve">Neural network (GCN/GAT-LSTM) implementation needed; framework not specified.</t>
  </si>
  <si>
    <t xml:space="preserve">Further analyses emphasize the significance of network topology in prediction performance revealing that users with higher eigenvalue centrality are more vulnerable to data perturbations.</t>
  </si>
  <si>
    <t>2024_Mar_038.pdf</t>
  </si>
  <si>
    <t xml:space="preserve">Subigya Nepal, Wenjun Liu, Arvind Pillai, Weichen Wang, Vlado Vojdanovski, Jeremy F. Huckins, Courtney Rogers, Meghan L. Meyer, and Andrew T. Campbell. 2024. Capturing the College Experience: A Four-Year Mobile Sensing Study of Mental Health, Resilience and Behavior of College Students during the Pandemic. Proc. ACM Interact. Mob. Wearable Ubiquitous Technol. 8, 1, Article 38 (March 2024), 37 pages. https://doi.org/10.1145/3643501</t>
  </si>
  <si>
    <t>https://www.kaggle.com/datasets/subigyanepal/college-experience-dataset</t>
  </si>
  <si>
    <t xml:space="preserve">Public de-identified dataset released on Kaggle.</t>
  </si>
  <si>
    <t xml:space="preserve">Smartphones (Android/iOS) with a mobile sensing app for passive sensing and EMAs.</t>
  </si>
  <si>
    <t xml:space="preserve">StudentLife-style mobile sensing app used for data collection; analysis tools not released.</t>
  </si>
  <si>
    <t xml:space="preserve">Paper provides dataset link but no runnable code or step-by-step reproduction.</t>
  </si>
  <si>
    <t xml:space="preserve">We also detail the public release of the de-identified College Experience Study dataset used in this paper and discuss a number of open research questions that could be studied using the public dataset.</t>
  </si>
  <si>
    <t>2024_Mar_039.pdf</t>
  </si>
  <si>
    <t xml:space="preserve">Biyun Sheng, Rui Han, Fu Xiao, Zhengxin Guo, and Linqing Gui. 2024. MetaFormer: Domain-Adaptive WiFi Sensing with Only One Labelled Target Sample. Proc. ACM Interact. Mob. Wearable Ubiquitous Technol. 8, 1, Article 39 (March 2024), 27 pages. https://doi.org/10.1145/3643550</t>
  </si>
  <si>
    <t xml:space="preserve">Uses public datasets SignFi, Widar 3.0, and Wiar; no new dataset released.</t>
  </si>
  <si>
    <t xml:space="preserve">WiFi device with 1 Tx and 3 Rx antennas; commodity WiFi transceivers.</t>
  </si>
  <si>
    <t xml:space="preserve">No runnable repository or step-by-step instructions.</t>
  </si>
  <si>
    <t xml:space="preserve">In order to validate the performance of MetaFormer, we conduct comprehensive evaluations on SignFi, Widar and Wiar datasets and achieve superior performances under the one-shot case.</t>
  </si>
  <si>
    <t>2024_Mar_040.pdf</t>
  </si>
  <si>
    <t xml:space="preserve">Judith Ley-Flores, Laia Turmo Vidal, Elena Márquez Segura, Aneesha Singh, Frederic Bevilacqua, Francisco Cuadrado, Joaquín Roberto Díaz Durán, Omar Valdiviezo-Hernández, Milagrosa Sánchez-Martin, and Ana Tajadura-Jiménez. 2024. Co-Designing Sensory Feedback for Wearables to Support Physical Activity through Body Sensations. Proc. ACM Interact. Mob. Wearable Ubiquitous Technol. 8, 1, Article 40 (March 2024), 31 pages. https://doi.org/10.1145/3643499</t>
  </si>
  <si>
    <t>2024_Mar_041.pdf</t>
  </si>
  <si>
    <t xml:space="preserve">Xiaochen Li, Sicong Liu, Zimu Zhou, Bin Guo, Yuan Xu, and Zhiwen Yu. 2024. EchoPFL: Asynchronous Personalized Federated Learning on Mobile Devices with On-Demand Staleness Control. Proc. ACM Interact. Mob. Wearable Ubiquitous Technol. 8, 1, Article 41 (March 2024), 22 pages. https://doi.org/10.1145/3643560</t>
  </si>
  <si>
    <t xml:space="preserve">Uses CIFAR-10, HAR-UCI, and Ubisound (public) plus a private 15,000-image dataset; no download links given.</t>
  </si>
  <si>
    <t xml:space="preserve">Two RTX 3080 GPUs on server; 20 mobile devices including Jetson Nano/NX/Orin/AGX and Raspberry Pi 4 clients.</t>
  </si>
  <si>
    <t xml:space="preserve">Implemented with Python 3.7 and PyTorch 1.10.</t>
  </si>
  <si>
    <t xml:space="preserve">No runnable repository or step-by-step reproduction instructions.</t>
  </si>
  <si>
    <t xml:space="preserve">Experiments show that compared to status quo approaches, EchoPFL achieves a reduction of up to 88.2% in convergence time, an improvement of up to 46% in accuracy, and a decrease of 37% in communication costs.</t>
  </si>
  <si>
    <t>2023_Dec_146.pdf</t>
  </si>
  <si>
    <t xml:space="preserve">Rishiraj Adhikary, Maite Sadeh, Nipun Batra, and Mayank Goel. 2024. JoulesEye: Energy Expenditure Estimation and Respiration Sensing from Thermal Imagery While Exercising. Proc. ACM Interact. Mob. Wearable Ubiquitous Technol. 7, 4, Article 146 (December 2023), 29 pages. https://doi.org/10.1145/3631422</t>
  </si>
  <si>
    <t>https://github.com/rishi-a/JoulesEye-Release</t>
  </si>
  <si>
    <t xml:space="preserve">repository empty besides short readme and image</t>
  </si>
  <si>
    <t xml:space="preserve">FLIR One Pro smartphone attachment thermal imaging camera, wristband prototype</t>
  </si>
  <si>
    <t xml:space="preserve">In this work, we present JoulesEye, a smartphone thermal camera-based system that can accurately estimate calorie burn by monitoring respiration rate. We evaluated JoulesEye on 54 participants who performed high intensity cycling and running. The mean absolute percentage error (MAPE) of JoulesEye was 5.8%, which is significantly better than the MAPE of 37.6% observed with commercial smartwatch-based methods that only use heart rate.</t>
  </si>
  <si>
    <t>2023_Dec_147.pdf</t>
  </si>
  <si>
    <t xml:space="preserve">Luca Arrotta, Gabriele Civitarese, and Claudio Bettini. 2024. Semantic Loss: A New Neuro-Symbolic Approach for Context-Aware Human Activity Recognition. Proc. ACM Interact. Mob. Wearable Ubiquitous Technol. 7, 4, Article 147 (December 2023), 29 pages. https://doi.org/10.1145/3631407</t>
  </si>
  <si>
    <t xml:space="preserve">public datasets used and cited</t>
  </si>
  <si>
    <t xml:space="preserve">We performed an extensive evaluation on scripted and in-the-wild datasets, comparing our solution with two existing NeSy methods that require symbolic reasoning during classification. Our results show that, especially considering in-the-wild settings, our semantic loss reaches recognition rates that are often close (and sometimes better) than the ones of the other approaches. Moreover, our semantic loss is significantly more robust to noisy data with respect to the other approache</t>
  </si>
  <si>
    <t>2023_Dec_148.pdf</t>
  </si>
  <si>
    <t xml:space="preserve">Yang Bai, Irtaza Shahid, Harshvardhan Takawale, and Nirupam Roy. 2024. Scribe: Simultaneous Voice and Handwriting Interface. Proc. ACM Interact. Mob. Wearable Ubiquitous Technol. 7, 4, Article 148 (December 2023), 31 pages. https://doi.org/10.1145/3631411</t>
  </si>
  <si>
    <t xml:space="preserve">7-microphone array, wo low-cost($0.5) ultrasound speakers, Keysight 33500B function generator</t>
  </si>
  <si>
    <t xml:space="preserve">Scribe prototype achieves 73 𝜇m of median error for 1D ranging and 1.4 mm of median error in 3D tracking of an acoustic beacon using the microphone array used in voice assistants. Our implementation of an in-air handwriting interface achieves 94.1% accuracy with automatic handwriting-to-text software, similar to writing on paper (96.6%). At the same time, the error rate of voice-based user authentication only increases from 6.26% to 8.28%.</t>
  </si>
  <si>
    <t>2023_Dec_149.pdf</t>
  </si>
  <si>
    <t xml:space="preserve">Liqiong Chang, Xiaofeng Yang, Ruyue Liu, Guodong Xie, Fuwei Wang, and Ju Wang. 2024. FSS-Tag: High Accuracy Material Identification System Based On Frequency Selective Surface Tag. Proc. ACM Interact. Mob. Wearable Ubiquitous Technol. 7, 4, Article 149 (December 2023), 24 pages. https://doi.org/10.1145/3631457</t>
  </si>
  <si>
    <t xml:space="preserve">fss-tag prototype, USRP2954 trans receiver</t>
  </si>
  <si>
    <t xml:space="preserve">Real-world experiments show that FSS-Tag achieves more than 91% accuracy on identifying eight common materials, and improves the accuracy by up to 38% and 8% compared with the state of the art (SOTA) penetrating signal based method TagScan and the SOTA coupling effect based method Tagtag.</t>
  </si>
  <si>
    <t>2023_Dec_150.pdf</t>
  </si>
  <si>
    <t xml:space="preserve">Dongyao Chen, Qing Luo, Xiaomeng Chen, Xinbing Wang, and Chenghu Zhou. 2024. MagDot: Drift-free, Wearable Joint Angle Tracking at Low Cost. Proc. ACM Interact. Mob. Wearable Ubiquitous Technol. 7, 4, Article 150 (December 2023), 25 pages. https://doi.org/10.1145/3631423</t>
  </si>
  <si>
    <t xml:space="preserve">sensor array, data processing circuits, an integrated magnet, and a 3D-printed holder, Arqus A12 cameras</t>
  </si>
  <si>
    <t xml:space="preserve">Visual 3D software</t>
  </si>
  <si>
    <t xml:space="preserve">MagDot employs a novel tracking scheme that compensates for various real-world impacts, achieving high tracking accuracy. We tested MagDot on eight participants with a professional motion capture system, i.e., Qualisys motion capture system with nine Arqus A12 cameras. The results indicate MagDot can accurately track major body joints. For example, MagDot can achieve tracking accuracy of 2.72◦ , 4.14◦ , and 4.61◦ for elbow, knee, and shoulder, respectively. With a power consumption of only 98 𝑚𝑊 , MagDot can support one-day usage with a small battery pack.</t>
  </si>
  <si>
    <t>2023_Dec_151.pdf</t>
  </si>
  <si>
    <t xml:space="preserve">Wenqiang Chen, Yexin Hu, Wei Song, Yingcheng Liu, Antonio Torralba, and Wojciech Matusik. 2024. CAvatar: Real-time Human Activity Mesh Reconstruction via Tactile Carpets. Proc. ACM Interact. Mob. Wearable Ubiquitous Technol. 7, 4, Article 151 (December 2023), 24 pages. https://doi.org/10.1145/3631424</t>
  </si>
  <si>
    <t>https://www.dropbox.com/sh/5l0lm4po64xf6jd/AACuMt_oGy99Beyz_IMeknQ6a?dl=0</t>
  </si>
  <si>
    <t xml:space="preserve">public dataset</t>
  </si>
  <si>
    <t xml:space="preserve">Our model demonstrates promising results, with a mean per joint position error (MPJPE) of 5.89 cm and a per vertex error (PVE) of 6.88 cm. To the best of our knowledge, we are the first to generate 3D mesh of human activities solely using tactile carpet signals, offering a novel approach that addresses privacy concerns and surpasses the limitations of existing vision-based and wearable solutions.</t>
  </si>
  <si>
    <t>2023_Dec_152.pdf</t>
  </si>
  <si>
    <t xml:space="preserve">Wen-Wei Cheng and Liwei Chan. 2024. BodyTouch: Investigating Eye-Free, On-Body and Near-Body Touch Interactions with HMDs. Proc. ACM Interact. Mob. Wearable Ubiquitous Technol. 7, 4, Article 152 (December 2023), 22 pages. https://doi.org/10.1145/3631426</t>
  </si>
  <si>
    <t>2023_Dec_153.pdf</t>
  </si>
  <si>
    <t xml:space="preserve">Mark Colley, Oliver Speidel, Jan Strohbeck, Jan Ole Rixen, Jan Henry Belz, and Enrico Rukzio. 2024. Effects of Uncertain Trajectory Prediction Visualization in Highly Automated Vehicles on Trust, Situation Awareness, and Cognitive Load. Proc. ACM Interact. Mob. Wearable Ubiquitous Technol. 7, 4, Article 153 (December 2023), 23 pages. https://doi.org/10.1145/3631408</t>
  </si>
  <si>
    <t>2023_Dec_154.pdf</t>
  </si>
  <si>
    <t xml:space="preserve">Mayara Costa Figueiredo, Elizabeth Ankrah, Jacquelyn E. Powell, Daniel A. Epstein, and Yunan Chen. 2024. Powered by AI: Examining How AI Descriptions Influence Perceptions of Fertility Tracking Applications. Proc. ACM Interact. Mob. Wearable Ubiquitous Technol. 7, 4, Article 154 (December 2023), 24 pages. https://doi.org/10.1145/3631414</t>
  </si>
  <si>
    <t>2023_Dec_155.pdf</t>
  </si>
  <si>
    <t xml:space="preserve">Joshua Dawson, K. Jens Phanich, and Jason Wiese. 2024. Reenvisioning Patient Education with Smart Hospital Patient Rooms. Proc. ACM Interact. Mob. Wearable Ubiquitous Technol. 7, 4, Article 155 (December 2023), 23 pages. https://doi.org/10.1145/3631419</t>
  </si>
  <si>
    <t>2023_Dec_156.pdf</t>
  </si>
  <si>
    <t xml:space="preserve">Berken Utku Demirel, Ting Dang, Khaldoon Al-Naimi, Fahim Kawsar, and Alessandro Montanari. 2024. Unobtrusive Air Leakage Estimation for Earables with In-ear Microphones. Proc. ACM Interact. Mob. Wearable Ubiquitous Technol. 7, 4, Article 156 (December 2023), 29 pages. https://doi.org/10.1145/3631405</t>
  </si>
  <si>
    <t xml:space="preserve">HTC Usonic USB Type C (10$),LSM6DSRX IMU, MAXM8616, ADAU1787 Analog Devices DSP demo board, Raspberry Pi</t>
  </si>
  <si>
    <t xml:space="preserve">The proposed method aims to estimate the magnitude of distortions, reflections, and external noise in the ear canal while excluding the speaker output by learning the speaker-to-microphone transfer function which allows us to perform the task unobtrusively. Using the obtained residual signal in the ear canal, we extract three features and deploy a machine-learning model for estimating the air leakage level. We investigated our system under various conditions to validate its robustness and resilience against the motion and other artefacts. Our extensive experimental evaluation shows that the proposed method can track air leakage levels under different daily activities.</t>
  </si>
  <si>
    <t>2023_Dec_157.pdf</t>
  </si>
  <si>
    <t xml:space="preserve">Yasmine Djebrouni, Nawel Benarba, Ousmane Touat, Pasquale De Rosa, Sara Bouchenak, Angela Bonifati, Pascal Felber, Vania Marangozova, and Valerio Schiavoni. 2024. Bias Mitigation in Federated Learning for Edge Computing. Proc. ACM Interact. Mob. Wearable Ubiquitous Technol. 7, 4, Article 157 (December 2023), 35 pages. https://doi.org/10.1145/3631455</t>
  </si>
  <si>
    <t>https://github.com/FL-Bias/ASTRAL</t>
  </si>
  <si>
    <t xml:space="preserve">instructions in repo including environment setup</t>
  </si>
  <si>
    <t xml:space="preserve">Our comprehensive evaluation on seven real-world datasets with three popular bias metrics shows that Astral outperforms state-of-the-art FL bias mitigation techniques in terms of bias mitigation and model accuracy. Moreover, we show that Astral is robust against data heterogeneity and scalable in terms of data size and number of FL clients.</t>
  </si>
  <si>
    <t>2023_Dec_158.pdf</t>
  </si>
  <si>
    <t xml:space="preserve">Di Duan, Yongliang Chen, Weitao Xu, and Tianxing Li. 2024. EarSE: Bringing Robust Speech Enhancement to COTS Headphones. Proc. ACM Interact. Mob. Wearable Ubiquitous Technol. 7, 4, Article 158 (December 2023), 33 pages. https://doi.org/10.1145/3631447</t>
  </si>
  <si>
    <t xml:space="preserve">COTS headphones, auxiliary spacers</t>
  </si>
  <si>
    <t xml:space="preserve">Extensive experiments demonstrate that EarSE achieves remarkable performance as increasing SiSDR by 14.61 dB and reducing the word error rate of user speech recognition by 22.45–66.41% in real-world application. EarSE not only outperforms seven baselines by 38.0% in SiSNR, 12.4% in STOI, and 20.5% in PESQ on average but also maintains practicality.</t>
  </si>
  <si>
    <t>2023_Dec_159.pdf</t>
  </si>
  <si>
    <t xml:space="preserve">Wen Ge, Guanyi Mou, Emmanuel O. Agu, and Kyumin Lee. 2024. Deep Heterogeneous Contrastive Hyper-Graph Learning for In-the-Wild Context-Aware Human Activity Recognition. Proc. ACM Interact. Mob. Wearable Ubiquitous Technol. 7, 4, Article 159 (December 2023), 23 pages. https://doi.org/10.1145/3631444</t>
  </si>
  <si>
    <t>https://github.com/GMouYes/DHC_HGL</t>
  </si>
  <si>
    <t xml:space="preserve">public datasets, not owned so only sample data in the code repo</t>
  </si>
  <si>
    <t xml:space="preserve">bash script to run code and requirements txt</t>
  </si>
  <si>
    <t xml:space="preserve">In rigorous evaluation on two CA-HAR datasets, DHC-HGL significantly outperformed state-of-the-art baselines by 5.8% to 16.7% on Matthews Correlation Coefficient (MCC) and 3.0% to 8.4% on Macro F1 scores. UMAP visualizations of learned CA-HAR node embeddings are also presented to enhance model explainability.</t>
  </si>
  <si>
    <t>2023_Dec_160.pdf</t>
  </si>
  <si>
    <t xml:space="preserve">Yangyang Gu, Jing Chen, Cong Wu, Kun He, Ziming Zhao, and Ruiying Du. 2024. LocCams: An Efficient and Robust Approach for Detecting and Localizing Hidden Wireless Cameras via Commodity Devices. Proc. ACM Interact. Mob. Wearable Ubiquitous Technol. 7, 4, Article 160 (December 2023), 24 pages. https://doi.org/10.1145/3631432</t>
  </si>
  <si>
    <t xml:space="preserve">We evaluate the performance of LocCams using nine wireless cameras in eight different rooms under various conditions, including different users, distances, initial positions, and camera heights. The results demonstrate that LocCams achieves an overall accuracy of 95.12% for localizing different cameras and can localize a hidden camera within a room within 30 seconds of detection, even when the camera and room data are not part of the training dataset.</t>
  </si>
  <si>
    <t>2023_Dec_161.pdf</t>
  </si>
  <si>
    <t xml:space="preserve">Ke He, Chentao Li, Yongjie Duan, Jianjiang Feng, and Jie Zhou. 2024. TrackPose: Towards Stable and User Adaptive Finger Pose Estimation on Capacitive Touchscreens. Proc. ACM Interact. Mob. Wearable Ubiquitous Technol. 7, 4, Article 161 (December 2023), 22 pages. https://doi.org/10.1145/3631459</t>
  </si>
  <si>
    <t xml:space="preserve">The combination of the three measures mentioned above has resulted in a 33% reduction in the angle estimation error, 47% for the yaw angle especially. Additionally, the instability of sequential estimations, measured by the proposed metric 𝑀𝐴𝐸 Δ , is reduced by 62%. User study further confirms the effectiveness of our proposed algorithm.</t>
  </si>
  <si>
    <t>2023_Dec_162.pdf</t>
  </si>
  <si>
    <t xml:space="preserve">Xincheng Huang and Robert Xiao. 2024. SurfShare: Lightweight Spatially Consistent Physical Surface and Virtual Replica Sharing with Head-mounted Mixed-Reality. Proc. ACM Interact. Mob. Wearable Ubiquitous Technol. 7, 4, Article 162 (December 2023), 24 pages. https://doi.org/10.1145/3631418</t>
  </si>
  <si>
    <t>https://github.com/UBC-X-Lab/SurfShare</t>
  </si>
  <si>
    <t xml:space="preserve">Two Microsoft HoloLens 2 + a computer serving as the server</t>
  </si>
  <si>
    <t xml:space="preserve">Microsoft Mixed Reality Web-RTC, Unity Mirror</t>
  </si>
  <si>
    <t xml:space="preserve">hardware + software dependencies; "More details for the software configuration will be provided soon."</t>
  </si>
  <si>
    <t xml:space="preserve">Our system is lightweight, implemented using only the capabilities of the headset, without requiring any modifications to the environment (e.g. cameras or motion tracking hardware). We discuss the design, implementation, and interaction capabilities of our prototype, and demonstrate the utility of SurfShare through four example applications. In a user experiment with a comprehensive prototyping task, we found that SurfShare provides a physical-virtual workspace that supports low-fi prototyping with flexible proxemics and fluid collaboration dynamics.</t>
  </si>
  <si>
    <t>2023_Dec_163.pdf</t>
  </si>
  <si>
    <t xml:space="preserve">Dong-Sig Kang, Eunsu Baek, Sungwook Son, Youngki Lee, Taesik Gong, and Hyung-Sin Kim. 2024. MIRROR: Towards Generalizable On-Device Video Virtual Try-On for Mobile Shopping. Proc. ACM Interact. Mob. Wearable Ubiquitous Technol. 7, 4, Article 163 (December 2023), 27 pages. https://doi.org/10.1145/3631420</t>
  </si>
  <si>
    <t>https://github.com/Ds-Kang/MIRROR</t>
  </si>
  <si>
    <t xml:space="preserve">public VITON dataset used</t>
  </si>
  <si>
    <t xml:space="preserve">android smartphone</t>
  </si>
  <si>
    <t xml:space="preserve">environment setup and instructions how to run, and data setup</t>
  </si>
  <si>
    <t xml:space="preserve">Our results on Android smartphones and real-world user videos show that compared to a cutting-edge VTO GAN, MIRROR achieves 6.5× better accuracy with 20.1× faster video conversion and 16.9× less energy consumption.</t>
  </si>
  <si>
    <t>2023_Dec_164.pdf</t>
  </si>
  <si>
    <t xml:space="preserve">Hua Kang, Qingyong Hu, and Qian Zhang. 2024. SF-Adapter: Computational-Efficient Source-Free Domain Adaptation for Human Activity Recognition. Proc. ACM Interact. Mob. Wearable Ubiquitous Technol. 7, 4, Article 164 (December 2023), 23 pages. https://doi.org/10.1145/3631428</t>
  </si>
  <si>
    <t xml:space="preserve">three public datasets are cited</t>
  </si>
  <si>
    <t xml:space="preserve">We propose a lightweight adapter architecture that can be integrated into the frozen source model for adaptation. We leverage representation similarity to design the optimization objective and develop several selective sample optimization strategies to further improve sample efficiency. Our method requires updating only about 1% of the original network parameter size and saves up to 4.99X memory cost, making it suitable for wearable sensor data with limited storage and computational resources.</t>
  </si>
  <si>
    <t>2023_Dec_165.pdf</t>
  </si>
  <si>
    <t xml:space="preserve">Anjali Khurana, Michael Glueck, and Parmit K. Chilana. 2024. Do I Just Tap My Headset? How Novice Users Discover Gestural Interactions with Consumer Augmented Reality Applications. Proc. ACM Interact. Mob. Wearable Ubiquitous Technol. 7, 4, Article 165 (December 2023), 28 pages. https://doi.org/10.1145/3631451</t>
  </si>
  <si>
    <t>2023_Dec_166.pdf</t>
  </si>
  <si>
    <t xml:space="preserve">Chi-Jung Lee, David Yang, Pin-Sung Ku, and Hsin-Liu Cindy Kao. 2024. SweatSkin: Rapidly Prototyping Sweat-Sensing On-Skin Interface Based on Microfluidics. Proc. ACM Interact. Mob. Wearable Ubiquitous Technol. 7, 4, Article 166 (December 2023), 30 pages. https://doi.org/10.1145/3631425</t>
  </si>
  <si>
    <t xml:space="preserve">Although custom software was utilized for device customization, it does not constitute a proprietary dependency.</t>
  </si>
  <si>
    <t xml:space="preserve">Puncher or Vinyl Cutter,Syringe Pump,Oven for melting the wax,Instron Universal Testing System,3D Printer,UV LED Lamp, other Materials e.g. Microfluidic Substrates,Colorimetric Reagents,Adhesives</t>
  </si>
  <si>
    <t xml:space="preserve">Processing Programming language,3D Modeling Software,Vector Graphic Editor</t>
  </si>
  <si>
    <t xml:space="preserve">• We introduce a five-dimensional design space of customized sweat-sensing on-skin interfaces based onmicrofluidics to support personal healthcare in an everyday setting.• We present SweatSkin, a rapid prototyping platform that enables the user-friendly fabrication of customizedsweat-sensing on-skin interfaces.• We explore the potential of customized on-skin sweat-sensing interfaces based on athletic expert interviewsand evaluate the user-friendliness of SweatSkin through a fabrication workshop study with ten participants.• We propose three proof-of-concept applications to showcase the application scenarios and customizationpotential of the SweatSkin platform.</t>
  </si>
  <si>
    <t>2023_Dec_167.pdf</t>
  </si>
  <si>
    <t xml:space="preserve">Hankai Liu, Xiulong Liu, Xin Xie, Xinyu Tong, and Keqiu Li. 2024. PmTrack: Enabling Personalized mmWave-based Human Tracking. Proc. ACM Interact. Mob. Wearable Ubiquitous Technol. 7, 4, Article 167 (December 2023), 30 pages. https://doi.org/10.1145/3631433</t>
  </si>
  <si>
    <t xml:space="preserve">TI MMWCAS-RF-EVM mm Wave-radar,LPMS-B2 intertial Measurement Unit,Portable Devices/Wearables, Workstation with Intel Core i5-13600KF CPU or similar as back-end for processing tracking data</t>
  </si>
  <si>
    <t xml:space="preserve">mmWave Studio,LpmsControl,MATLAB 2022b</t>
  </si>
  <si>
    <t xml:space="preserve">This paper presented the PmTrack system, which introduces IMUs as identity indicators for empowering mmWavehuman tracking and sensing technologies with accurate, lightweight, and highly feasible identity recognitioncapability. By using orientation as the matching feature, PmTrack addresses the data heterogeneity between radarand IMU, and meanwhile gets rid of the cumulative error of the accelerometer. To overcome practical difficultiescaused by the three major challenges of weak reflection, point cloud overlap, and body-bounce ghost in multi-person tracking, this paper proposed a variety of optimization methods for detection enhancement, interferencesuppression, continuity maintenance, and trajectory correction to ensure the accuracy of the trajectories. We alsoproposed an orientation correction method to mitigate the effect of IMU gimbal lock error. Experimental resultsreveal that PmTrack achieves an identification accuracy of 98% and 95% with five people in the hall and meetingroom, respectively. PmTrack utilizes the advantages of both the mmWave system and IMU system reasonablyand efficiently, thereby expanding the development and application of sensing technology.It should be emphasized that PmTrack’s dependence on IMU data requires users to open relevant interfaceson their mobile devices, which potentially compromises their activity privacy. Our opinion is as follows. Thedata interface only needs to be opened when enabling sensing system’s identification function, and at this point,users’ activity information is already being detected by the radar, implying that the application scenario is notsensitive to activity privacy. Moreover, PmTrack is a plug-and-play algorithm based on common mmWave radarsystems, so its enabling does not impose additional burden on users, nor does its disabling cause losses to users.Although PmTrack inevitably brings privacy risks, it does create opportunities for users to enjoy personalizedtracking and sensing services, and users can decide whether they are willing to bear this risk.</t>
  </si>
  <si>
    <t>2023_Dec_168.pdf</t>
  </si>
  <si>
    <t xml:space="preserve">Yan Liu, Anlan Yu, Leye Wang, Bin Guo, Yang Li, Enze Yi, and Daqing Zhang. 2024. UniFi: A Unified Framework for Generalizable Gesture Recognition with Wi-Fi Signals Using Consistency-guided Multi-View Networks. Proc. ACM Interact. Mob. Wearable Ubiquitous Technol. 7, 4, Article 168 (December 2023), 29 pages. https://doi.org/10.1145/3631429</t>
  </si>
  <si>
    <t xml:space="preserve">The UniFi-Framework is not accessible</t>
  </si>
  <si>
    <t xml:space="preserve">the publicly available Widar 3.0 dataset was used to evaluate the UniFi framework</t>
  </si>
  <si>
    <t xml:space="preserve">Wifi Transmitter and Receiver,Workstation for training the deep-learning-model</t>
  </si>
  <si>
    <t>PyTorch,ResNet18-architecture,Adam-Optimizer,</t>
  </si>
  <si>
    <t xml:space="preserve">• To improve the generalizability of learning-based sensing models in practical scenarios, we provide threefundamental insights based on a thorough analysis of the characteristics of CSI signals. These three aspectsare independent yet mutually reinforcing to enhance the generalization capabilities of most existing models.• Building on these insights, we propose a novel and unified gesture recognition framework, UniFi, whichcan generalize well to new scenarios by extracting environment-invariant features. UniFi comprises threemodules: signal preprocessing, multi-view deep network, and generalizable representation learning.• To demonstrate the generalizability of UniFi, we conduct extensive evaluations on the Widar 3.0 dataset [53].Our results show that UniFi significantly improves over state-of-the-art approaches in different settings(6%-20% average accuracy improvement for in-domain and cross-domain gesture recognition).</t>
  </si>
  <si>
    <t>2023_Dec_169.pdf</t>
  </si>
  <si>
    <t xml:space="preserve">Meagan B. Loerakker, Jasmin Niess, Marit Bentvelzen, and Paweł W. Woźniak. 2024. Designing Data Visualisations for Self-Compassion in Personal Informatics. Proc. ACM Interact. Mob. Wearable Ubiquitous Technol. 7, 4, Article 169 (December 2023), 22 pages. https://doi.org/10.1145/3631448</t>
  </si>
  <si>
    <t xml:space="preserve">This paper contributes the following: (1) results on how personal data visualisations influence users’ reflection,rumination, and self-compassion levels, and (2) insights on how the design on personal informatics experiencescan foster self-compassion. In this work, we first review related work on self-compassion, self-reflection, andrumination. We relate these findings to previous work on PI systems to inform the design of the data visualisationsused in the study. We then present the method and findings from our study, and conclude with a discussion anddirections for future research.</t>
  </si>
  <si>
    <t>2023_Dec_170.pdf</t>
  </si>
  <si>
    <t xml:space="preserve">Dong Ma, Ting Dang, Ming Ding, and Rajesh Balan. 2024. ClearSpeech: Improving Voice Quality of Earbuds Using Both In-Ear and Out-Ear Microphones. Proc. ACM Interact. Mob. Wearable Ubiquitous Technol. 7, 4, Article 170 (December 2023), 25 pages. https://doi.org/10.1145/3631409</t>
  </si>
  <si>
    <t xml:space="preserve">The authors state, that 'the dataset will be released to the public when the paper is accepted'. however, a reference to the dataset was not found.</t>
  </si>
  <si>
    <t xml:space="preserve">multiple CUI Devices CMC-4015-40L100,Bela Mini Recording Board,Workstation with NVIDIA GeForce GTX 1080 Ti GPU or similar for training the model,</t>
  </si>
  <si>
    <t xml:space="preserve">PyTorch,Adam Optimizer,</t>
  </si>
  <si>
    <t xml:space="preserve">• To the best of our knowledge2, we are the first to comprehensively explain and design the joint use ofin-ear and out-ear microphones in wireless earbuds for speech enhancement.• We present ClearSpeech, a DL-based SE system on wireless earbuds. ClearSpeech is built upon the deepanalysis of in-ear and out-ear speech patterns and consists of a suite of techniques including O2I soundtransformation, in-ear &amp; out-ear information exchange, quantized phase estimation, and etc.• With comprehensive experiments under various conditions, we demonstrated the effectiveness and superiorSE performance of ClearSpeech compared to state-of-the-art baselines. We also show that ClearSpeech canprocess user speech in real-time on smartphones.</t>
  </si>
  <si>
    <t>2023_Dec_171.pdf</t>
  </si>
  <si>
    <t xml:space="preserve">Marvin Martin, Etienne Meunier, Pierre Moreau, Jean Gadenne, Julien Dautel, Félicien Catherin, Eugene Pinsky, and Reza Rawassizadeh. 2024. ADA-SHARK: A Shark Detection Framework Employing Underwater Cameras and Domain Adversarial Neural Nets. Proc. ACM Interact. Mob. Wearable Ubiquitous Technol. 7, 4, Article 171 (December 2023), 25 pages. https://doi.org/10.1145/3631416</t>
  </si>
  <si>
    <t>https://github.com/MarvinMartin24/ADAShark-Human-Performance/</t>
  </si>
  <si>
    <t xml:space="preserve">The Repo contains Scripts for comparing ADA-Shark's perfomance against human perfomance</t>
  </si>
  <si>
    <t xml:space="preserve">Requires further analysis if the used datasets are proprietary or not.</t>
  </si>
  <si>
    <t xml:space="preserve">The Repo's Readme specifies how to execute the Code, including which dependencies need to be installed before running it.</t>
  </si>
  <si>
    <t xml:space="preserve">The contribution of this research is as follows:• An ecological approach to reducing the risk of shark attacks.• A scalable and autonomous underwater monitoring platform using buoys and cameras.• A domain-invariant deep learning algorithm for shark detection.• An automated alert system for coast guards and maritime authorities.</t>
  </si>
  <si>
    <t>2023_Dec_172.pdf</t>
  </si>
  <si>
    <t xml:space="preserve">Shenghuan Miao, Ling Chen, and Rong Hu. 2024. Spatial-Temporal Masked Autoencoder for Multi-Device Wearable Human Activity Recognition. Proc. ACM Interact. Mob. Wearable Ubiquitous Technol. 7, 4, Article 172 (December 2023), 25 pages. https://doi.org/10.1145/3631415</t>
  </si>
  <si>
    <t>https://github.com/wdkhuans/STMAE</t>
  </si>
  <si>
    <t>https://drive.google.com/file/d/1KLVYBi9CaXst4z6n7JNpiJZLBTUsVbrx/view</t>
  </si>
  <si>
    <t xml:space="preserve">Even though it is not specified if the used Datasets can be found inside the Repo, it includes a Link leading to the preprocessed Datasets.</t>
  </si>
  <si>
    <t xml:space="preserve">The instructions specify the storage directories for the datasets and provide a brief description of the training parameters and framework. They also include a clear reference for both the preprocessed and original raw datasets to ensure full traceability.</t>
  </si>
  <si>
    <t xml:space="preserve">• We introduce a two-stage spatial-temporal masking strategy. First, raw data from certain devices arecompletely discarded in spatial masking to simulate missing device scenarios. Then, an extremely highmasking probability is adopted in temporal masking to facilitate the encoders in learning temporal patterns.Such a masking strategy design can handle missing device scenarios effectively.• We introduce an asymmetrical encoder-decoder structure comprising relatively large encoders, i.e., SpatialEncoder (SE) and Temporal Encoder (TE), and a relatively small decoder, i.e., Reconstruction Decoder(RD). Such an encoder-decoder structure design can impose a greater demand on the encoders for learningspatial-temporal correlations that benefits downstream tasks.• Our evaluation on four public datasets demonstrates that STMAE outperforms the state-of-the-art (SOTA)baselines. In addition, we conduct in-depth analyses to understand the strengths and limitations of STMAE.</t>
  </si>
  <si>
    <t>2023_Dec_173.pdf</t>
  </si>
  <si>
    <t xml:space="preserve">John Nolan, Kun Qian, and Xinyu Zhang. 2024. KeyStub: A Passive RFID-based Keypad Interface Using Resonant Stubs. Proc. ACM Interact. Mob. Wearable Ubiquitous Technol. 7, 4, Article 173 (December 2023), 23 pages. https://doi.org/10.1145/3631442</t>
  </si>
  <si>
    <t xml:space="preserve">In order to reproduce the Author's novel Hardware, the respective code is required to recognize keystrokes</t>
  </si>
  <si>
    <t xml:space="preserve">proprietary KeyStub hardware consisting of:RFID Reader mpinj R420,RFID Integrated Circuits,custom-designed unbalanced microstrip patch antenna,Wilkinson power combiner/divider, proprietary KeyStub Interface consisting of:PCB Substrate,3D Printed Parts: Push buttons,Copper Discs,Springs,liquid Adhesive</t>
  </si>
  <si>
    <t xml:space="preserve">programming environment for C#,MATLAB,Ansys HFSS to design and optimize the microchip transmission lines,</t>
  </si>
  <si>
    <t xml:space="preserve">(i) A new approach to encoding discrete keystrokes using electromagnetic stubs connected to passive RFID tags.KeyStub presents a novel method for encoding key button press information through passive electromagneticstubs that act as an extension to RFID antennas. The stubs are built on a circuit model that relates the back-scattered signal’s desired amplitude and phase shift to the stub geometries. This “antenna as a sensor” design canbe straightforwardly extended to other frequencies and attached to other back-scatter radios. It evades the needfor complicated, black-box, feature-based gesture denitions.(ii) A dual-IC design and dierential detection scheme that enable multi-path resistance and environment-independent sensing. The KeyStub keypad design can operate in harsh multi-path environments without needingcalibration. Owing to the dual-IC design performing relative phase/amplitude measurements through a singlecommon-mode antenna, KeyStub cancels out multi-path and environmental eects and is reliable in dynamicscenarios.(iii) Implementation and experimental verication of the KeyStub keypad prototype. KeyStub has been im-plemented using standard PCB fabrication with low-cost PCB materials, allowing for mass production. Ourexperiments in homes, oces, and industrial settings attest to the applicability of KeyStub as a new passive,battery-free component in novel human-computer interactive use cases.</t>
  </si>
  <si>
    <t>2023_Dec_174.pdf</t>
  </si>
  <si>
    <t xml:space="preserve">Arvind Pillai, Subigya Kumar Nepal, Weichen Wang, Matthew Nemesure, Michael Heinz, George Price, Damien Lekkas, Amanda C. Collins, Tess Griffin, Benjamin Buck, Sarah Masud Preum, Trevor Cohen, Nicholas C. Jacobson, Dror Ben-Zeev, and Andrew Campbell. 2024. Investigating Generalizability of Speech-based Suicidal Ideation Detection Using Mobile Phones. Proc. ACM Interact. Mob. Wearable Ubiquitous Technol. 7, 4, Article 174 (December 2023), 38 pages. https://doi.org/10.1145/3631452</t>
  </si>
  <si>
    <t xml:space="preserve">The implementation-specific Code is given in form of Pseudocode.</t>
  </si>
  <si>
    <t xml:space="preserve">Four Datasets are used throughout this work: MDD(proprietary),Student(open-source),AVH(proprietary), and PT(proprietary)</t>
  </si>
  <si>
    <t xml:space="preserve">PyTorch, TensorFlow, Keras, scikit-learn, xgboost, and openSMILE,VGGish architecture</t>
  </si>
  <si>
    <t xml:space="preserve">Pseudocode for the implemented algorithms is given</t>
  </si>
  <si>
    <t xml:space="preserve">• We evaluate the performance of SI detection across four different datasets with three experiments: within-dataset (section 5.2), one-one (section 5.3), and leave-one-dataset-out (section 5.4) validation. Consequently,we benchmark several UDA and SSDA methods based on their effectiveness in handling the dataset shift. Ingeneral, our results indicate SSDA methods performed better than UDA approaches. To our knowledge, weare the first to validate speech-based SI detection on multiple independent datasets, elucidating previouslyunknown factors.• We propose the sinusoidal similarity sub-sampling (S3) metric with a focus on improving generalization inthe context of mental health, where target datasets are small and unlabeled. We observe that S3 outperformsUDA and SSDA methods in many cross-dataset scenarios. S3 obtained significant performance gains forthe smallest dataset (n&lt;50).• We perform extensive post-hoc analysis to interpret important features for generalization across differentpopulations. Our findings suggest spectral roll-off is crucial across two datasets but not the other, suggestingsome acoustic heterogeneity may exist across datasets even among commonalities. Furthermore, we evaluatethe robustness of UDA and SSDA approaches to help future researchers choose appropriate methods. Finally,our analysis on using S3 for acoustic scene classification indicates that it is well-suited for mental health,but not as a general audio SSDA method.</t>
  </si>
  <si>
    <t>2023_Dec_175.pdf</t>
  </si>
  <si>
    <t xml:space="preserve">Wasifur Rahman, Abdelrahman Abdelkader, Sangwu Lee, Phillip Yang, Md Saiful Islam, Tariq Adnan, Masum Hasan, Ellen Wagner, Sooyong Park, E. Ray Dorsey, Catherine Schwartz, Karen Jaffe, and Ehsan Hoque. 2024. A User-Centered Framework to Empower People with Parkinson's Disease. Proc. ACM Interact. Mob. Wearable Ubiquitous Technol. 7, 4, Article 175 (December 2023), 29 pages. https://doi.org/10.1145/3631430</t>
  </si>
  <si>
    <t xml:space="preserve">OpenAI GPT-3 API</t>
  </si>
  <si>
    <t xml:space="preserve">The Author specify what the developed framework should be capable of. The Main Focus of this Work was to find an efficient way, how to lead the user through a task without confusing him during the explanation, e.g. saying a specific sentence, show a specific facial expression, do a specific hand gesture,....</t>
  </si>
  <si>
    <t xml:space="preserve">(1) We developed a user-centered framework that can guide anyone with a computer with a webcam andmicrophone, from anywhere in the world, to perform a set of tasks as informed by the MDS-UPDRS (Section3).(2) We designed an interface that shares the PD screening results directly with users using an interpretableand patient-centered format (Section 3).(3) We provided informative, well-reasoned resources that empower users to get answers through an AI-basedchatbot, receive further evaluation, and learn about the actionable steps to slow the progression of PD(Section 3).(4) We conducted a validation study with both PwP and control participants (Section 4) to evaluate the objectiveperformance of the overall framework (Section 5). Moreover, We analyzed the open-ended survey responses(Section 6.1) and chatbot interactions (Section 6.2) to make our framework more user-centered.</t>
  </si>
  <si>
    <t>2023_Dec_176.pdf</t>
  </si>
  <si>
    <t xml:space="preserve">Smitha Sheshadri and Kotaro Hara. 2024. Conversational Localization: Indoor Human Localization through Intelligent Conversation. Proc. ACM Interact. Mob. Wearable Ubiquitous Technol. 7, 4, Article 176 (December 2023), 32 pages. https://doi.org/10.1145/3631404</t>
  </si>
  <si>
    <t xml:space="preserve">AWS EC2 t2.medium as server instance,</t>
  </si>
  <si>
    <t xml:space="preserve">vit-gpt2-image-captioning,Google Universal Sentence Encoder,</t>
  </si>
  <si>
    <t xml:space="preserve">• A novel conversation-based approach to indoor localization and development of a proof-of-concept systemthat implements the approach.• An online crowdsourcing study that evaluates the feasibility of using natural language processing to extractlocalizational information from user utterances.• Deployment of the system to our university campus and a field study with 10 users, which elicit benefitsand challenges of the localization method.</t>
  </si>
  <si>
    <t>2023_Dec_177.pdf</t>
  </si>
  <si>
    <t xml:space="preserve">Yunpeng Song, Yiheng Bian, Xiaorui Wang, and Zhongmin Cai. 2024. Learning from User-driven Events to Generate Automation Sequences. Proc. ACM Interact. Mob. Wearable Ubiquitous Technol. 7, 4, Article 177 (December 2023), 22 pages. https://doi.org/10.1145/3631427</t>
  </si>
  <si>
    <t xml:space="preserve">A Smart Vehicle Dataset is used and not publicly available.</t>
  </si>
  <si>
    <t xml:space="preserve">NVIDIA 2080ti GPU for the deep-learning-model training</t>
  </si>
  <si>
    <t xml:space="preserve">(1) We propose a new framework of ASGen to predict desired functions and generate automation sequencesthat reflect user intention from real user-driven events, without requiring users to manually write rules orcodes.(2) We empirically examine the user-driven event sequence in terms of predictability, repetition, and sensibility,and position it against English articles, social media posts, python codes, and trigger-action rules.(3) We fuse the sequential information, event attributes, and external knowledge to learn enhanced embeddingsfor interaction events in a self-supervised manner so that infrequent events can also be properly represented.(4) We perform comprehensive experiments on a large-scale real-world dataset to evaluate ASGen in two keyapplications: action recommendation and automation sequence generation. Experimental results showcasethe effectiveness and usefulness of ASGen in both quantitative and qualitative aspects.</t>
  </si>
  <si>
    <t>2023_Dec_178.pdf</t>
  </si>
  <si>
    <t xml:space="preserve">Yuning Su, Yuhua Jin, Zhengqing Wang, Yonghao Shi, Da-Yuan Huang, Teng Han, and Xing-Dong Yang. 2024. Laser-Powered Vibrotactile Rendering. Proc. ACM Interact. Mob. Wearable Ubiquitous Technol. 7, 4, Article 178 (December 2023), 25 pages. https://doi.org/10.1145/3631449</t>
  </si>
  <si>
    <t xml:space="preserve">while the original source code is not provided, a reproduction requires implementing control algorithms for the laser source based on the technical specifications and diagrams provided in the document.</t>
  </si>
  <si>
    <t xml:space="preserve">proprietary hardware is required. It consists of: Eccentric Rotating Mass (ERM) Motor,Linear Resonant Actuator (LRA),multiple Photovoltaik Cell Anysolar (model KXOB25-14X1F),Laser Diode with 445nm,Galvo Scanner,Beam Expander. For Evaluating :Analog Discovery 2, ADXL335 Accelerometer,Signal Generator,</t>
  </si>
  <si>
    <t xml:space="preserve">The contributions of our work include (1) introduction of using laser as a mechanism to power and controlvibrotactile actuators; (2) validation of technical feasibility through a working prototype; (3) insights into criticalparameters that affect our proposed method; and (4) demonstration of the effectiveness of our approach througha user study.</t>
  </si>
  <si>
    <t>2023_Dec_179.pdf</t>
  </si>
  <si>
    <t xml:space="preserve">Youjin Sung, Rachel Kim, Kun Woo Song, Yitian Shao, and Sang Ho Yoon. 2024. HapticPilot: Authoring In-situ Hand Posture-Adaptive Vibrotactile Feedback for Virtual Reality. Proc. ACM Interact. Mob. Wearable Ubiquitous Technol. 7, 4, Article 179 (December 2023), 28 pages. https://doi.org/10.1145/3631453</t>
  </si>
  <si>
    <t xml:space="preserve">custom built vibrotactile gloves consisting of: VG1040003D Vybronics Actuators,Sparkfun Redboards (ATmega328) Microcontrollers,TCA9548A  Texas Instruments Multiplexer. For the VR Setup :Meta Quest Pro HMD, Workstation with 2 GHz Intel Core i9 processor or similar,</t>
  </si>
  <si>
    <t xml:space="preserve">Unity3D Engine</t>
  </si>
  <si>
    <t xml:space="preserve">• We identified how hand postures change the vibrotactile feedback patterns via physical measurement. Ourpsychophysical study indicated that such changes negatively affect the users’ haptic experience.• We proposed a novel haptic design abstraction called phantom grid considering the spatial information ofhand anatomy and actuator location to enable posture-adaptive haptic rendering.• We devised a unique actuator arrangement incorporating line (1D) and polygon (2D) phantom sensationthat supports rich vibrotactile patterns covering the whole hand with the proposed phantom grid.• We developed HapticPilot which is an in-situ VR haptic design tool that supports an intuitive, empowering,and responsive haptic design framework based on our versatile haptic rendering technique.</t>
  </si>
  <si>
    <t>2023_Dec_180.pdf</t>
  </si>
  <si>
    <t xml:space="preserve">Mahan Tabatabaie and Suining He. 2024. Driver Maneuver Interaction Identification with Anomaly-Aware Federated Learning on Heterogeneous Feature Representations. Proc. ACM Interact. Mob. Wearable Ubiquitous Technol. 7, 4, Article 180 (December 2023), 28 pages. https://doi.org/10.1145/3631421</t>
  </si>
  <si>
    <t xml:space="preserve">The self collected Dmil Dataset 2 is not available</t>
  </si>
  <si>
    <t xml:space="preserve">Workstation(s) with NVIDIA GeForce RTX 3090 or similar for training the models,Smartphones</t>
  </si>
  <si>
    <t>Python,TensorFlow,</t>
  </si>
  <si>
    <t xml:space="preserve">We have designed AF-DMIL, a novel anomaly-aware federated driver maneuver interaction learning system,toward ubiquitous driver maneuver interaction learning. Leveraging the smartphone IMU sensor data, we havedesigned and derived three heterogeneous representations for AF-DMIL regarding spectral, time series, andstatistical features. In order to capture and identify the complex patterns within driver maneuver behaviors, wehave designed a heterogeneous representation attention network (HetRANet) based on spectral channel attentionlearning, temporal sequence attention learning, and statistical feature learning. In addition, we have integrateda novel anomaly-aware federated learning algorithm to identify the anomalous maneuvers (e.g., aggressivemaneuvers), and mitigate their negative impacts upon the federated DMIL. We have conducted extensive real-world driver data analytics and experimental studies on three real-world datasets (one is collected on our own) toevaluate the prototype of AF-DMIL, demonstrating AF-DMIL’s accuracy, adaptivity, and robustness compared tothe state-of-the-art DMIL.</t>
  </si>
  <si>
    <t>2023_Dec_181.pdf</t>
  </si>
  <si>
    <t xml:space="preserve">Hari Venugopalan, Zainul Abi Din, Trevor Carpenter, Jason Lowe-Power, Samuel T. King, and Zubair Shafiq. 2024. Aragorn: A Privacy-Enhancing System for Mobile Cameras. Proc. ACM Interact. Mob. Wearable Ubiquitous Technol. 7, 4, Article 181 (December 2023), 31 pages. https://doi.org/10.1145/3631406</t>
  </si>
  <si>
    <t>https://github.com/hariv/aragorn</t>
  </si>
  <si>
    <t xml:space="preserve">Smartphones, Workstation for training the ML-sanitizer model</t>
  </si>
  <si>
    <t xml:space="preserve">TensorFlow Lite C++ API,YOLOv3,MobileFaceNet-Android,U2-Net</t>
  </si>
  <si>
    <t xml:space="preserve">No Instructions are found inside the Repo.</t>
  </si>
  <si>
    <t xml:space="preserve">Our key contributions include:• An automated approach to sanitize camera frames for relevant objects while preserving app utility;• An extensible approach to sanitize camera frames for previously unrecognized objects in a robust manner;and• A backward compatible and real time implementation on Android.</t>
  </si>
  <si>
    <t>2023_Dec_182.pdf</t>
  </si>
  <si>
    <t xml:space="preserve">Rongrong Wang, Rui Tan, Zhenyu Yan, and Chris Xiaoxuan Lu. 2024. Orientation-Aware 3D SLAM in Alternating Magnetic Field from Powerlines. Proc. ACM Interact. Mob. Wearable Ubiquitous Technol. 7, 4, Article 182 (December 2023), 25 pages. https://doi.org/10.1145/3631446</t>
  </si>
  <si>
    <t xml:space="preserve">proprietary Triaxial AMF Sensor,STM32 microcontroller,Raspberry Pi,Turtlebot 3 Burger ground robot,Interbotix WidowX 250 robotic arm,</t>
  </si>
  <si>
    <t xml:space="preserve">GraphSLAM Framework,</t>
  </si>
  <si>
    <t xml:space="preserve">• We design a new triaxial AMF sensor and conduct measurements using the sensor to understand thetemporal volatility, spatial variability, and orientation property of AMF, in comparison with Wi-Fi RSS andGMF.• We design AMF-based orientation-aware 3D SLAM that constructs the AMF map in the target 3D spacewith GP regularization. The AMF intensity map is also augmented with GP to accommodate the deviationsof the mobile’s trajectory from the map during the localization phase.• Evaluation in eight environments shows that our system achieves sub-1m to 3m median localization errorsin spaces of up to 500 m2, sub-2° mean error in orientation sensing, and outperforms those based on Wi-FiRSS, geomagnetism, and uniaxial AMF by more than 30%.</t>
  </si>
  <si>
    <t>2023_Dec_183.pdf</t>
  </si>
  <si>
    <t xml:space="preserve">Shuoyuan Wang, Jindong Wang, Huajun Xi, Bob Zhang, Lei Zhang, and Hongxin Wei. 2024. Optimization-Free Test-Time Adaptation for Cross-Person Activity Recognition. Proc. ACM Interact. Mob. Wearable Ubiquitous Technol. 7, 4, Article 183 (December 2023), 27 pages. https://doi.org/10.1145/3631450</t>
  </si>
  <si>
    <t>https://github.com/Claydon-Wang/OFTTA</t>
  </si>
  <si>
    <t xml:space="preserve">Only publicly available datasets are used in this work. Additionally, a reference to the unprocessed, raw datasets can be found inside the Repo.</t>
  </si>
  <si>
    <t xml:space="preserve">Workstation for model training and inital testing, edge device (Raspberry Pi Model 3 B+) for verifying real world deployment. </t>
  </si>
  <si>
    <t xml:space="preserve">all requirements can be found inside the Repo.</t>
  </si>
  <si>
    <t xml:space="preserve">The instructions include a general description of the Repo's Structure, such as where to find the Datasets. Also a short explanation how to setup the conda environment can be found.</t>
  </si>
  <si>
    <t xml:space="preserve">(1) New research direction: We indicate a new research direction for generalizable HAR. We first exploretest-time adaptation for sensor-based human activity recognition. Compared with other transfer learningmethods, TTA is more achievable against domain shifts in real-world HAR.(2) Novel perspective: To achieve better feature representation under distribution shifts, we adjust thenormalization by test-time batch statistics in a layer-wise manner. The adjusted features can further outputmore reliable pseudo labels and benefit the prototype-based classifier.(3) Novel methodology: To achieve efficient TTA in HAR, we propose OFTTA to adjust the model in anoptimization-free manner. The suggested framework is accurate, flexible, and hardware-friendly.(4) Comprehensive evaluation: Extensive experiments on three public cross-person HAR datasets and twodifferent TTA settings demonstrate that our proposed OFTTA framework can significantly improve themodel performance and outperform the state-of-the-art TTA approaches. In addition, the superiority ofOFTTA is verified on edge devices.</t>
  </si>
  <si>
    <t>2023_Dec_184.pdf</t>
  </si>
  <si>
    <t xml:space="preserve">Xue Wang and Yang Zhang. 2024. TextureSight: Texture Detection for Routine Activity Awareness with Wearable Laser Speckle Imaging. Proc. ACM Interact. Mob. Wearable Ubiquitous Technol. 7, 4, Article 184 (December 2023), 27 pages. https://doi.org/10.1145/3631413</t>
  </si>
  <si>
    <t xml:space="preserve">The Source Code for the Interaction between Smart Ring und processing Unit is not available. Also the Implementation for the used deep-learning model is missing.</t>
  </si>
  <si>
    <t xml:space="preserve">The self-collected experience-sampling dataset is not available. Also the self-collected Object Recognition Evaluation Dataset is not available.</t>
  </si>
  <si>
    <t xml:space="preserve">Laser Diodes,CCD module,3D-Printed Ring Enclosure,Programmable DC Power Supply,Workstation with access to Python modules,Smartphone</t>
  </si>
  <si>
    <t>Pytho+modules,MATLAB,</t>
  </si>
  <si>
    <t xml:space="preserve">We proposed TextureSight, a wearable laser speckle imaging sensor that recognizes objects based on their textures.Our sensor worked best for objects which are routine to a user and among which correlations between texturesand objects are strong. We conducted an experience-sampling study to investigate the unicity and repeatabilityof object-texture combinations. Theoretical models were created and validated with simulations to ground oursensing principle. We implemented a ring prototype with two lasers and a bare CCD imager. State-of-the-artDeep Neural Net techniques were used to power the inference pipeline. We demonstrated an accuracy of 88.2%across 20 objects and conducted a series of supplementary studies to tease out our sensor’s performance envelope.We believe our system uniquely demonstrates the potential of wearable laser speckle imaging in detecting routineobjects, and it could lead to practical sensing solutions which are much needed in today’s wearable devices.</t>
  </si>
  <si>
    <t>2023_Dec_185.pdf</t>
  </si>
  <si>
    <t xml:space="preserve">Yang Wang, Feng Hong, Yufei Jiang, Chenyu Bao, Chao Liu, and Zhongwen Guo. 2024. ToothFairy: Real-time Tooth-by-tooth Brushing Monitor Using Earphone Reversed Signals. Proc. ACM Interact. Mob. Wearable Ubiquitous Technol. 7, 4, Article 185 (December 2023), 19 pages. https://doi.org/10.1145/3631412</t>
  </si>
  <si>
    <t xml:space="preserve">electric toothbrush,earphones,capable of processing Earphone Reversed Signals such as Audio-Technica ATH-M30X or similar,Workstation to process ToothFairy's live data</t>
  </si>
  <si>
    <t xml:space="preserve">C++, Python,</t>
  </si>
  <si>
    <t xml:space="preserve">• To the best of our knowledge, ToothFairy is the first real-time tooth-by-tooth brushing monitor, which utilizesEarphone Reversed Signals (ERS) to recognize each tooth during brushing, using only commercial off-the-shelftoothbrushes and earphones.• We have developed a bone-conducted acoustic attenuation model to describe the sound propagation fromeach tooth to the nearest cochlea. This model holds the potential to support future research in tooth gesturerecognition and user authentication based on acoustic sensing in the oral cavity.• Extensive evaluations are carried out with 25 combinations of five commercial off-the-shelf toothbrush andearphone models each, involving ten participants. The promising results demonstrates the practical feasibilityof ToothFairy.</t>
  </si>
  <si>
    <t>2023_Dec_186.pdf</t>
  </si>
  <si>
    <t xml:space="preserve">Zhu Wang, Yifan Guo, Zhihui Ren, Wenchao Song, Zhuo Sun, Chao Chen, Bin Guo, and Zhiwen Yu. 2024. LiqDetector: Enabling Container-Independent Liquid Detection with mmWave Signals Based on a Dual-Reflection Model. Proc. ACM Interact. Mob. Wearable Ubiquitous Technol. 7, 4, Article 186 (December 2023), 24 pages. https://doi.org/10.1145/3631443</t>
  </si>
  <si>
    <t xml:space="preserve">No code link provided.</t>
  </si>
  <si>
    <t xml:space="preserve">6-liquid and multi-container data used; no dataset release.</t>
  </si>
  <si>
    <t xml:space="preserve">60 GHz mmWave radar with DCA1000EVM; lifting platform; thermostatic heating platform; mini-PC.</t>
  </si>
  <si>
    <t xml:space="preserve">MATLAB used to configure radar; Python used for processing.</t>
  </si>
  <si>
    <t xml:space="preserve">To the best of our knowledge, this is the first study that achieves container-independent liquid detection based on the COTS mmWave radar by leveraging only one pair of Tx-Rx antennas.</t>
  </si>
  <si>
    <t>2023_Dec_187.pdf</t>
  </si>
  <si>
    <t xml:space="preserve">Yuheng Wei, Jie Xiong, Hui Liu, Yingtao Yu, Jiangtao Pan, and Junzhao Du. 2024. AdaStreamLite: Environment-adaptive Streaming Speech Recognition on Mobile Devices. Proc. ACM Interact. Mob. Wearable Ubiquitous Technol. 7, 4, Article 187 (December 2023), 29 pages. https://doi.org/10.1145/3631460</t>
  </si>
  <si>
    <t xml:space="preserve">No code or repository link provided.</t>
  </si>
  <si>
    <t xml:space="preserve">Uses LibriSpeech, WenetSpeech, Aishell-1, DEMAND (public); volunteer recordings not released.</t>
  </si>
  <si>
    <t xml:space="preserve">Smartphones (Galaxy S21, Xiaomi 13); training on GTX Titan-V/RTX 2080-Ti.</t>
  </si>
  <si>
    <t xml:space="preserve">PyTorch, librosa, Java/Android prototype app.</t>
  </si>
  <si>
    <t xml:space="preserve">The results show that AdaStreamLite outperforms the state-of-the-art methods in terms of recognition accuracy, computational resource consumption and robustness against unseen environments.</t>
  </si>
  <si>
    <t>2023_Dec_188.pdf</t>
  </si>
  <si>
    <t xml:space="preserve">Kang Xia, Wenzhong Li, Shiwei Gan, and Sanglu Lu. 2024. TS2ACT: Few-Shot Human Activity Sensing with Cross-Modal Co-Learning. Proc. ACM Interact. Mob. Wearable Ubiquitous Technol. 7, 4, Article 188 (December 2023), 22 pages. https://doi.org/10.1145/3631445</t>
  </si>
  <si>
    <t>https://github.com/XXXiaKang/TS2ACT</t>
  </si>
  <si>
    <t xml:space="preserve">Official GitHub repository linked in paper.</t>
  </si>
  <si>
    <t xml:space="preserve">Four public datasets (UCI-HAR, MotionSense, HHAR, PAMAP2)</t>
  </si>
  <si>
    <t xml:space="preserve">GPU for training deep models; data from smartphone IMU datasets.</t>
  </si>
  <si>
    <t xml:space="preserve">Python and PyTorch mentioned.</t>
  </si>
  <si>
    <t xml:space="preserve">No step-by-step run instructions.</t>
  </si>
  <si>
    <t xml:space="preserve">The numerical results show that TS2ACT significantly outperforms the state-of-the-art HAR methods.</t>
  </si>
  <si>
    <t>2023_Dec_189.pdf</t>
  </si>
  <si>
    <t xml:space="preserve">Yi Xiao, Harshit Sharma, Zhongyang Zhang, Dessa Bergen-Cico, Tauhidur Rahman, and Asif Salekin. 2024. Reading Between the Heat: Co-Teaching Body Thermal Signatures for Non-intrusive Stress Detection. Proc. ACM Interact. Mob. Wearable Ubiquitous Technol. 7, 4, Article 189 (December 2023), 30 pages. https://doi.org/10.1145/3631441</t>
  </si>
  <si>
    <t xml:space="preserve">Authors state de-identified data will be made public.</t>
  </si>
  <si>
    <t xml:space="preserve">Seek Thermal CompactPRO camera and Empatica E4 Wristband for data; Jetson Nano for runtime eval.</t>
  </si>
  <si>
    <t xml:space="preserve">libseek_thermal, Optuna, loss-landscapes, DetectorRS and OSNet used.</t>
  </si>
  <si>
    <t xml:space="preserve">These evaluations validate ThermaStrain’s fidelity and its potential for enhancing stress assessment.</t>
  </si>
  <si>
    <t>2023_Dec_190.pdf</t>
  </si>
  <si>
    <t xml:space="preserve">Binbin Xie, Minhao Cui, Deepak Ganesan, and Jie Xiong. 2024. Wall Matters: Rethinking the Effect of Wall for Wireless Sensing. Proc. ACM Interact. Mob. Wearable Ubiquitous Technol. 7, 4, Article 190 (December 2023), 22 pages. https://doi.org/10.1145/3631417</t>
  </si>
  <si>
    <t xml:space="preserve">No dataset release or download link.</t>
  </si>
  <si>
    <t xml:space="preserve">Semtech SX1276 LoRa node, USRP X310, directional antennas; Dell OptiPlex 7050 PC.</t>
  </si>
  <si>
    <t xml:space="preserve">Signal processing on PC; no proprietary software specified.</t>
  </si>
  <si>
    <t xml:space="preserve">By leveraging the effect of wall to mitigate interference, we can sense the tiny respiration of target even in the presence of three interferers walking nearby.</t>
  </si>
  <si>
    <t>2023_Dec_191.pdf</t>
  </si>
  <si>
    <t xml:space="preserve">Wentao Xie, Huangxun Chen, Jing Wei, Jin Zhang, and Qian Zhang. 2024. RimSense: Enabling Touch-based Interaction on Eyeglass Rim Using Piezoelectric Sensors. Proc. ACM Interact. Mob. Wearable Ubiquitous Technol. 7, 4, Article 191 (December 2023), 24 pages. https://doi.org/10.1145/3631456</t>
  </si>
  <si>
    <t xml:space="preserve">30-subject gesture dataset collected; not released.</t>
  </si>
  <si>
    <t xml:space="preserve">Two PZT transducers on eyeglass, Focusrite Scarlett 2i2 audio interface, MacBook Pro for processing; V100 GPU for training.</t>
  </si>
  <si>
    <t xml:space="preserve">Python 3.8 with PyTorch 1.10.0; custom code and Adam optimizer.</t>
  </si>
  <si>
    <t xml:space="preserve">Additionally, we conduct interviews with the subjects, and their comments provide valuable insight for future eyewear design.</t>
  </si>
  <si>
    <t>2023_Dec_192.pdf</t>
  </si>
  <si>
    <t xml:space="preserve">Anran Xu, Zhongyi Zhou, Kakeru Miyazaki, Ryo Yoshikawa, Simo Hosio, and Koji Yatani. 2024. DIPA2: An Image Dataset with Cross-cultural Privacy Perception Annotations. Proc. ACM Interact. Mob. Wearable Ubiquitous Technol. 7, 4, Article 192 (December 2023), 30 pages. https://doi.org/10.1145/3631439</t>
  </si>
  <si>
    <t>https://anranxu.github.io/DIPA2_VIS/</t>
  </si>
  <si>
    <t xml:space="preserve">Website linked in paper but no code available.</t>
  </si>
  <si>
    <t xml:space="preserve">DIPA2 dataset available online.</t>
  </si>
  <si>
    <t xml:space="preserve">ResNet-50 baselines; framework unspecified.</t>
  </si>
  <si>
    <t xml:space="preserve">No runnable steps in the PDF; only a website link is provided.</t>
  </si>
  <si>
    <t xml:space="preserve">DIPA2 facilitates various types of research on image privacy, including machine learning methods inferring privacy threats in complex scenarios, quantitative analysis of cultural influences on privacy preferences, understanding of image sharing behaviors, and promotion of cyber hygiene for general user populations.</t>
  </si>
  <si>
    <t>2023_Dec_193.pdf</t>
  </si>
  <si>
    <t xml:space="preserve">Xiaoqiang Xu, Xuanqi Meng, Xinyu Tong, Xiulong Liu, Xin Xie, and Wenyu Qu. 2024. HyperTracking: Exploring the Hyperbolic Model for Non-line-of-sight Device-free Wi-Fi Tracking. Proc. ACM Interact. Mob. Wearable Ubiquitous Technol. 7, 4, Article 193 (December 2023), 26 pages. https://doi.org/10.1145/3631434</t>
  </si>
  <si>
    <t xml:space="preserve">The self-generated dataset is unavailable because the code is not provided.</t>
  </si>
  <si>
    <t xml:space="preserve">COTS Wi-Fi devices (Intel 5300 NIC).</t>
  </si>
  <si>
    <t xml:space="preserve">STFT and LSTM training; common ML tools.</t>
  </si>
  <si>
    <t xml:space="preserve">As a whole, our method can reduce the tracking error by 54% in NLoS scenarios compared with the Fresnel zone model.</t>
  </si>
  <si>
    <t>2023_Dec_194.pdf</t>
  </si>
  <si>
    <t xml:space="preserve">Meng Xue, Yuyang Zeng, Shengkang Gu, Qian Zhang, Bowei Tian, and Changzheng Chen. 2024. SDE: Early Screening for Dry Eye Disease with Wireless Signals. Proc. ACM Interact. Mob. Wearable Ubiquitous Technol. 7, 4, Article 194 (December 2023), 23 pages. https://doi.org/10.1145/3631438</t>
  </si>
  <si>
    <t xml:space="preserve">54-participant mmWave dataset collected; no release link.</t>
  </si>
  <si>
    <t xml:space="preserve">COTS mmWave radar (TI IWR1443BOOST) with DCA1000EVM; default 30 cm user distance.</t>
  </si>
  <si>
    <t xml:space="preserve">Implemented with Matlab 2019b, Python 3, and PyTorch 1.8.</t>
  </si>
  <si>
    <t xml:space="preserve">The experimental results confirm that SDE can accurately screen for DED in a new user in real environments such as eye examination rooms, clinics, offices, and homes.</t>
  </si>
  <si>
    <t>2023_Dec_195.pdf</t>
  </si>
  <si>
    <t xml:space="preserve">Qiuyue Shirley Xue, Yujia Liu, Joseph Breda, Mastafa Springston, Vikram Iyer, and Shwetak Patel. 2024. Thermal Earring: Low-power Wireless Earring for Longitudinal Earlobe Temperature Sensing. Proc. ACM Interact. Mob. Wearable Ubiquitous Technol. 7, 4, Article 195 (December 2023), 28 pages. https://doi.org/10.1145/3631440</t>
  </si>
  <si>
    <t xml:space="preserve">Participant temperature data collected; no dataset link or release.</t>
  </si>
  <si>
    <t xml:space="preserve">Custom smart earring with nRF52832, dual TI HDC2010 sensors, MS621FE coin cell and 100uF capacitor; Android phone used; Empatica EmbracePlus for comparison.</t>
  </si>
  <si>
    <t xml:space="preserve">Android app for BLE data collection; offline processing in Matlab.</t>
  </si>
  <si>
    <t xml:space="preserve">This initial exploration seeks to provide a foundation for future automatic activity detection and earring-based wearables.</t>
  </si>
  <si>
    <t>2023_Dec_196.pdf</t>
  </si>
  <si>
    <t xml:space="preserve">Bill Yen, Laura Jaliff, Louis Gutierrez, Philothei Sahinidis, Sadie Bernstein, John Madden, Stephen Taylor, Colleen Josephson, Pat Pannuto, Weitao Shuai, George Wells, Nivedita Arora, and Josiah Hester. 2024. Soil-Powered Computing: The Engineer's Guide to Practical Soil Microbial Fuel Cell Design. Proc. ACM Interact. Mob. Wearable Ubiquitous Technol. 7, 4, Article 196 (December 2023), 40 pages. https://doi.org/10.1145/3631410</t>
  </si>
  <si>
    <t>https://github.com/ka-moamoa/Practical_SMFC_Design_Guide</t>
  </si>
  <si>
    <t xml:space="preserve">Mechanical designs and simulation tools released.</t>
  </si>
  <si>
    <t xml:space="preserve">Nine months of deployment data and cell performance data are provided.</t>
  </si>
  <si>
    <t xml:space="preserve">SMFC hardware with carbon felt electrodes, soil electrolyte, 3D-printed scaffold; sensors.</t>
  </si>
  <si>
    <t xml:space="preserve">Open-source scripts/simulator and Raspberry Pi logging; no proprietary tools.</t>
  </si>
  <si>
    <t xml:space="preserve">Step-by-step build and setup in Appendix A.2 and mention that there are online tutorials; No run instructions</t>
  </si>
  <si>
    <t xml:space="preserve">We contribute our data, methodology, and designs to establish the foundation for a sustainable, soil-powered future.</t>
  </si>
  <si>
    <t>2023_Dec_197.pdf</t>
  </si>
  <si>
    <t xml:space="preserve">Huaili Zeng, Gen Li, and Tianxing Li. 2024. PyroSense: 3D Posture Reconstruction Using Pyroelectric Infrared Sensing. Proc. ACM Interact. Mob. Wearable Ubiquitous Technol. 7, 4, Article 197 (December 2023), 32 pages. https://doi.org/10.1145/3631435</t>
  </si>
  <si>
    <t xml:space="preserve">Data collected from 12 participants performing 15 gestures; no public link provided.</t>
  </si>
  <si>
    <t xml:space="preserve">COTS PIR sensors with Fresnel lens arrays, mask array, Arduino Due; 2×2 PIR nodes.</t>
  </si>
  <si>
    <t xml:space="preserve">PyTorch 1.13.1; Azure Kinect body-tracking SDK; Windows 11.</t>
  </si>
  <si>
    <t xml:space="preserve">No runnable setup or run instructions in the paper.</t>
  </si>
  <si>
    <t xml:space="preserve">The experimental findings indicate that PyroSense not only attains a classification accuracy of 99.46% across 15 classes, but it also registers a mean joint distance error of less than 16 cm for 14 body joints for posture reconstruction in challenging environments.</t>
  </si>
  <si>
    <t>2023_Dec_198.pdf</t>
  </si>
  <si>
    <t xml:space="preserve">Lishuang Zhan, Tianyang Xiong, Hongwei Zhang, Shihui Guo, Xiaowei Chen, Jiangtao Gong, Juncong Lin, and Yipeng Qin. 2024. TouchEditor: Interaction Design and Evaluation of a Flexible Touchpad for Text Editing of Head-Mounted Displays in Speech-unfriendly Environments. Proc. ACM Interact. Mob. Wearable Ubiquitous Technol. 7, 4, Article 198 (December 2023), 29 pages. https://doi.org/10.1145/3631454</t>
  </si>
  <si>
    <t xml:space="preserve">Algorithm implementation details are described but no repository link is provided.</t>
  </si>
  <si>
    <t xml:space="preserve">User study data (gestures, tasks) was collected but not released.</t>
  </si>
  <si>
    <t xml:space="preserve">Requires flexible piezoresistive film sensor, custom signal collector circuit, Bluetooth module, and Rokid Air Glass.</t>
  </si>
  <si>
    <t xml:space="preserve">Android app with TensorFlow Lite and iFlytek speech SDK.</t>
  </si>
  <si>
    <t xml:space="preserve">The evaluation results show that TouchEditor i) adapts to various contents and scenes well with a stable correction speed of 0.075 corrections per second; ii) achieves 95.4% gesture recognition accuracy; iii) reaches a considerable level with a mobile phone in text selection tasks.</t>
  </si>
  <si>
    <t>2023_Dec_199.pdf</t>
  </si>
  <si>
    <t xml:space="preserve">Duo Zhang, Xusheng Zhang, Yaxiong Xie, Fusang Zhang, Xuanzhi Wang, Yang Li, and Daqing Zhang. 2024. LoCal: An Automatic Location Attribute Calibration Approach for Large-Scale Deployment of mmWave-based Sensing Systems. Proc. ACM Interact. Mob. Wearable Ubiquitous Technol. 7, 4, Article 199 (December 2023), 27 pages. https://doi.org/10.1145/3631436</t>
  </si>
  <si>
    <t xml:space="preserve">The paper describes a novel trajectory correspondence based calibration algorithm but does not provide a repository link.</t>
  </si>
  <si>
    <t xml:space="preserve">No dataset release or link provided.</t>
  </si>
  <si>
    <t xml:space="preserve">mmWave radars, SLAM robot with LiDAR, laptop.</t>
  </si>
  <si>
    <t xml:space="preserve">Signal processing is implemented on Matlab; SLAM uses Cartographer.</t>
  </si>
  <si>
    <t xml:space="preserve">No runnable clone/install/run instructions.</t>
  </si>
  <si>
    <t xml:space="preserve">Extensive experimental results demonstrate that the proposed calibration solution exhibits very high accuracy (1.74 cm and 0.43◦ accuracy for location and orientation respectively) and could ensure outstanding performance in three representative applications: fall detection, point cloud fusion, and long-distance human tracking.</t>
  </si>
  <si>
    <t>2023_Dec_200.pdf</t>
  </si>
  <si>
    <t xml:space="preserve">Tianyu Zhang, Dongheng Zhang, Guanzhong Wang, Yadong Li, Yang Hu, Qibin sun, and Yan Chen. 2024. RLoc: Towards Robust Indoor Localization by Quantifying Uncertainty. Proc. ACM Interact. Mob. Wearable Ubiquitous Technol. 7, 4, Article 200 (December 2023), 28 pages. https://doi.org/10.1145/3631437</t>
  </si>
  <si>
    <t>https://github.com/H-WILD/human_held_device_wifi_indoor_localization_dataset</t>
  </si>
  <si>
    <t xml:space="preserve">The authors collected and released the 'Human-held Devices Dataset'.</t>
  </si>
  <si>
    <t xml:space="preserve">Requires Intel 5300 WiFi NICs, mini-computers, and a UWB localization system (Decawave DW1000) for ground truth.</t>
  </si>
  <si>
    <t xml:space="preserve">MATLAB R2023a used for timing; Linux 802.11n CSI Tool for CSI capture.</t>
  </si>
  <si>
    <t xml:space="preserve">Our experiments, evaluating on two datasets gathered from commercial off-the-shelf WiFi devices, demonstrate that RLoc surpasses state-of-the-art approaches by an average of 36.27% in in-domain scenarios and 20.40% in cross-domain scenarios.</t>
  </si>
  <si>
    <t>2023_Dec_201.pdf</t>
  </si>
  <si>
    <t xml:space="preserve">Xusheng Zhang, Duo Zhang, Yaxiong Xie, Dan Wu, Yang Li, and Daqing Zhang. 2024. Waffle: A Waterproof mmWave-based Human Sensing System inside Bathrooms with Running Water. Proc. ACM Interact. Mob. Wearable Ubiquitous Technol. 7, 4, Article 201 (December 2023), 29 pages. https://doi.org/10.1145/3631458</t>
  </si>
  <si>
    <t xml:space="preserve">Data collected from 12 volunteers for fall detection; no public link.</t>
  </si>
  <si>
    <t xml:space="preserve">Requires Calterah CAL60S244-IB mmWave radar and RDP-60S244-IBM-AIP radar platform.</t>
  </si>
  <si>
    <t xml:space="preserve">Implementation in Matlab with a C++ detector interface.</t>
  </si>
  <si>
    <t xml:space="preserve">No runnable instructions or scripts provided.</t>
  </si>
  <si>
    <t xml:space="preserve">Furthermore, our fall detection system, built upon this technique, achieves remarkable performance (a recall of 97.2% and an accuracy of 97.8%), surpassing the state-of-the-art method.</t>
  </si>
  <si>
    <t>2023_Dec_202.pdf</t>
  </si>
  <si>
    <t xml:space="preserve">Qiushi Zhou, Brandon Victor Syiem, Beier Li, Jorge Goncalves, and Eduardo Velloso. 2024. Reflected Reality: Augmented Reality through the Mirror. Proc. ACM Interact. Mob. Wearable Ubiquitous Technol. 7, 4, Article 202 (December 2023), 28 pages. https://doi.org/10.1145/3631431</t>
  </si>
  <si>
    <t>https://github.com/qiushi-zhou/Reflected-Reality-HoloLens-Selection</t>
  </si>
  <si>
    <t xml:space="preserve">Reflected Reality toolkit for calibration and synchronisation.</t>
  </si>
  <si>
    <t xml:space="preserve">User study data was collected but not released.</t>
  </si>
  <si>
    <t xml:space="preserve">Requires Microsoft HoloLens 2, Azure Kinect, and a constructed smart mirror (two-way mirror + screen).</t>
  </si>
  <si>
    <t xml:space="preserve">Unity; Azure Kinect body tracking; MRTK; QR tracking.</t>
  </si>
  <si>
    <t xml:space="preserve">No step-by-step build/deploy instructions.</t>
  </si>
  <si>
    <t xml:space="preserve">We discuss the uniqueinteraction affordances that reflected reality offers, and outline possibilities ofits future applications.</t>
  </si>
  <si>
    <t>2023_Dec_203.pdf</t>
  </si>
  <si>
    <t xml:space="preserve">Dawei Yan, Panlong Yang, Fei Shang, Weiwei Jiang, and Xiang-Yang Li. 2024. Wi-Painter: Fine-grained Material Identification and Image Delineation Using COTS WiFi Devices. Proc. ACM Interact. Mob. Wearable Ubiquitous Technol. 7, 4, Article 203 (December 2023), 25 pages. https://doi.org/10.1145/3633809</t>
  </si>
  <si>
    <t xml:space="preserve">CSI data for different materials was collected for evaluation but is not shared.</t>
  </si>
  <si>
    <t xml:space="preserve">Requires 4 Industrial PCs with Intel 5300 NICs, 3x4 antenna arrays, and a slide rail setup.</t>
  </si>
  <si>
    <t xml:space="preserve">Ubuntu 14.04 and Linux 802.11 CSI Tool; simple KNN classifier.</t>
  </si>
  <si>
    <t xml:space="preserve">We implement and evaluate Wi-Painter in the real world, showing an average classification accuracy of 93.4% for different material types including metal, wood, rubber and plastic of different sizes and thicknesses, and across different environments.</t>
  </si>
  <si>
    <t>2023_Dec_204.pdf</t>
  </si>
  <si>
    <t xml:space="preserve">Fatima Elhattab, Sara Bouchenak, and Cédric Boscher. 2024. PASTEL: Privacy-Preserving Federated Learning in Edge Computing. Proc. ACM Interact. Mob. Wearable Ubiquitous Technol. 7, 4, Article 204 (December 2023), 29 pages. https://doi.org/10.1145/3633808</t>
  </si>
  <si>
    <t>https://github.com/privacy-federated-learning/pastel</t>
  </si>
  <si>
    <t xml:space="preserve">The software prototype of PASTEL is available on GitHub.</t>
  </si>
  <si>
    <t xml:space="preserve">Eight publicly available datasets were used (e.g., MotionSense, CelebA), but no specific repository link for the prepared data is provided in the paper.</t>
  </si>
  <si>
    <t xml:space="preserve">Experiments were performed using NVIDIA A40 GPUs.</t>
  </si>
  <si>
    <t xml:space="preserve">Implemented using PyTorch 1.13 and Opacus library.</t>
  </si>
  <si>
    <t xml:space="preserve">Our experimental evaluations conducted on eight widely used datasets and five model architectures show that PASTEL significantly reduces membership inference attack success rates by up to -28%, reaching optimal privacy protection in most cases, with low to no perceptible impact on model accuracy.</t>
  </si>
  <si>
    <t>2023_Dec_205.pdf</t>
  </si>
  <si>
    <t xml:space="preserve">Enze Yi, Fusang Zhang, Jie Xiong, Kai Niu, Zhiyun Yao, and Daqing Zhang. 2024. Enabling WiFi Sensing on New-generation WiFi Cards. Proc. ACM Interact. Mob. Wearable Ubiquitous Technol. 7, 4, Article 205 (December 2023), 26 pages. https://doi.org/10.1145/3633807</t>
  </si>
  <si>
    <t xml:space="preserve">Human respiration and tracking data with volunteers; no dataset release link.</t>
  </si>
  <si>
    <t xml:space="preserve">Requires specific new-generation WiFi cards (Qualcomm QCN5054, Broadcom BCM43794, AicSemi Aic8800) and old cards (Intel 5300) for comparison.</t>
  </si>
  <si>
    <t xml:space="preserve">Open-source PicoScenes used for AX200 CSI; standard signal processing on a laptop.</t>
  </si>
  <si>
    <t xml:space="preserve">Methods and pseudocode only; no runnable setup or repo.</t>
  </si>
  <si>
    <t xml:space="preserve">We believe it is critical to ensure WiFi sensing compatible with the latest WiFi protocols and this work moves one important step towards real-life adoption of WiFi sensing.</t>
  </si>
  <si>
    <t>2023_Sep_083.pdf</t>
  </si>
  <si>
    <t xml:space="preserve">Fawad Ahmad, Christina Suyong Shin, Rajrup Ghosh, John D'Ambrosio, Eugene Chai, Karthikeyan Sundaresan, and Ramesh Govindan. 2023. AeroTraj: Trajectory Planning for Fast, and Accurate 3D Reconstruction Using a Drone-based LiDAR. Proc. ACM Interact. Mob. Wearable Ubiquitous Technol. 7, 3, Article 83 (September 2023), 28 pages. https://doi.org/10.1145/3610911</t>
  </si>
  <si>
    <t xml:space="preserve">lidar drone</t>
  </si>
  <si>
    <t xml:space="preserve">AeroTraj can reconstruct large structures with centimeter-level accuracy and with an average end-to-end latency below 250 ms, significantly outperforming the state of the art.</t>
  </si>
  <si>
    <t>2023_Sep_084.pdf</t>
  </si>
  <si>
    <t xml:space="preserve">Abul Al Arabi, Xue Wang, Yang Zhang, and Jeeeun Kim. 2023. E3D: Harvesting Energy from Everyday Kinetic Interactions Using 3D Printed Attachment Mechanisms. Proc. ACM Interact. Mob. Wearable Ubiquitous Technol. 7, 3, Article 84 (September 2023), 31 pages. https://doi.org/10.1145/3610897</t>
  </si>
  <si>
    <t>https://github.com/abulalarabi/e3d</t>
  </si>
  <si>
    <t xml:space="preserve">only scad design files, no code for design editor or app</t>
  </si>
  <si>
    <t xml:space="preserve">geared DC motors, LTC3588 energy harvester module, Schottky diodes, LIR2032, and 18650 Li-ion batteries</t>
  </si>
  <si>
    <t xml:space="preserve">read me empty</t>
  </si>
  <si>
    <t xml:space="preserve">We present E3D, an end-to-end fabrication toolkit to customize self-powered smart devices at low cost. We contribute to a taxonomy of everyday kinetic activities that are potential sources of energy, a library of parametric mechanisms to harvest energy from manual operations of kinetic objects, and a holistic design system for end-user developers to capture design requirements by demonstrations then customize augmentation devices to harvest energy that meets unique lifestyle.</t>
  </si>
  <si>
    <t>2023_Sep_085.pdf</t>
  </si>
  <si>
    <t xml:space="preserve">Riku Arakawa, Bing Zhou, Gurunandan Krishnan, Mayank Goel, and Shree K. Nayar. 2023. MI-Poser: Human Body Pose Tracking Using Magnetic and Inertial Sensor Fusion with Metal Interference Mitigation. Proc. ACM Interact. Mob. Wearable Ubiquitous Technol. 7, 3, Article 85 (September 2023), 24 pages. https://doi.org/10.1145/3610891</t>
  </si>
  <si>
    <t xml:space="preserve">public dataset cited, self collected data during user study not available</t>
  </si>
  <si>
    <t xml:space="preserve">EMF transmitter and wristworn emf sensors, ar glasses</t>
  </si>
  <si>
    <t xml:space="preserve">We introduce a novel body tracking system, MI-Poser, which employs AR glasses and two wrist-worn electromagnetic field (EMF) sensors to achieve high-fidelity upper-body pose estimation while mitigating metal interference. Our lightweight system demonstrates a minimal error (6.6 cm mean joint position error) with real-world data collected from 10 participants. It remains robust against various upper-body movements and operates efficiently at 60 Hz. Furthermore, by incorporating an IMU sensor co-located with the EMF sensor, MI-Poser presents solutions to counteract the effects of metal interference, which inherently disrupts the EMF signal during tracking. Our evaluation effectively showcases the successful detection and correction of interference using our EMF-IMU fusion approach across environments with diverse metal profiles. Ultimately, MI-Poser offers a practical pose tracking system, particularly suited for body-centric AR applications.</t>
  </si>
  <si>
    <t>2023_Sep_086.pdf</t>
  </si>
  <si>
    <t xml:space="preserve">Sejal Bhalla, Salaar Liaqat, Robert Wu, Andrea S. Gershon, Eyal de Lara, and Alex Mariakakis. 2023. PulmoListener: Continuous Acoustic Monitoring of Chronic Obstructive Pulmonary Disease in the Wild. Proc. ACM Interact. Mob. Wearable Ubiquitous Technol. 7, 3, Article 86 (September 2023), 24 pages. https://doi.org/10.1145/3610889</t>
  </si>
  <si>
    <t xml:space="preserve">samsung galaxy smart watch (data collection)</t>
  </si>
  <si>
    <t xml:space="preserve">To evaluate our approach, we conducted a study with 8 COPD patients over 164 ± 92 days on average. We found that PulmoListener achieved an average sensitivity of 0.79 ± 0.03 and a specificity of 0.83 ± 0.05 per patient when classifying their symptom severity on the same day. PulmoListener can also predict the severity level up to 4 days in advance with an average sensitivity of 0.75 ± 0.02 and a specificity of 0.74 ± 0.07. The results of our study demonstrate the feasibility of leveraging natural speech for monitoring COPD in real-world settings, offering a promising solution for disease management and even diagnosis.</t>
  </si>
  <si>
    <t>2023_Sep_087.pdf</t>
  </si>
  <si>
    <t xml:space="preserve">Sudershan Boovaraghavan, Prasoon Patidar, and Yuvraj Agarwal. 2023. TAO: Context Detection from Daily Activity Patterns Using Temporal Analysis and Ontology. Proc. ACM Interact. Mob. Wearable Ubiquitous Technol. 7, 3, Article 87 (September 2023), 32 pages. https://doi.org/10.1145/3610896</t>
  </si>
  <si>
    <t>http://www.github.com/synergylabs/tao</t>
  </si>
  <si>
    <t xml:space="preserve">two public datasets, real world dataset not available</t>
  </si>
  <si>
    <t xml:space="preserve">environment setup and running instructions in github repo readme</t>
  </si>
  <si>
    <t xml:space="preserve">We evaluate TAO on real-world activity datasets (Casas and Extrasensory) and show that our system achieves, on average, 87% and 80% accuracy for context detection, respectively. We deploy and evaluate TAO in a real-world setting with eight participants using our system for three hours each, demonstrating TAO's ability to capture semantically meaningful contexts in the real world. Finally, to showcase the usefulness of contexts, we prototype wellness applications that assess productivity and stress and show that the wellness metrics calculated using contexts provided by TAO are much closer to the ground truth (on average within 1.1%), as compared to the baseline approach (on average within 30%).</t>
  </si>
  <si>
    <t>2023_Sep_088.pdf</t>
  </si>
  <si>
    <t xml:space="preserve">Ling Chen, Rong Hu, Menghan Wu, and Xin Zhou. 2023. HMGAN: A Hierarchical Multi-Modal Generative Adversarial Network Model for Wearable Human Activity Recognition. Proc. ACM Interact. Mob. Wearable Ubiquitous Technol. 7, 3, Article 88 (September 2023), 27 pages. https://doi.org/10.1145/3610909</t>
  </si>
  <si>
    <t>https://github.com/Rxannro/HMGAN</t>
  </si>
  <si>
    <t xml:space="preserve">6 public datasets cited and three linked in github repo</t>
  </si>
  <si>
    <t xml:space="preserve">dependencies, quickstart instructions, and links to data</t>
  </si>
  <si>
    <t xml:space="preserve">Extensively evaluate HMGAN on five public WHAR datasets. Compared to the state-of-the-art methods, HMGAN achieves competitive performance as a DA method for WHAR, outperforming the best baseline by an average of 3.4%, 3.8%, and 3.5% in accuracy, macro F1 score, and weighted F1 score, respectively. By qualitative and quantitative study, we demonstrate that the data generated by HMGAN are realistic, diverse, and class- discriminative. In addition, we find HMGAN to be most effective on the sensor placements where both modality- specific and modality-shared information is not negligible.</t>
  </si>
  <si>
    <t>2023_Sep_089.pdf</t>
  </si>
  <si>
    <t xml:space="preserve">Weiyan Chen, Hongliu Yang, Xiaoyang Bi, Rong Zheng, Fusang Zhang, Peng Bao, Zhaoxin Chang, Xujun Ma, and Daqing Zhang. 2023. Environment-aware Multi-person Tracking in Indoor Environments with MmWave Radars. Proc. ACM Interact. Mob. Wearable Ubiquitous Technol. 7, 3, Article 89 (September 2023), 29 pages. https://doi.org/10.1145/3610902</t>
  </si>
  <si>
    <t xml:space="preserve">mmWave radar, model 𝐶𝐴𝐿77𝑆244𝐴𝐸</t>
  </si>
  <si>
    <t xml:space="preserve">The proposed environment-aware multi-person tracking system can generate reflection maps with a mean error of 15.5𝑐𝑚 and a 90-percentile error of 30.3𝑐𝑚, and achieve multi-person tracking accuracy with a mean error of 8.6𝑐𝑚 and a 90-percentile error of 17.5𝑐𝑚, in four representative indoor spaces with diverse subjects using a single mmWave radar.</t>
  </si>
  <si>
    <t>2023_Sep_090.pdf</t>
  </si>
  <si>
    <t xml:space="preserve">Hyunsung Cho, Matthew L. Komar, and David Lindlbauer. 2023. RealityReplay: Detecting and Replaying Temporal Changes In Situ Using Mixed Reality. Proc. ACM Interact. Mob. Wearable Ubiquitous Technol. 7, 3, Article 90 (September 2023), 25 pages. https://doi.org/10.1145/3610888</t>
  </si>
  <si>
    <t>https://augmented-perception.org/publications/2023-realityreplay</t>
  </si>
  <si>
    <t xml:space="preserve">head-mounted MR display and a 360-degree camera</t>
  </si>
  <si>
    <t xml:space="preserve">hardware requirements, env setup, and running instructions</t>
  </si>
  <si>
    <t xml:space="preserve">We evaluated the performance and efficacy of RealityReplay in assisting users in sensemaking of temporal motion changes through a user study (n = 14). We compared our approach to memory-based recall and active monitoring. Participants achieved significantly better performance in identifying the order and trajectory of objects with RealityReplay, with reduced mental load and a higher level of success, in comparison to memory- based recall and active monitoring. RealityReplay captured and visualized 97.6% of all object movements, with 11.6% of missing frames on average. These results show that RealityReplay helps users in sensemaking of temporal motion events.</t>
  </si>
  <si>
    <t>2023_Sep_091.pdf</t>
  </si>
  <si>
    <t xml:space="preserve">Seokmin Choi, Junghwan Yim, Se Jun Kim, Yincheng Jin, Di Wu, and Zhanpeng Jin. 2023. VibPath: Two-Factor Authentication with Your Hand's Vibration Response to Unlock Your Phone. Proc. ACM Interact. Mob. Wearable Ubiquitous Technol. 7, 3, Article 91 (September 2023), 26 pages. https://doi.org/10.1145/3610894</t>
  </si>
  <si>
    <t xml:space="preserve">smartphone, smart watch</t>
  </si>
  <si>
    <t xml:space="preserve">In a user study with 30 participants, VibPath achieved an average performance of 0.98 accuracy, 0.99 precision, 0.98 recall, 0.98 f1-score for user verification, and 94.3% accuracy for user identification across five passcodes. Furthermore, we also conducted several extensive studies, including in-the-wile, permanence, vulnerability, usability, and system overhead studies, to assess the practicability and viability of the VibPath from multiple aspects.</t>
  </si>
  <si>
    <t>2023_Sep_092.pdf</t>
  </si>
  <si>
    <t xml:space="preserve">Josh Urban Davis, Hongwei Wang, Parmit K. Chilana, and Xing-Dong Yang. 2023. "It's Not an Issue of Malice, but of Ignorance": Towards Inclusive Video Conferencing for Presenters Who are d/Deaf or Hard of Hearing. Proc. ACM Interact. Mob. Wearable Ubiquitous Technol. 7, 3, Article 92 (September 2023), 31 pages. https://doi.org/10.1145/3610901</t>
  </si>
  <si>
    <t xml:space="preserve">chrome browser</t>
  </si>
  <si>
    <t xml:space="preserve">Based on these findings, we prototyped a suite of tools, called Erato that enables DHH speakers to be aware of their performance while speaking and remind participants of proper etiquette. We evaluated Erato by running a mock classroom case study over VC for three sessions. All participants felt more confident in their speaking ability and paid closer attention to making the classroom more inclusive while using our tool. We share implications of these results for the design of VC interfaces and human-the-the-loop assistive systems that can support users who are DHH to communicate effectively and advocate for their accessibility needs.</t>
  </si>
  <si>
    <t>2023_Sep_093.pdf</t>
  </si>
  <si>
    <t xml:space="preserve">Md Ehtesham-Ul-Haque and Syed Masum Billah. 2023. Abacus Gestures: A Large Set of Math-Based Usable Finger-Counting Gestures for Mid-Air Interactions. Proc. ACM Interact. Mob. Wearable Ubiquitous Technol. 7, 3, Article 93 (September 2023), 30 pages. https://doi.org/10.1145/3610898</t>
  </si>
  <si>
    <t>webcam</t>
  </si>
  <si>
    <t xml:space="preserve">We developed an algorithm using an off-the-shelf computer vision library capable of detecting these gestures from a 2D commodity camera feed with an accuracy exceeding 98% for palms facing the camera and 95% for palms facing the body. We assessed the detection accuracy, ease of learning, and usability of these gestures in a user study involving 20 participants. The study found that participants could learn Abacus Gestures within five minutes after executing just 15 gestures and could recall them after a four-month interval. Additionally, most participants developed motor memory for these gestures after performing 100 gestures. Most of the gestures were easy to execute with the designated finger combinations, and the flexibility in executing the gestures using multiple finger combinations further enhanced the usability.</t>
  </si>
  <si>
    <t>2023_Sep_094.pdf</t>
  </si>
  <si>
    <t xml:space="preserve">Feiyi Fan, Yang Gu, Jianfei Shen, Fan Dong, and Yiqiang Chen. 2023. FewShotBP: Towards Personalized Ubiquitous Continuous Blood Pressure Measurement. Proc. ACM Interact. Mob. Wearable Ubiquitous Technol. 7, 3, Article 94 (September 2023), 39 pages. https://doi.org/10.1145/3610918</t>
  </si>
  <si>
    <t>https://github.com/easyfan327/FewShotBP</t>
  </si>
  <si>
    <t xml:space="preserve">public dataset available, real world not available</t>
  </si>
  <si>
    <t>MATLAB.</t>
  </si>
  <si>
    <t xml:space="preserve">data preparation, environment setup and running instructions</t>
  </si>
  <si>
    <t xml:space="preserve">The results demonstrated that the proposed approach achieves similar accuracy of blood pressure prediction with 10× less data for personalization compared with the state-of-the-art method in the public dataset and achieves a mean absolute error of 6.68 mmHg (systolic blood pressure) and 3.91 mmHg (diastolic blood pressure) with only 10 personal data samples in the real-world user experiment.</t>
  </si>
  <si>
    <t>2023_Sep_095.pdf</t>
  </si>
  <si>
    <t xml:space="preserve">Likun Fang, Timo Müller, Erik Pescara, Nikola Fischer, Yiran Huang, and Michael Beigl. 2023. Investigating Passive Haptic Learning of Piano Songs Using Three Tactile Sensations of Vibration, Stroking and Tapping. Proc. ACM Interact. Mob. Wearable Ubiquitous Technol. 7, 3, Article 95 (September 2023), 19 pages. https://doi.org/10.1145/3610899</t>
  </si>
  <si>
    <t>https://github.com/teco-kit/discriminative_touch_and_affective_touch_actuators</t>
  </si>
  <si>
    <t xml:space="preserve">prototypes for wearables, arduino, keyboard</t>
  </si>
  <si>
    <t xml:space="preserve">no instructions in the repo</t>
  </si>
  <si>
    <t xml:space="preserve">The subjects were then tested on their remembered note sequences after each learning session. Our results indicate that the sensations of tapping or stroking are as effective as the vibration system in passive haptic learning of piano songs, providing viable alternatives to the vibration sensations that have been used so far. We also found that participants on average made up to 1.06 errors less when using affective inputs, namely tapping or stroking. As the first work exploring the differences in multiple types of tactile sensations in PHL, we offer our design to the readers and hope they may employ our works for further research of PHL.</t>
  </si>
  <si>
    <t>2023_Sep_096.pdf</t>
  </si>
  <si>
    <t xml:space="preserve">Ziqi Gao, Yuntao wang, Jianguo Chen, Junliang Xing, Shwetak Patel, Xin Liu, and Yuanchun Shi. 2023. MMTSA: Multi-Modal Temporal Segment Attention Network for Efficient Human Activity Recognition. Proc. ACM Interact. Mob. Wearable Ubiquitous Technol. 7, 3, Article 96 (September 2023), 26 pages. https://doi.org/10.1145/3610872</t>
  </si>
  <si>
    <t xml:space="preserve">three public datasets used</t>
  </si>
  <si>
    <t xml:space="preserve">We evaluated and compared MMTSA’s performance with SOTA methods on three public multimodal HAR datasets. Results show that MMTSA achieves an improvement of 11.13% and 2.59% (F1-score) on the MMAct dataset for the cross-subject and cross-session evaluations, respectively. The edge deployment evaluation shows that MMTSA achieves 16.2% higher accuracy and reduces 94% of FLOPs and 82.6% of inference latency when compared with SOTA methods.</t>
  </si>
  <si>
    <t>2023_Sep_097.pdf</t>
  </si>
  <si>
    <t xml:space="preserve">Jiawei Hu, Yanxiang Wang, Hong Jia, Wen Hu, Mahbub Hassan, Brano Kusy, Ashraf Uddin, and Moustafa Youssef. 2023. Iris: Passive Visible Light Positioning Using Light Spectral Information. Proc. ACM Interact. Mob. Wearable Ubiquitous Technol. 7, 3, Article 97 (September 2023), 27 pages. https://doi.org/10.1145/3610913</t>
  </si>
  <si>
    <t xml:space="preserve">spectral sensors, c2650 micro-controller, custom pcb</t>
  </si>
  <si>
    <t xml:space="preserve">Our results demonstrate that Iris performs effectively in both artificial lighting at night and in highly dynamic natural lighting conditions during the day. Moreover, Iris outperforms the state-of-the-art passive VLP techniques significantly in terms of localization accuracy and the required density of light sensors. To reduce the overhead associated with multi-channel spectral sensing, we develop and validate an algorithm that can minimize the required number of spectral channels for a given environment. Finally, we propose a conditional Generative Adversarial Network (cGAN) that can artificially generate LSI and reduce data collection effort by 50% without sacrificing localization accuracy.</t>
  </si>
  <si>
    <t>2023_Sep_098.pdf</t>
  </si>
  <si>
    <t xml:space="preserve">Yongquan Hu, Hui-Shyong Yeo, Mingyue Yuan, Haoran Fan, Don Samitha Elvitigala, Wen Hu, and Aaron Quigley. 2023. MicroCam: Leveraging Smartphone Microscope Camera for Context-Aware Contact Surface Sensing. Proc. ACM Interact. Mob. Wearable Ubiquitous Technol. 7, 3, Article 98 (September 2023), 28 pages. https://doi.org/10.1145/3610921</t>
  </si>
  <si>
    <t xml:space="preserve">Experimental results highlight the superior accuracy, robustness and generalization of the proposed method. Lastly, we conducted a comprehensive discussion centered on our prototype, encompassing topics such as system performance and potential applications and scenarios.</t>
  </si>
  <si>
    <t>2023_Sep_099.pdf</t>
  </si>
  <si>
    <t xml:space="preserve">Tian Huang, Chun Yu, Weinan Shi, Bowen Wang, David Yang, Yihao Zhu, Zhaoheng Li, and Yuanchun Shi. 2023. Interaction Proxy Manager: Semantic Model Generation and Run-time Support for Reconstructing Ubiquitous User Interfaces of Mobile Services. Proc. ACM Interact. Mob. Wearable Ubiquitous Technol. 7, 3, Article 99 (September 2023), 39 pages. https://doi.org/10.1145/3610929</t>
  </si>
  <si>
    <t xml:space="preserve">pseudocode and description in appendix</t>
  </si>
  <si>
    <t xml:space="preserve">dataset described in appendix</t>
  </si>
  <si>
    <t xml:space="preserve">In this paper, we elaborate the design and implementation of our IPManager, and demonstrate its effectiveness by developing three typical proxies, mobile-smartwatch, mobile-vehicle and mobile-voice. We conclude by discussing the value of our approach to promote ubiquitous computing, as well as its limitations.</t>
  </si>
  <si>
    <t>2023_Sep_100.pdf</t>
  </si>
  <si>
    <t xml:space="preserve">Nuwan Janaka, Jie Gao, Lin Zhu, Shengdong Zhao, Lan Lyu, Peisen Xu, Maximilian Nabokow, Silang Wang, and Yanch Ong. 2023. GlassMessaging: Towards Ubiquitous Messaging Using OHMDs. Proc. ACM Interact. Mob. Wearable Ubiquitous Technol. 7, 3, Article 100 (September 2023), 32 pages. https://doi.org/10.1145/3610931</t>
  </si>
  <si>
    <t>https://github.com/NUS-HCILab/GlassMessaging</t>
  </si>
  <si>
    <t xml:space="preserve">supplementary material contais zip with "Supplemental movie, appendix, image and software files" but only contais image and movie (not mentioned in paper)</t>
  </si>
  <si>
    <t xml:space="preserve">Microsoft HoloLens 2, Sanwa Supply 400-MA077</t>
  </si>
  <si>
    <t xml:space="preserve">instructions and requirements in the repo</t>
  </si>
  <si>
    <t xml:space="preserve">The affordance of GlassMessaging also allows users easier access to voice input than the phone, which thus reduces the response time by 33.1% and increases the texting speed by 40.3%, with a cost in texting accuracy of 2.5%, particularly when the texting complexity increases.</t>
  </si>
  <si>
    <t>2023_Sep_101.pdf</t>
  </si>
  <si>
    <t xml:space="preserve">Weina Jiang, Lin Shi, Qun Niu, and Ning Liu. 2023. Fast Radio Map Construction with Domain Disentangled Learning for Wireless Localization. Proc. ACM Interact. Mob. Wearable Ubiquitous Technol. 7, 3, Article 101 (September 2023), 27 pages. https://doi.org/10.1145/3610922</t>
  </si>
  <si>
    <t xml:space="preserve">one public dataset, five self collected</t>
  </si>
  <si>
    <t xml:space="preserve">Huawei MT7-TL10 device</t>
  </si>
  <si>
    <t xml:space="preserve">Experimental results demonstrate that RMDA constructs a fine-grained initial radio map of a target site efficiently with a limited number of measurements. Meanwhile, the localization accuracy of the refined radio map with RMDA significantly improved by about 41.35% after construction and is comparable with the dense surveyed radio map (the reduction is less than 8%).</t>
  </si>
  <si>
    <t>2023_Sep_102.pdf</t>
  </si>
  <si>
    <t xml:space="preserve">Weiwei Jiang, Chaofan Wang, Zhanna Sarsenbayeva, Andrew Irlitti, Jing Wei, Jarrod Knibbe, Tilman Dingler, Jorge Goncalves, and Vassilis Kostakos. 2023. InfoPrint: Embedding Interactive Information in 3D Prints Using Low-Cost Readily-Available Printers and Materials. Proc. ACM Interact. Mob. Wearable Ubiquitous Technol. 7, 3, Article 102 (September 2023), 29 pages. https://doi.org/10.1145/3610933</t>
  </si>
  <si>
    <t xml:space="preserve">FDM 3D printer</t>
  </si>
  <si>
    <t xml:space="preserve">Autodesk Fusion 360</t>
  </si>
  <si>
    <t xml:space="preserve">In this paper, we present an information embedding technique using low-cost off-the-shelf dual extruder FDM (Fused Deposition Modeling) 3D printers, common materials (e.g., generic PLA), and a mobile thermal device (e.g., a thermal smartphone), by leveraging the thermal properties of common 3D print materials. In addition, we show our method can also be generalized to conventional near-infrared imaging scenarios. We evaluate our technique against multiple design and fabrication parameters and propose a design guideline for different use cases.</t>
  </si>
  <si>
    <t>2023_Sep_103.pdf</t>
  </si>
  <si>
    <t xml:space="preserve">Kazi Sinthia Kabir and Jason Wiese. 2023. A Meta-Synthesis of the Barriers and Facilitators for Personal Informatics Systems. Proc. ACM Interact. Mob. Wearable Ubiquitous Technol. 7, 3, Article 103 (September 2023), 35 pages. https://doi.org/10.1145/3610893</t>
  </si>
  <si>
    <t>2023_Sep_104.pdf</t>
  </si>
  <si>
    <t xml:space="preserve">Gwangbin Kim, Dohyeon Yeo, Taewoo Jo, Daniela Rus, and SeungJun Kim. 2023. What and When to Explain? On-road Evaluation of Explanations in Highly Automated Vehicles. Proc. ACM Interact. Mob. Wearable Ubiquitous Technol. 7, 3, Article 104 (September 2023), 26 pages. https://doi.org/10.1145/3610886</t>
  </si>
  <si>
    <t>https://github.com/GWANGBIN/WW2E</t>
  </si>
  <si>
    <t xml:space="preserve">No Instructions about how to run the Code can be found inside the Repo.</t>
  </si>
  <si>
    <t xml:space="preserve">• We build a TCP-based Unity-Python framework to test algorithmic explanations under in-car VR settings.• We test the impact of perception and attention explanations in actual vehicles and report both quantitativeand qualitative passenger experiences, along with empirical findings from a 30-participant experiment.• We provide a model that illustrates how different types and timing mechanisms of explanations promotethe acceptance of automated vehicles.</t>
  </si>
  <si>
    <t>2023_Sep_105.pdf</t>
  </si>
  <si>
    <t xml:space="preserve">Jiha Kim, Younho Nam, Jungeun Lee, Young-Joo Suh, and Inseok Hwang. 2023. ProxiFit: Proximity Magnetic Sensing Using a Single Commodity Mobile toward Holistic Weight Exercise Monitoring. Proc. ACM Interact. Mob. Wearable Ubiquitous Technol. 7, 3, Article 105 (September 2023), 32 pages. https://doi.org/10.1145/3610920</t>
  </si>
  <si>
    <t xml:space="preserve">Smartphone e.g. iPhone 12 Pro, Smartwatch e.g. Apple Watch Series 6</t>
  </si>
  <si>
    <t xml:space="preserve">open source AIToolbox module,iOS CoreMotion API's,LIBSVM library,wavelib</t>
  </si>
  <si>
    <t xml:space="preserve">We presented ProxiFit, a novel proximity magnetic monitoring system supporting most weight exercise categoriesfrequently performed at gyms: lower-body machines, upper-body machines, and free-weight. ProxiFit leveragesthe intrinsic magnetism of weight equipment. ProxiFit uses only a single commodity mobile device that mostusers already own, i.e., either a smartphone or a smartwatch, and does not require any instrumentation on theequipment or the gym space. ProxiFit brings two unprecedented features to commodity COTS device-basedweight exercise tracking: (1) its wearable mode newly supports previously unsupported weight exercise categorieswhile ensuring the natural way to wear that device; (2) it features the new signage mode, enabling rich user-devicevisual interaction while the exercises are being tracked in the background. We developed a prototype of ProxiFiton iPhone 12 Pro and Apple Watch Series 6. We addressed the unique signals and learning challenges, and verifiedits performance and usability along with natural end-to-end gym routines as well as against diverse reality factorsexpected in real, longitudinal deployment.</t>
  </si>
  <si>
    <t>2023_Sep_106.pdf</t>
  </si>
  <si>
    <t xml:space="preserve">Matias Laporte, Martin Gjoreski, and Marc Langheinrich. 2023. LAUREATE: A Dataset for Supporting Research in Affective Computing and Human Memory Augmentation. Proc. ACM Interact. Mob. Wearable Ubiquitous Technol. 7, 3, Article 106 (September 2023), 41 pages. https://doi.org/10.1145/3610892</t>
  </si>
  <si>
    <t xml:space="preserve">While the underlying code and datasets are secondary to the primary objectives of this study, they are available to researchers upon request and the signing of a formal sharing agreement</t>
  </si>
  <si>
    <t xml:space="preserve">In this work, we presented a dataset we collected during a 13-week study in a university setting. The datasetcomprises raw physiological data (namely, ACC, EDA, TEMP, BVP) and expert features (Section 3.5, Appendix A)from 42 student participants and 2 lecturers during 26 recording sessions (i.e. lectures) along with daily surveyscovering the participants’ habits (such as study, physical activity, sleep quality, caffeine and breakfast intakes).The dataset also includes students’ performance in the different course examinations (i.e. quizzes, assignmentsand exams) and timestamped class topics.Our dataset differs from similar work in the area in several aspects. First, multiple datasets in the affectivecomputing domain only contain one session per subject, limiting the analysis of inter-subject and intra-subjectcorrelations. Paired with the daily self-reports, this longitudinal study also enables the analysis of trends and habitsthroughout the semester, as well as the collective affective status of the students during class. Second, some of theother datasets were collected in laboratory or uncontrolled settings, increasing the number of artefacts in the data.Our dataset benefits from being an in-the-wild experiment in a relatively controlled environment (structuredclasses in a University setting), minimising the risk of spurious data. Third, compared to the most importantwork in a similar university setting, StudentLife [120], our dataset contains the participants’ physiological signalsattending to one of their courses, which expands the dataset’s possibilities.Regardless of our primary research motivation to use this dataset for exploring HMA systems, we believe thatDATASET offers a significant contribution to the UbiComp community, including but not limited to affectivecomputing tasks. We covered some of the possibilities that this dataset offers in Section 4 - Validation, usingstatistical analysis and ML models. We still envision much more other applications for it, such as:• comparing physiological signals of– caffeine drinkers vs. not drinkers– breakfast eaters (small? big?) vs. no breakfast– physically active vs. sedentary– top-performers vs. low-performers– good sleep quality vs bad sleep quality (either in aggregated form or within-subjects)• user identification from physiological signals• device identification from device-specific bias• activity detection (in-class vs breaks)• affect prediction/modelling from physiological signals and self-reports• engagement detection from self-reports (e.g. effects of sleep, nutrition, physical activity on class sentiment)• learning performance prediction• modelling behaviour (exercise level, sleep quality, food and caffeine intake)</t>
  </si>
  <si>
    <t>2023_Sep_107.pdf</t>
  </si>
  <si>
    <t xml:space="preserve">Jiyang Li, Lin Huang, Siddharth Shah, Sean J. Jones, Yincheng Jin, Dingran Wang, Adam Russell, Seokmin Choi, Yang Gao, Junsong Yuan, and Zhanpeng Jin. 2023. SignRing: Continuous American Sign Language Recognition Using IMU Rings and Virtual IMU Data. Proc. ACM Interact. Mob. Wearable Ubiquitous Technol. 7, 3, Article 107 (September 2023), 29 pages. https://doi.org/10.1145/3610881</t>
  </si>
  <si>
    <r>
      <rPr/>
      <t xml:space="preserve">The IMU data used in this study was derived from the American Sign Language Lexicon Video Dataset. Although this dataset was originally hosted by Boston University, it is currently listed as unavailable through their primary Database Access Interface : </t>
    </r>
    <r>
      <rPr>
        <u val="single"/>
        <color rgb="FF1155CC"/>
      </rPr>
      <t>http://dai.cs.rutgers.edu/dai/s/signbank</t>
    </r>
  </si>
  <si>
    <t xml:space="preserve">proprietary SignRing Hardware is required.</t>
  </si>
  <si>
    <t xml:space="preserve">MATLAB with Computer Vision Toolbox,</t>
  </si>
  <si>
    <t xml:space="preserve">• We generate the v-IMU data from the knowledge learned from the visual modality to augment the IMUdataset. We proposed a two-view triangulation tracking approach to generate accurate 3-axis accelerationdata of 3D hand joints from two-view videos.• We cooperate ASL learning with generated v-IMU data by mapping the fine-grained gesture informationfrom the generated virtual IMU data to SignRing’s coordinates for two fingers, which pushes the boundaryof the proposed wearable-based solution to a 934 vocabulary size and sentences up to 16 glosses.• We performed a complete evaluation study that shows the model is generalizable with the increase ofv-IMU training data, vocabulary size, and sentence length. Our study also showed that the model achievesa WER of 14.7% on new users without collecting training data.</t>
  </si>
  <si>
    <t>2023_Sep_108.pdf</t>
  </si>
  <si>
    <t xml:space="preserve">Zisu Li, Li Feng, Chen Liang, Yuru Huang, and Mingming Fan. 2023. Exploring the Opportunities of AR for Enriching Storytelling with Family Photos between Grandparents and Grandchildren. Proc. ACM Interact. Mob. Wearable Ubiquitous Technol. 7, 3, Article 108 (September 2023), 26 pages. https://doi.org/10.1145/3610903</t>
  </si>
  <si>
    <t xml:space="preserve">Source Code for the developed AR Photo Album app is required.</t>
  </si>
  <si>
    <t xml:space="preserve">HoloLens 2 Vr Headset,Video Cameras</t>
  </si>
  <si>
    <t xml:space="preserve">Unreal Engine 4,Microsoft Mixed Reality Toolkit, 3D Viewers</t>
  </si>
  <si>
    <t xml:space="preserve">In sum, we make three contributions: 1) We identified how grandparents and grandchildren perform photo-based intergenerational storytelling in terms of story content, presentation, and organization. 2) We uncoveredseven ways how grandparents and grandchildren would want to leverage AR to assist their intergenerationalstorytelling. 3) We proposed design implications and possible ways to integrate the implications for designingAR-enabled photo-based intergenerational storytelling.</t>
  </si>
  <si>
    <t>2023_Sep_109.pdf</t>
  </si>
  <si>
    <t xml:space="preserve">Dawei Liang, Alice Zhang, and Edison Thomaz. 2023. Automated Face-To-Face Conversation Detection on a Commodity Smartwatch with Acoustic Sensing. Proc. ACM Interact. Mob. Wearable Ubiquitous Technol. 7, 3, Article 109 (September 2023), 29 pages. https://doi.org/10.1145/3610882</t>
  </si>
  <si>
    <t>https://doi.org/10.18738/T8/U6CFIP</t>
  </si>
  <si>
    <t xml:space="preserve">Smartwatch, Workstation capable of training a deep neural network.</t>
  </si>
  <si>
    <t xml:space="preserve">Python,TensorFlow library</t>
  </si>
  <si>
    <t xml:space="preserve">• A practical approach for detecting face-to-face conversations by leveraging acoustic sensing with an off-the-shelf smartwatch. Our approach relies on a customized feature fusion framework based on lightweightneural networks. We optimize deployment of this framework by exploring techniques for power usageoptimization based on adaptive sampling and contextual cues.• An evaluation of our framework through a semi-naturalistic study of 39 participants (18 groups) in theirhomes and an unconstrained free-living study of four participants, including one participant over a week.In the semi-naturalistic study, our framework achieves an 83.2% F1 score for detecting user conversations.In the free-living study, it achieves an 83.3% F1 score. To the best of our knowledge, this is the first in-depthstudy to evaluate acoustic model performance for real-life face-to-face conversation detection based on asmartwatch.• A system implementation of our method that can run on a watch in real-time. With this implementation,we demonstrate several strategies to improve the system’s practicality, demonstrating its ability to detectconversations with low latency and optimized power consumption.</t>
  </si>
  <si>
    <t>2023_Sep_110.pdf</t>
  </si>
  <si>
    <t xml:space="preserve">Kun Liang, Anfu Zhou, Zhan Zhang, Hao Zhou, Huadong Ma, and Chenshu Wu. 2023. MmStress: Distilling Human Stress from Daily Activities via Contact-less Millimeter-wave Sensing. Proc. ACM Interact. Mob. Wearable Ubiquitous Technol. 7, 3, Article 110 (September 2023), 36 pages. https://doi.org/10.1145/3610926</t>
  </si>
  <si>
    <t>https://github.com/shadowamy/Activity-Stress</t>
  </si>
  <si>
    <t xml:space="preserve">a customized TI IWR6843ODS,Garmin Venu Sq,Workstation capable of training a neural network</t>
  </si>
  <si>
    <t xml:space="preserve">TI CCSTUDIO,Gtrack-Library,Python,Pytorch,</t>
  </si>
  <si>
    <t xml:space="preserve">(1) We propose mmStress, a mmWave sensing system to infer human stress level, while the subject moves freelywithout any restriction. mmStress represents the first automatic and non-intrusive solution to exploit thepsychological correlation between stress and displacement activities.(2) We customize a neural network to detect the latent displacement activities submerged in various normalactivities, and a post-hoc logit adjustment procedure to solve the stress-data unbalance problem.(3) We prototype mmStress and perform a real-world and continuous trial study with 10 volunteers over a 4-weeksduration. We build a large-scale activity-stress dataset, which will release to the public (anonymous link athttps://github.com/shadowamy/Activity-Stress) to facilitate future study.</t>
  </si>
  <si>
    <t>2023_Sep_111.pdf</t>
  </si>
  <si>
    <t xml:space="preserve">Saif Mahmud, Ke Li, Guilin Hu, Hao Chen, Richard Jin, Ruidong Zhang, François Guimbretière, and Cheng Zhang. 2023. PoseSonic: 3D Upper Body Pose Estimation Through Egocentric Acoustic Sensing on Smartglasses. Proc. ACM Interact. Mob. Wearable Ubiquitous Technol. 7, 3, Article 111 (September 2023), 28 pages. https://doi.org/10.1145/3610895</t>
  </si>
  <si>
    <t xml:space="preserve">proprietary PoseSonic system,RGBD-Camera,Headphones,workstation capable of training a deep learning network</t>
  </si>
  <si>
    <t xml:space="preserve">Pytorch (Lightning),ResNet18 model, BlazePose GHUM 3D-model,software vor controlling the microcontrollers</t>
  </si>
  <si>
    <t xml:space="preserve">• We presented the first acoustic sensing system on smartglasses that can estimate upper body poses.• We designed and implemented a customized deep learning framework with cross-modal supervision tolearn 9 key points on the upper body without any manual labeling.• We conducted two user studies with a total of 22 participants in lab setting and the study demonstrates thepromising performance of PoseSonic across different participants and environments without the need ofcollecting training data from the new participant nor the environment. • We presented the first acoustic sensing system on smartglasses that can estimate upper body poses.• We designed and implemented a customized deep learning framework with cross-modal supervision tolearn 9 key points on the upper body without any manual labeling.• We conducted two user studies with a total of 22 participants in lab setting and the study demonstrates thepromising performance of PoseSonic across different participants and environments without the need ofcollecting training data from the new participant nor the environment.</t>
  </si>
  <si>
    <t>2023_Sep_112.pdf</t>
  </si>
  <si>
    <t xml:space="preserve">John Mamish, Amy Guo, Thomas Cohen, Julian Richey, Yang Zhang, and Josiah Hester. 2023. Interaction Harvesting: A Design Probe of User-Powered Widgets. Proc. ACM Interact. Mob. Wearable Ubiquitous Technol. 7, 3, Article 112 (September 2023), 31 pages. https://doi.org/10.1145/3610880</t>
  </si>
  <si>
    <t xml:space="preserve">Software Development;Hardware Development;User Study</t>
  </si>
  <si>
    <t>https://drive.google.com/file/d/1jCGIE8JYdmZLJCNquCfcwRskZ5zouplZ/view</t>
  </si>
  <si>
    <r>
      <rPr/>
      <t xml:space="preserve">the referenced Repo is empty. The Authors specify:"All software, hardware, and documentation is available at </t>
    </r>
    <r>
      <rPr>
        <u val="single"/>
        <color rgb="FF1155CC"/>
      </rPr>
      <t>https://drive.google.com/file/d/1jCGIE8JYdmZLJCNquCfcwRskZ5zouplZ/view</t>
    </r>
    <r>
      <rPr/>
      <t xml:space="preserve">" </t>
    </r>
  </si>
  <si>
    <t xml:space="preserve">proprietary "People Power" toolkit</t>
  </si>
  <si>
    <t xml:space="preserve">Code Composer Studio IDE or Energia IDE,</t>
  </si>
  <si>
    <t xml:space="preserve">(1) We present a hardware/software/mechanical toolkit for exploring the application and utility of interaction-powered devices. We design new circuits that cleanly separate the energy generation and storage from theuser input signals. The first circuit allows efficient capture of energy and input from multiple buttons on ashared bus, and the second circuit extends Peppermill [47] for fine-grained and continuous control of knobswith improved energy harvesting efficiency (see Figure 9). These circuits are modularized and softwaresupported for plug-n-play usage in the toolkit.(1) We present a hardware/software/mechanical toolkit for exploring the application and utility of interaction-powered devices. We design new circuits that cleanly separate the energy generation and storage from theuser input signals. The first circuit allows efficient capture of energy and input from multiple buttons on ashared bus, and the second circuit extends Peppermill [47] for fine-grained and continuous control of knobswith improved energy harvesting efficiency (see Figure 9). These circuits are modularized and softwaresupported for plug-n-play usage in the toolkit.</t>
  </si>
  <si>
    <t>2023_Sep_113.pdf</t>
  </si>
  <si>
    <t xml:space="preserve">Daniel Medeiros, Romane Dubus, Julie Williamson, Graham Wilson, Katharina Pöhlmann, and Mark McGill. 2023. Surveying the Social Comfort of Body, Device, and Environment-Based Augmented Reality Interactions in Confined Passenger Spaces Using Mixed Reality Composite Videos. Proc. ACM Interact. Mob. Wearable Ubiquitous Technol. 7, 3, Article 113 (September 2023), 25 pages. https://doi.org/10.1145/3610923</t>
  </si>
  <si>
    <t xml:space="preserve">The use of AR headsets by passengers is likely to see increasing adoption in the coming years, with discreet,glasses-like AR headsets offering more ergonomic, comfortable alternatives to existing mobile device displays. Abreadth of interaction techniques have been proposed for mobile AR, however, techniques are predominantlyconsidered for their usability and utility, with a lack of consideration regarding their perceived social comfort. Inparticular, we posit that the social comfort of a given AR-oriented interaction technique could vary significantly(both from the user and bystander perspective) within the passenger context, based on the extent of spectatorshipthe user is exposed to in varying seating configurations.However, systematically evaluating a breadth of interaction techniques across a range of passenger seatinglocations poses significant methodological challenges. These include prolonged, controlled access to publictransportation; the feasibility of conducting such a study in-situ (requiring several hours of evaluation perparticipant for a more traditional usability study); and the inability to find a single representative train or busthat features every predominant seating configuration commonly available across transit types.Consequently, in this paper, we extend social acceptance video survey methodology to use mixed reality-composited clips - allowing the re-creation and portrayal of a breadth of passenger scenarios and interactiontechniques in a controlled fashion. Using this approach, we surveyed (n=131) the social comfort of 12 interactiontechniques (including body-, device-, and environment-based techniques) across seven seating configurations(common across a range of transportation). For the first time, we systematically examine the influence ofinteraction technique and seating configuration on social comfort for passenger use of AR.</t>
  </si>
  <si>
    <t>2023_Sep_114.pdf</t>
  </si>
  <si>
    <t xml:space="preserve">Tzu-Wei Mi, Jia-Jun Wang, and Liwei Chan. 2023. LapTouch: Using the Lap for Seated Touch Interaction with HMDs. Proc. ACM Interact. Mob. Wearable Ubiquitous Technol. 7, 3, Article 114 (September 2023), 23 pages. https://doi.org/10.1145/3610878</t>
  </si>
  <si>
    <t xml:space="preserve">The source Code for the LapTouch system is not available.</t>
  </si>
  <si>
    <t xml:space="preserve">throughout this study a machine learning model (SVM) is deployed, to increase the accuracy of detecting touch gestures of the user. For the training of this model some datasets are required. </t>
  </si>
  <si>
    <t>VR-headset,Optitrack-system</t>
  </si>
  <si>
    <t xml:space="preserve">Unity 3D,Implementation of a SVM</t>
  </si>
  <si>
    <t xml:space="preserve">The paper makes two contributions. First, we conducted a study to inform the design of direct and indirecttouch interaction using the lap, which is supported by visual feedback that guides user touch. Second, we conducta second study to inform the design of eye-free touch interaction using the lap, in which no visual feedback isprovided to guide user touch.</t>
  </si>
  <si>
    <t>2023_Sep_115.pdf</t>
  </si>
  <si>
    <t xml:space="preserve">Xiangyao Qi, Qi Lu, Wentao Pan, Yingying Zhao, Rui Zhu, Mingzhi Dong, Yuhu Chang, Qin Lv, Robert P. Dick, Fan Yang, Tun Lu, Ning Gu, and Li Shang. 2023. CASES: A Cognition-Aware Smart Eyewear System for Understanding How People Read. Proc. ACM Interact. Mob. Wearable Ubiquitous Technol. 7, 3, Article 115 (September 2023), 31 pages. https://doi.org/10.1145/3610910</t>
  </si>
  <si>
    <r>
      <rPr>
        <u val="single"/>
        <color rgb="FF1155CC"/>
      </rPr>
      <t>https://github.com/MemX-Research/CASES</t>
    </r>
    <r>
      <rPr/>
      <t>S</t>
    </r>
  </si>
  <si>
    <t xml:space="preserve">proprietary CASES-prototype, Server for running the CASES-System</t>
  </si>
  <si>
    <t xml:space="preserve">NLP-Model (XLNet,Yake-Model)</t>
  </si>
  <si>
    <t xml:space="preserve">• We present a Cognition-Aware Smart Eyewear System (CASES) to probe and explain human cognitiveprocesses while reading. CASES aims to support the study of reading and learning to read, as well assupporting HCI and educational applications investigations on improving reading productivity. The CASESsystem is equipped with a deep neural network, CASES-Net, that extracts features pertaining to the visualattention history and text semantic content. It fuses the two types of features via a shared convolutionalfilter mechanism based on TCN to enable accurate reading state estimation at various granularities.• CASES is evaluated in real-world contexts. We conduct an ablation study involving 25 participants, inwhich CASES delivered superior reading state detection to baseline methods. Specifically, encoding textsemantic content facilitates learning from context cues and improves reading state estimation accuracy.Compared with the conventional eye-tracking-only method, we improve accuracy by 20.90% for sentence.Furthermore, the text semantic context enables quantitative explanations of reading (cognitive) states.• We integrate CASES into a novel interactive reading assistant system. Three and a half months of deploymentwith 13 in-field studies demonstrate that the integrated system can enable helpful interventions for readers,• We present a Cognition-Aware Smart Eyewear System (CASES) to probe and explain human cognitiveprocesses while reading. CASES aims to support the study of reading and learning to read, as well assupporting HCI and educational applications investigations on improving reading productivity. The CASESsystem is equipped with a deep neural network, CASES-Net, that extracts features pertaining to the visualattention history and text semantic content. It fuses the two types of features via a shared convolutionalfilter mechanism based on TCN to enable accurate reading state estimation at various granularities.• CASES is evaluated in real-world contexts. We conduct an ablation study involving 25 participants, inwhich CASES delivered superior reading state detection to baseline methods. Specifically, encoding textsemantic content facilitates learning from context cues and improves reading state estimation accuracy.Compared with the conventional eye-tracking-only method, we improve accuracy by 20.90% for sentence.Furthermore, the text semantic context enables quantitative explanations of reading (cognitive) states.• We integrate CASES into a novel interactive reading assistant system. Three and a half months of deploymentwith 13 in-field studies demonstrate that the integrated system can enable helpful interventions for readers,</t>
  </si>
  <si>
    <t>2023_Sep_116.pdf</t>
  </si>
  <si>
    <t xml:space="preserve">JaeYeon Park, Kichang Lee, Sungmin Lee, Mi Zhang, and JeongGil Ko. 2023. AttFL: A Personalized Federated Learning Framework for Time-series Mobile and Embedded Sensor Data Processing. Proc. ACM Interact. Mob. Wearable Ubiquitous Technol. 7, 3, Article 116 (September 2023), 31 pages. https://doi.org/10.1145/3610917</t>
  </si>
  <si>
    <t>https://github.com/eis-lab/attfl</t>
  </si>
  <si>
    <t xml:space="preserve">public datasets MNIST and CIFAR-10 have been used to evaluate the system.</t>
  </si>
  <si>
    <t xml:space="preserve">PyTorch: 1.10.1+cu111,Python: 3.8.10, sklearn: 1.1.1, torchvision: 0.11.2+cu111 ,Numpy: 1.22.0</t>
  </si>
  <si>
    <t xml:space="preserve">The Instructions include which datasets have been used to evaluate the system, and which module-requirements the Code has.</t>
  </si>
  <si>
    <t xml:space="preserve">• We present a motivational study on the performance of state-of-the-art federated learning frameworks usingbaseline models suited for time-series sensor data with increasing model complexity. Our results show thatthese existing frameworks are not flexible enough to support deep and complex neural network architecturesneeded for analyzing complex data, which are prevalent in modern sensor data processing applications.• To address such limitations, we propose AttFL, a novel federated learning framework for time-series sensor dataprocessing. The key idea behind AttFL is the incorporation of three attention modules to extract local, sub-global,and global temporal features of the time-series sensor data directly on top of the baseline model. As such, localdevices in AttFL only share their attention feature maps and a small amount of attention module parameterswith the server, which not only improves local model personalization performance but also minimizes bothcommunication and computation costs.• We perform extensive evaluations to understand the performance of AttFL and previously proposed federatedlearning frameworks with various sensing applications. We show that AttFL shows state-of-the-art performancein reducing communication and computational overhead while achieving high inference accuracy for differentmodel architectures. We also present results from a heterogeneous embedded platform testbed to show thatAttFL’s local operations can execute with minimal overhead on real embedded sensing platforms.</t>
  </si>
  <si>
    <t>2023_Sep_117.pdf</t>
  </si>
  <si>
    <t xml:space="preserve">Prasoon Patidar, Mayank Goel, and Yuvraj Agarwal. 2023. VAX: Using Existing Video and Audio-based Activity Recognition Models to Bootstrap Privacy-Sensitive Sensors. Proc. ACM Interact. Mob. Wearable Ubiquitous Technol. 7, 3, Article 117 (September 2023), 24 pages. https://doi.org/10.1145/3610907</t>
  </si>
  <si>
    <t>www.github.com/synergylabs/vax</t>
  </si>
  <si>
    <t xml:space="preserve">Camera, Microphone,Smartphone,mm-Wave Doppler Radar AWR1642BOOST-ODS,RPLIDAR A1M8 Lidar,FLIR Lepton 3.5,Mites multi-sensor board</t>
  </si>
  <si>
    <t xml:space="preserve">scikit-learn,imblearn library,Cleanlab,POSEC3D and STGCN models,YAMNet</t>
  </si>
  <si>
    <t xml:space="preserve">Instructions include a general description of the Repo.</t>
  </si>
  <si>
    <t xml:space="preserve">• We present VAX, an end-to-end framework for training activity recognition models for a set of ‘X’ privacy-sensitive sensing modalities using labels from off-the-shelf A/V models.• We present a novel method to bootstrap and combine these off-the-shelf A/V models with the unlabelleddata from ‘X’ modalities to detect activities of daily living in a new home.• We evaluated VAX with 10 participants performing 17 activities in three different locations (Kitchen, LivingRoom, and Bathroom) in their homes. We show that VAX can detect activities with an average accuracy of84% using labels generated by VAX’s A/V pipeline and only one input for activities which are not presentin our A/V labels (∼2 labels vs. 17 labels).• We show that without any user input, VAX performs considerably better (74% vs. 38%) when comparedwith baseline approach (i.e., directly training models for activity recognition on privacy-sensitive sensors).We also show that with user input, VAX has comparable performance (84% vs. 79%) with significantly lesslabeling effort (2 labels/home vs. 17 labels/home) from users.</t>
  </si>
  <si>
    <t>2023_Sep_118.pdf</t>
  </si>
  <si>
    <t xml:space="preserve">Sydur Rahaman, Raina Samuel, and Iulian Neamtiu. 2023. Diagnosing Medical Score Calculator Apps. Proc. ACM Interact. Mob. Wearable Ubiquitous Technol. 7, 3, Article 118 (September 2023), 27 pages. https://doi.org/10.1145/3610912</t>
  </si>
  <si>
    <t>https://doi.org/10.17605/OSF.IO/XQEJ5.</t>
  </si>
  <si>
    <t>Smartphones</t>
  </si>
  <si>
    <t xml:space="preserve">Z3 Theorem Prover,DroidBot,Python</t>
  </si>
  <si>
    <t xml:space="preserve">• An approach for extracting and checking medical reference table specifications, applied to 12 scores.• An approach for checking GUI instantiations of reference tables, and apps’ calculation w.r.t. a referencescore, in Android apps.• A classification of errors in reference scores and incorrect score implementations in Android apps.</t>
  </si>
  <si>
    <t>2023_Sep_119.pdf</t>
  </si>
  <si>
    <t xml:space="preserve">Ashwin Ram, Han Xiao, Shengdong Zhao, and Chi-Wing Fu. 2023. VidAdapter: Adapting Blackboard-Style Videos for Ubiquitous Viewing. Proc. ACM Interact. Mob. Wearable Ubiquitous Technol. 7, 3, Article 119 (September 2023), 19 pages. https://doi.org/10.1145/3610928</t>
  </si>
  <si>
    <t xml:space="preserve">Workstation,Optical Head-Mounted Displays</t>
  </si>
  <si>
    <t xml:space="preserve">Python 3.8,Node.js 16.17,OpenCV 4.5.5,PyTorch,Holistically-Nested Edge Detection-model,segeval</t>
  </si>
  <si>
    <t xml:space="preserve">• Insights regarding the challenges of adapting existing blackboard videos for on-the-go learning on OHMDsusing traditional video editors as informed by the formative study• The design and implementation of VidAdapter as a holistic tool for adapting blackboard videos for ubiquitousviewing• An evaluation of VidAdapter to understand how it can facilitate the video adaptation for OHMDs</t>
  </si>
  <si>
    <t>2023_Sep_120.pdf</t>
  </si>
  <si>
    <t xml:space="preserve">Qijia Shao, Jian Wang, Bing Zhou, Vu An Tran, Gurunandan Krishnan, and Shree Nayar. 2023. N-euro Predictor: A Neural Network Approach for Smoothing and Predicting Motion Trajectory. Proc. ACM Interact. Mob. Wearable Ubiquitous Technol. 7, 3, Article 120 (September 2023), 25 pages. https://doi.org/10.1145/3610884</t>
  </si>
  <si>
    <t xml:space="preserve">strong workstation with e.g. NVIDIA GeForce RTX 3090 GPU or similar,MacBook Pro or similar,two Basler-Cameras,Teensy 3.2 Mikrocontroller, Monitor with reflective surface,Webcam</t>
  </si>
  <si>
    <t xml:space="preserve">Python,PyTorch,JavaScript / Three.js / WebGL,OpenCV,MediaPipe,PyAutoGUI,</t>
  </si>
  <si>
    <t xml:space="preserve">• We developed an NN-based predictor, N-euro, using a residual-learning approach to address two mainissues (jitter and lag) influencing the human-display interaction user experience. The N-euro predictormaintains a small network size and minimal computational overhead. • We developed an NN-based predictor, N-euro, using a residual-learning approach to address two mainissues (jitter and lag) influencing the human-display interaction user experience. The N-euro predictormaintains a small network size and minimal computational overhead.</t>
  </si>
  <si>
    <t>2023_Sep_121.pdf</t>
  </si>
  <si>
    <t xml:space="preserve">Chinmaey Shende, Soumyashree Sahoo, Stephen Sam, Parit Patel, Reynaldo Morillo, Xinyu Wang, Shweta Ware, Jinbo Bi, Jayesh Kamath, Alexander Russell, Dongjin Song, and Bing Wang. 2023. Predicting Symptom Improvement During Depression Treatment Using Sleep Sensory Data. Proc. ACM Interact. Mob. Wearable Ubiquitous Technol. 7, 3, Article 121 (September 2023), 21 pages. https://doi.org/10.1145/3610932</t>
  </si>
  <si>
    <t xml:space="preserve">Fitbit Charge HR or similar wearable,Smartphone,workstation</t>
  </si>
  <si>
    <t xml:space="preserve">Python v3.9.2,statsmodels (v0.10.1),Matlab,Fitbit API v1,</t>
  </si>
  <si>
    <t xml:space="preserve">• We apply l1 trend filtering [37] to the noisy raw sleep sensory data to extract high-level sleep features. Byvarying the regularization term, this approach presents different granularity of piecewise linear trend ofsleep duration, which can be conveniently chosen for different settings. We show that the sleep characteris-tics are correlated with self-reported scores and can be used to predict depression symptom improvement.• We develop a family of machine learning models, based on XGBoost [11], Support Vector Machine [9] andRandom Forest [7], that use either self-reported scores, sleep sensory data, or a combination of both types ofdata to predict depression symptom improvement. Our results show that using simple sleep features (meanand standard deviation of sleep duration) can already provide reasonable prediction accuracy, leading to F1score up to 0.67. While this is lower than the best F1 score obtained using self-reported scores (0.80), it ismuch less burdensome to patients and can be used for long-term monitoring with no interaction from thepatients. Second, our results show that combining sleep and self-reported scores, however, only providesslightly higher accuracy than what is provided by using self-reported scores alone, indicating the need ofsensing features that are more complementary to self-reported scores if both will be used in practice. Third,using sleep trend obtained at different granularity leads to different prediction accuracy, and the impactvaries for the different machine learning models.• Our results indicate that sleep baseline data can further improve prediction accuracy. Although our datacollection did not provide sleep baseline data, we approximated the sleep baseline using the first week’ssleep data after enrollment. When including such approximate sleep baseline as additional features, thebest F1 score increases slightly to 0.68, while the improvement is more significant for prediction over shorttime scales. As an example, when using the sleep data in the past week alone for prediction, the best F1score improves to 0.64 (from 0.60 with no sleep baseline). The above improved prediction might be becausethe baseline for each individual provides insights into individual variation, allowing the models to be morecustomized to each individual.</t>
  </si>
  <si>
    <t>2023_Sep_122.pdf</t>
  </si>
  <si>
    <t xml:space="preserve">Tieqi Shou, Zhuohan Ye, Yayao Hong, Zhiyuan Wang, Hang Zhu, Zhihan Jiang, Dingqi Yang, Binbin Zhou, Cheng Wang, and Longbiao Chen. 2023. CrowdQ: Predicting the Queue State of Hospital Emergency Department Using Crowdsensing Mobility Data-Driven Models. Proc. ACM Interact. Mob. Wearable Ubiquitous Technol. 7, 3, Article 122 (September 2023), 28 pages. https://doi.org/10.1145/3610875</t>
  </si>
  <si>
    <t xml:space="preserve">datasets are not available due to privacy concerns. </t>
  </si>
  <si>
    <t xml:space="preserve">Workstation for training ML- algorithms</t>
  </si>
  <si>
    <t xml:space="preserve">implementations of Graph Convolutional Networks,</t>
  </si>
  <si>
    <t xml:space="preserve">• We study the ED patient flow modeling problem from a perspective of crowdsensing urban traffic data andexplicitly apply graph structures and event contexts to the ED queue state modeling in hospitals. • We design an end-to-end ED queue state modeling framework, CrowdQ, which can not only accuratelyextract and estimate the emergency visit demand, but also model the emergency service process and predictthe queue state effectively.• We evaluate our framework using real-world datasets from the Xiamen open government data portal.Results show that our model accurately estimates the emergency visit demand (with an F1 score of 0.93and MAPE above 0.80) and well simulates the emergency service process to assess the queue state ofEDs with exceptional performance in case studies of real-world events. The ED prediction results showthat our framework can accurately predict queue state based on spatiotemporal event contextual features,outperforming the baseline methods (with 18.5%-71.3% error reduction).</t>
  </si>
  <si>
    <t>2023_Sep_123.pdf</t>
  </si>
  <si>
    <t xml:space="preserve">Dennis Stanke, Tim Duente, Kerem Can Demir, and Michael Rohs. 2023. Can You Ear Me? A Comparison of Different Private and Public Notification Channels for the Earlobe. Proc. ACM Interact. Mob. Wearable Ubiquitous Technol. 7, 3, Article 123 (September 2023), 23 pages. https://doi.org/10.1145/3610925</t>
  </si>
  <si>
    <t xml:space="preserve">proprietary earlob device, Adafruit Feather M0 Bluefruit,Custom Control PCB,Sony WF-1000XM3 earphones,smartphone</t>
  </si>
  <si>
    <t xml:space="preserve">proprietary smartphone app</t>
  </si>
  <si>
    <t xml:space="preserve">In this paper, we contribute an evaluation of different private and public notification channels on the earlobe.We consider the use of smart ear clips for notifying either the wearer or people who are in the near vicinity ofthe wearer. Moreover, we present quantitative data like reaction times and error rates, qualitative feedback froma preliminary online survey, as well as feedback from the participants of our user study to draw conclusions forthe future use of notification channels on the earlobe. In a small field study, we evaluated our prototype in agym, in which a private and a public notification channel were combined to notify the wearer as well as a fitnessinstructor about the training intensity of the wearer. We present qualitative findings based on two interviews ofthe fitness instructor and of the person exercising. We show the suitability of the earlobe as a promising newlocation for miniaturized wearable notification devices.</t>
  </si>
  <si>
    <t>2023_Sep_124.pdf</t>
  </si>
  <si>
    <t xml:space="preserve">Jannis Strecker, Khakim Akhunov, Federico Carbone, Kimberly García, Kenan Bektaş, Andres Gomez, Simon Mayer, and Kasim Sinan Yildirim. 2023. MR Object Identification and Interaction: Fusing Object Situation Information from Heterogeneous Sources. Proc. ACM Interact. Mob. Wearable Ubiquitous Technol. 7, 3, Article 124 (September 2023), 26 pages. https://doi.org/10.1145/3610879</t>
  </si>
  <si>
    <t>https://github.com/Interactions-HSG/blearvis/.</t>
  </si>
  <si>
    <t xml:space="preserve">Mixed Reality Head-Mounted Display such as HoloLens 2,4×4 Antenna Array,Raspberry Pi 3 Model B,EFR32BG22 Thunderboards,workstation with strong GPU,</t>
  </si>
  <si>
    <t xml:space="preserve">Unity Game Engine ,Mixed Reality Toolkit,YOLOv7,HoloLens Device Portal API</t>
  </si>
  <si>
    <t xml:space="preserve">The Instructions include software prerequisits, how to build the project and run the code.</t>
  </si>
  <si>
    <t xml:space="preserve">In this work, we proposed ODIF, an architecture that permits the fusion of object situation information fromheterogeneous sources and that remains vertically and horizontally modular to allow extending and upgradingsystems that are built according to this architecture. We furthermore presented BLEARVIS, a system builtaccording to ODIF. BLEARVIS allows the identification and localization of objects based on two OSMs, anintegration of RF-based AoA estimation and vision-based object detection. With this integration, BLEARVIS takesadvantage of the strengths of both these approaches, while the technologies partially compensate for each other’sweaknesses. BLEARVIS can be useful in situations where multiple visually identical devices in a ubiquitouscomputing environment need to be differentiated to enable users to interact efficiently with them, such as in asmart factory or smart farming scenario. The system furthermore enables the display of dynamic data from thesedevices in a way that is spatially aligned with the respective object in MR, and enables interaction possibilitieswith these devices through standard interface descriptions. Fundamentally, we see ODIF as a potential startingpoint to spawn the integration of diverse object detection, classification, and identification approaches thatfunction across the electromagnetic (and possibly audio) spectrum. We argue that the specific benefits of differenttechnologies, which are fundamentally based on the propagation properties of their underlying carriers, could becombined based on ODIF’s horizontal modularity to yield fused object interaction systems that can be integratedinto head-worn devices, as demonstrated with BLEARVIS.</t>
  </si>
  <si>
    <t>2023_Sep_125.pdf</t>
  </si>
  <si>
    <t xml:space="preserve">Mahan Tabatabaie, Suining He, and Kang G. Shin. 2023. Cross-Modality Graph-based Language and Sensor Data Co-Learning of Human-Mobility Interaction. Proc. ACM Interact. Mob. Wearable Ubiquitous Technol. 7, 3, Article 125 (September 2023), 25 pages. https://doi.org/10.1145/3610904</t>
  </si>
  <si>
    <t xml:space="preserve">No code repository is provided in the paper.</t>
  </si>
  <si>
    <t xml:space="preserve">DS1 is based on the open-source BDD-X dataset; DS2 and DS3 were collected by the authors but are not explicitly released.</t>
  </si>
  <si>
    <t xml:space="preserve">Data collection used an Apple iPhone XR and a Google Pixel 3; experiments ran on an HPC server with 4x GeForce RTX 3090 GPUs.</t>
  </si>
  <si>
    <t xml:space="preserve">Uses YOLOv5 and BERT; implemented on Linux Ubuntu 18.04.5 LTS.</t>
  </si>
  <si>
    <t xml:space="preserve">No runnable install/execute steps provided.</t>
  </si>
  <si>
    <t xml:space="preserve">We have corroborated the excellent performance (on average 13.11% higher accuracy than the other baselines in terms of precision, recall, and F1 measure) and effectiveness of CG-HMI in recognizing and extracting the important HMI concepts through cross-modality learning.</t>
  </si>
  <si>
    <t>2023_Sep_126.pdf</t>
  </si>
  <si>
    <t xml:space="preserve">Brian Testa, Yi Xiao, Harshit Sharma, Avery Gump, and Asif Salekin. 2023. Privacy against Real-Time Speech Emotion Detection via Acoustic Adversarial Evasion of Machine Learning. Proc. ACM Interact. Mob. Wearable Ubiquitous Technol. 7, 3, Article 126 (September 2023), 30 pages. https://doi.org/10.1145/3610887</t>
  </si>
  <si>
    <t xml:space="preserve">No code link is provided in the paper.</t>
  </si>
  <si>
    <t xml:space="preserve">Uses public datasets RAVDESS, TESS, IEMOCAP, and SAVEE.</t>
  </si>
  <si>
    <t xml:space="preserve">Requires a specific setup with Raspberry Pi 3 Model B, speaker, microphone, and Amazon Echo/Dot devices.</t>
  </si>
  <si>
    <t xml:space="preserve">Amazon Alexa platform, a custom Alexa skill, and Porcupine wake word engine; also uses Vosk/Kaldi.</t>
  </si>
  <si>
    <t xml:space="preserve">No runnable repo or end-to-end setup steps provided.</t>
  </si>
  <si>
    <t xml:space="preserve">The evaluations in this work culminate with acoustic evaluations against two off-the-shelf commercial smart speakers using a small-form-factor (raspberry pi) integrated with a wake-word system to evaluate the efficacy of its real-world, real-time deployment.</t>
  </si>
  <si>
    <t>2023_Sep_127.pdf</t>
  </si>
  <si>
    <t xml:space="preserve">Mert Torun and Yasamin Mostofi. 2023. Wi-Flex: Reflex Detection with Commodity WiFi. Proc. ACM Interact. Mob. Wearable Ubiquitous Technol. 7, 3, Article 127 (September 2023), 27 pages. https://doi.org/10.1145/3610930</t>
  </si>
  <si>
    <t xml:space="preserve">The paper proposes a specific pipeline for translating video content to RF signal bandwidth, but no repository is linked.</t>
  </si>
  <si>
    <t xml:space="preserve">Video dataset assembled from online sources and RF data from 15 participants; no public link provided.</t>
  </si>
  <si>
    <t xml:space="preserve">Two laptops with Intel 5300 NICs for WiFi CSI.</t>
  </si>
  <si>
    <t xml:space="preserve">OpenPose; CSI-Tool; SVM/PCA.</t>
  </si>
  <si>
    <t xml:space="preserve">Method and parameters described; no step-by-step setup.</t>
  </si>
  <si>
    <t xml:space="preserve">We extensively test our approach with 203 reflex events, 322 non-reflex events (including 142 intense body motion events), over four areas (including several through-wall ones), and with 15 participants, achieving a correct reflex detection rate of 90.15% and a false alarm rate of 2.49% (all events are natural).</t>
  </si>
  <si>
    <t>2023_Sep_128.pdf</t>
  </si>
  <si>
    <t xml:space="preserve">Steeven Villa, Jasmin Niess, Albrecht Schmidt, and Robin Welsch. 2023. Society's Attitudes Towards Human Augmentation and Performance Enhancement Technologies (SHAPE) Scale. Proc. ACM Interact. Mob. Wearable Ubiquitous Technol. 7, 3, Article 128 (September 2023), 23 pages. https://doi.org/10.1145/3610915</t>
  </si>
  <si>
    <t>2023_Sep_129.pdf</t>
  </si>
  <si>
    <t xml:space="preserve">Ge Wang, Lubing Han, Yuance Chang, Yuting Shi, Chen Qian, Cong Zhao, Han Ding, Wei Xi, Cui Zhao, and Jizhong Zhao. 2023. Cross-technology Communication between Visible Light and Battery-free RFIDs. Proc. ACM Interact. Mob. Wearable Ubiquitous Technol. 7, 3, Article 129 (September 2023), 20 pages. https://doi.org/10.1145/3610883</t>
  </si>
  <si>
    <t xml:space="preserve">Experimental data for decoding accuracy and BER are reported but not shared.</t>
  </si>
  <si>
    <t xml:space="preserve">Requires Arduino UNO-controlled LED lamps, an ImpinJ R420 RFID reader, a USRP N210 monitor, Laird antennas, and passive RFID tags augmented with photosensitive diodes.</t>
  </si>
  <si>
    <t xml:space="preserve">Decoding algorithms run on an SDR-based monitor; specific software environment is not detailed.</t>
  </si>
  <si>
    <t xml:space="preserve">Implementation section specifies hardware components and key parameters but no runnable repo or end-to-end setup steps provided.</t>
  </si>
  <si>
    <t xml:space="preserve">The results show that LightSign achieves up to 99.2 % decoding accuracy in varying scenarios.</t>
  </si>
  <si>
    <t>2023_Sep_130.pdf</t>
  </si>
  <si>
    <t xml:space="preserve">Juexing Wang, Guangjing Wang, Xiao Zhang, Li Liu, Huacheng Zeng, Li Xiao, Zhichao Cao, Lin Gu, and Tianxing Li. 2023. PATCH: A Plug-in Framework of Non-blocking Inference for Distributed Multimodal System. Proc. ACM Interact. Mob. Wearable Ubiquitous Technol. 7, 3, Article 130 (September 2023), 24 pages. https://doi.org/10.1145/3610885</t>
  </si>
  <si>
    <t xml:space="preserve">Experiments rely on several named public datasets (AVE, LLP, UCI HAR, UCI Opportunity, CARLA, and real-world network traces) plus one self-collected HAR dataset; no release link provided.</t>
  </si>
  <si>
    <t xml:space="preserve">Evaluated on a server with two Nvidia Tesla V100S GPUs, one Tesla K80 GPU, and IoT devices such as smartphones and smartwatches with IMU sensors.</t>
  </si>
  <si>
    <t xml:space="preserve">Uses the CARLA 0.9.10 driving simulator and deep neural network models as described.</t>
  </si>
  <si>
    <t xml:space="preserve">The paper details architecture and experimental settings but no concrete clone or run instructions.</t>
  </si>
  <si>
    <t xml:space="preserve">The experimental results show that PATCH achieves up to 13% mean accuracy improvement over the state-of-art method while only using 10% of training data and reducing the training overhead by 73% compared to the original cost of retraining the model.</t>
  </si>
  <si>
    <t>2023_Sep_131.pdf</t>
  </si>
  <si>
    <t xml:space="preserve">Lei Wang, Xingwei Wang, Dalin Zhang, Xiaolei Ma, Yong Zhang, Haipeng Dai, Chenren Xu, Zhijun Li, and Tao Gu. 2023. Knowing Your Heart Condition Anytime: User-Independent ECG Measurement Using Commercial Mobile Phones. Proc. ACM Interact. Mob. Wearable Ubiquitous Technol. 7, 3, Article 131 (September 2023), 28 pages. https://doi.org/10.1145/3610871</t>
  </si>
  <si>
    <t xml:space="preserve">Collected SCG and ECG measurements are described but not released for download.</t>
  </si>
  <si>
    <t xml:space="preserve">Requires a smartphone with built-in accelerometer, a commercial 3-lead ECG monitor, and a PC with GPU for training and evaluation.</t>
  </si>
  <si>
    <t xml:space="preserve">Data processing and model training are implemented in Python 3.9 on a PC and an Android app on a Samsung Galaxy S10.</t>
  </si>
  <si>
    <t xml:space="preserve">Implementation section details model architecture, parameter settings, and training configuration but provides no step-by-step run or installation instructions.</t>
  </si>
  <si>
    <t xml:space="preserve">As a case study, we also demonstrate the strong capability of our system in signal recovery for patients with common heart diseases, including tachycardia, bradycardia, arrhythmia, unstable angina, and myocardial infarction.</t>
  </si>
  <si>
    <t>2023_Sep_132.pdf</t>
  </si>
  <si>
    <t xml:space="preserve">Qianru Wang, Bin Guo, Lu Cheng, and Zhiwen Yu. 2023. SUrban: Stable Prediction for Unseen Urban Data from Location-based Sensors. Proc. ACM Interact. Mob. Wearable Ubiquitous Technol. 7, 3, Article 132 (September 2023), 20 pages. https://doi.org/10.1145/3610877</t>
  </si>
  <si>
    <t xml:space="preserve">The publication states that the implementation code is included in the supplementary material. However, it has not been released.</t>
  </si>
  <si>
    <r>
      <rPr>
        <u val="single"/>
        <color rgb="FF434343"/>
      </rPr>
      <t>https://www.citibikenyc.com/system-data</t>
    </r>
    <r>
      <rPr>
        <color indexed="64"/>
      </rPr>
      <t>;</t>
    </r>
    <r>
      <rPr>
        <u val="single"/>
        <color rgb="FF1155CC"/>
      </rPr>
      <t>https://www.waterqualitydata.us/</t>
    </r>
  </si>
  <si>
    <t xml:space="preserve">Experiments use publicly accessible CitiBike and US water quality datasets.</t>
  </si>
  <si>
    <t xml:space="preserve">No special hardware beyond standard computing resources is specified.</t>
  </si>
  <si>
    <t xml:space="preserve">Implemented using standard deep learning frameworks.</t>
  </si>
  <si>
    <t xml:space="preserve">Provides model architecture and hyperparameter search details but no end-to-end clone-and-run instructions.</t>
  </si>
  <si>
    <t xml:space="preserve">This work opens up new avenues to smart city development.</t>
  </si>
  <si>
    <t>2023_Sep_133.pdf</t>
  </si>
  <si>
    <t xml:space="preserve">Weichen Wang, Weizhe Xu, Ayesha Chander, Subigya Nepal, Benjamin Buck, Serguei Pakhomov, Trevor Cohen, Dror Ben-Zeev, and Andrew Campbell. 2023. The Power of Speech in the Wild: Discriminative Power of Daily Voice Diaries in Understanding Auditory Verbal Hallucinations Using Deep Learning. Proc. ACM Interact. Mob. Wearable Ubiquitous Technol. 7, 3, Article 133 (September 2023), 29 pages. https://doi.org/10.1145/3610890</t>
  </si>
  <si>
    <t xml:space="preserve">Clinical mobile sensing and voice diary data are not publicly released.</t>
  </si>
  <si>
    <t xml:space="preserve">Smartphones with sensors and microphones are used to collect daily voice diaries and behavioral data.</t>
  </si>
  <si>
    <t xml:space="preserve">Uses a modified StudentLife app, Google Activity Recognition API, OpenSMILE, LIWC, and an in-house ASR system based on Baidu's Deep Speech 2.</t>
  </si>
  <si>
    <t xml:space="preserve">No executable code or step-by-step run instructions.</t>
  </si>
  <si>
    <t xml:space="preserve">Our results surprisingly indicate that a simple periodic voice diary combined with deep learning is sufficient enough of a signal to assess complex psychiatric symptoms (e.g., auditory verbal hallucinations) collected from people in the wild as they go about their daily lives.”</t>
  </si>
  <si>
    <t>2023_Sep_134.pdf</t>
  </si>
  <si>
    <t xml:space="preserve">Zhiyuan Wang, Maria A. Larrazabal, Mark Rucker, Emma R. Toner, Katharine E. Daniel, Shashwat Kumar, Mehdi Boukhechba, Bethany A. Teachman, and Laura E. Barnes. 2023. Detecting Social Contexts from Mobile Sensing Indicators in Virtual Interactions with Socially Anxious Individuals. Proc. ACM Interact. Mob. Wearable Ubiquitous Technol. 7, 3, Article 134 (September 2023), 26 pages. https://doi.org/10.1145/3610916</t>
  </si>
  <si>
    <t xml:space="preserve">The SIMS wearable sensing dataset is described but not released for public download.</t>
  </si>
  <si>
    <t xml:space="preserve">Requires Empatica E4 wristband sensors and computers for Zoom-based virtual sessions.</t>
  </si>
  <si>
    <t xml:space="preserve">Uses tools such as NeuroKit2, pyAudioAnalysis, and standard machine learning libraries.</t>
  </si>
  <si>
    <t xml:space="preserve">The paper explains the sensing pipeline and models but gives no step-by-step run instructions.</t>
  </si>
  <si>
    <t xml:space="preserve">Results demonstrated the feasibility of detecting most virtual social contexts, with stronger predictive accuracy when detecting whether individuals were in a social situation or not and the phase of the situation, and weaker predictive accuracy when detecting the level of social evaluation.</t>
  </si>
  <si>
    <t>2023_Sep_135.pdf</t>
  </si>
  <si>
    <t xml:space="preserve">Yi Wu, Luis Alonso González Villalobos, Zhenning Yang, Gregory Thomas Croisdale, Çağdaş Karataş, and Jian Liu. 2023. SmarCyPad: A Smart Seat Pad for Cycling Fitness Tracking Leveraging Low-cost Conductive Fabric Sensors. Proc. ACM Interact. Mob. Wearable Ubiquitous Technol. 7, 3, Article 135 (September 2023), 26 pages. https://doi.org/10.1145/3610927</t>
  </si>
  <si>
    <t xml:space="preserve">No implementation code or software repository for SmarCyPad is provided.</t>
  </si>
  <si>
    <t xml:space="preserve">Cycling sensor data from 15 participants over about 900 minutes is collected but not shared for public download.</t>
  </si>
  <si>
    <t xml:space="preserve">Requires custom smart seat pad (Velostat, Faraday fabric, Adafruit FLORA v3 MCU) and a camera for ground truth.</t>
  </si>
  <si>
    <t xml:space="preserve">Implements signal processing, CNN classification, domain adaptation, and regression using Python libraries such as SciPy, Scikit-learn, and OpenPose.</t>
  </si>
  <si>
    <t xml:space="preserve">The paper explains fabrication, circuit design, and algorithms but does not include step-by-step installation or run instructions.</t>
  </si>
  <si>
    <t xml:space="preserve">Extensive experiments involving 15 participants demonstrate that SmarCyPad can accurately estimate the cycling cadence with an average error of 1.13 rounds per minute, quantify the cycling stability for each leg, detect cycling imbalance, distinguish five riding positions with an accuracy of 96.60%, and continuously track the knee joint angle with an average mean error as low as 9.58 degrees.</t>
  </si>
  <si>
    <t>2023_Sep_136.pdf</t>
  </si>
  <si>
    <t xml:space="preserve">Jingyu Xiao, Qingsong Zou, Qing Li, Dan Zhao, Kang Li, Zixuan Weng, Ruoyu Li, and Yong Jiang. 2023. I Know Your Intent: Graph-enhanced Intent-aware User Device Interaction Prediction via Contrastive Learning. Proc. ACM Interact. Mob. Wearable Ubiquitous Technol. 7, 3, Article 136 (September 2023), 28 pages. https://doi.org/10.1145/3610906</t>
  </si>
  <si>
    <t xml:space="preserve">The paper proposes SmartUDI but does not provide any source code or repository link.</t>
  </si>
  <si>
    <t>https://github.com/snudatalab/SmartSense</t>
  </si>
  <si>
    <t xml:space="preserve">Three public datasets (FR, SP, US) are available via the SmartSense GitHub repository, while the AN dataset collected by the authors is not released.</t>
  </si>
  <si>
    <t xml:space="preserve">Experiments use 36 off-the-shelf smart home devices and a GeForce RTX 3090 Ti GPU for training.</t>
  </si>
  <si>
    <t xml:space="preserve">All models are implemented in PyTorch</t>
  </si>
  <si>
    <t xml:space="preserve">Provides model architecture, hyperparameters, and implementation details but no step-by-step installation or run commands.</t>
  </si>
  <si>
    <t xml:space="preserve">Comprehensive experiments on four real-world datasets show that SmartUDI consistently outperforms the state-of-the-art baselines with more accurate and highly interpretable results.</t>
  </si>
  <si>
    <t>2023_Sep_137.pdf</t>
  </si>
  <si>
    <t xml:space="preserve">Meng Xue, Kuang Peng, Xueluan Gong, Qian Zhang, Yanjiao Chen, and Routing Li. 2023. Echo: Reverberation-based Fast Black-Box Adversarial Attacks on Intelligent Audio Systems. Proc. ACM Interact. Mob. Wearable Ubiquitous Technol. 7, 3, Article 137 (September 2023), 24 pages. https://doi.org/10.1145/3610874</t>
  </si>
  <si>
    <t xml:space="preserve">A demo website and linked GitHub repository provide only example audio samples, not source code for Echo.</t>
  </si>
  <si>
    <t xml:space="preserve">Uses public speech datasets VoxCeleb2, Mini Librispeech, VCTK, and Google Speech Command V2 referenced in the paper.</t>
  </si>
  <si>
    <t xml:space="preserve">Experiments use an NVIDIA GTX 3080 GPU plus loudspeakers, microphones, and noise meter setups for over-the-air attacks in apartments and offices.</t>
  </si>
  <si>
    <t xml:space="preserve">Implements Echo using PyTorch, SpeechBrain, and other standard machine learning and audio processing toolkits.</t>
  </si>
  <si>
    <t xml:space="preserve">The paper and linked demo site describe the method and experiments but do not provide installation or run instructions for the implementation.</t>
  </si>
  <si>
    <t xml:space="preserve">The results show that Echo can invade into intelligent audio systems in both digital and physical over-the-air environment.</t>
  </si>
  <si>
    <t>2023_Sep_138.pdf</t>
  </si>
  <si>
    <t xml:space="preserve">Xiaoying Yang, Xue Wang, Gaofeng Dong, Zihan Yan, Mani Srivastava, Eiji Hayashi, and Yang Zhang. 2023. Headar: Sensing Head Gestures for Confirmation Dialogs on Smartwatches with Wearable Millimeter-Wave Radar. Proc. ACM Interact. Mob. Wearable Ubiquitous Technol. 7, 3, Article 138 (September 2023), 28 pages. https://doi.org/10.1145/3610900</t>
  </si>
  <si>
    <t xml:space="preserve">The Paper does not mention any released source code for Headar</t>
  </si>
  <si>
    <t xml:space="preserve">The study relies on motion capture and mmWave radar datasets collected by the authors that are not released.</t>
  </si>
  <si>
    <t xml:space="preserve">Requires a custom-built wearable prototype using an off-the-shelf TI AWR1843BOOST radar sensor, a TI DCA1000EVM adapter, an Arduino Nano 33 BLE, and a 3D-printed smartwatch bezel.</t>
  </si>
  <si>
    <t xml:space="preserve">Uses proprietary MATLAB Phased Array System Toolbox and OptiTrack motion capture software along with other standard tools.</t>
  </si>
  <si>
    <t xml:space="preserve">Paper details the hardware setup, signal processing, and deep learning models but provides no installation or run commands.</t>
  </si>
  <si>
    <t xml:space="preserve">Furthermore, we obtained an accuracy of 72.6% in the live test which reveals rich insights into the performance of our approach in various realistic conditions.</t>
  </si>
  <si>
    <t>2023_Sep_139.pdf</t>
  </si>
  <si>
    <t xml:space="preserve">Sofia Yfantidou, Pavlos Sermpezis, Athena Vakali, and Ricardo Baeza-Yates. 2023. Uncovering Bias in Personal Informatics. Proc. ACM Interact. Mob. Wearable Ubiquitous Technol. 7, 3, Article 139 (September 2023), 30 pages. https://doi.org/10.1145/3610914</t>
  </si>
  <si>
    <t xml:space="preserve">The paper describes bias analysis methods and deep learning architectures but does not provide any source code link.</t>
  </si>
  <si>
    <t xml:space="preserve">Uses existing public datasets such as MyHeart Counts, LifeSnaps, and MIMIC-III.</t>
  </si>
  <si>
    <t xml:space="preserve">Analyses are performed on existing datasets without requiring specific physical devices for reproduction.</t>
  </si>
  <si>
    <t xml:space="preserve">Implements models and fairness metrics using standard machine learning frameworks and tools.</t>
  </si>
  <si>
    <t xml:space="preserve">The paper describes datasets, models, and metrics but gives no runnable implementation or installation instructions.</t>
  </si>
  <si>
    <t xml:space="preserve">According to our results, the most affected minority groups are users with health issues, such as diabetes, joint issues, and hypertension, and female users, whose data biases are propagated or even amplified by learning models, while intersectional biases can also be observed.</t>
  </si>
  <si>
    <t>2023_Sep_140.pdf</t>
  </si>
  <si>
    <t xml:space="preserve">Jin Zhang, Yuyan Dai, Jie Chen, Chengwen Luo, Bo Wei, Victor C. M. Leung, and Jianqiang Li. 2023. SIDA: Self-Supervised Imbalanced Domain Adaptation for Sound Enhancement and Cross-Domain WiFi Sensing. Proc. ACM Interact. Mob. Wearable Ubiquitous Technol. 7, 3, Article 140 (September 2023), 24 pages. https://doi.org/10.1145/3610919</t>
  </si>
  <si>
    <t xml:space="preserve">Paper does not mention any released source code.</t>
  </si>
  <si>
    <t xml:space="preserve">Uses public ICBHI and COPD lung sound datasets and an open access WiFi CSI gait dataset, and also relies on additional annotations and a newly collected small dataset that are not released.</t>
  </si>
  <si>
    <t xml:space="preserve">Experiments are run on an NVIDIA RTX 8000 GPU and target deployment involves electronic stethoscopes and WiFi transmitter/receiver hardware.</t>
  </si>
  <si>
    <t xml:space="preserve">Implements the SIDA framework with deep learning models and standard signal processing and machine learning libraries.</t>
  </si>
  <si>
    <t xml:space="preserve">Describes the SIDA architecture, training procedure, and hyperparameters but gives no step-by-step run or installation instructions and no code repository.</t>
  </si>
  <si>
    <t xml:space="preserve">Extensive experiments show SIDA could recognize individuals with an average accuracy of 94.72% and significantly outperform baselines on highly imbalanced WiFi dataset in cross-domain human identification tasks.</t>
  </si>
  <si>
    <t>2023_Sep_141.pdf</t>
  </si>
  <si>
    <t xml:space="preserve">Jingwen Zhang, Ruixuan Dai, Ashraf Rjob, Ruiqi Wang, Reshad Hamauon, Jeffrey Candell, Thomas Bailey, Victoria J. Fraser, Maria Cristina Vazquez Guillamet, and Chenyang Lu. 2023. Contact Tracing for Healthcare Workers in an Intensive Care Unit. Proc. ACM Interact. Mob. Wearable Ubiquitous Technol. 7, 3, Article 141 (September 2023), 23 pages. https://doi.org/10.1145/3610924</t>
  </si>
  <si>
    <t xml:space="preserve">The paper describes the CATCH contact tracing algorithms and system but does not provide any implementation code or repository link.</t>
  </si>
  <si>
    <t xml:space="preserve">Uses BLE beacon logs, fingerprint measurements, and clinical deployment data from an ICU that are not released.</t>
  </si>
  <si>
    <t xml:space="preserve">Requires commercial T3 mini BLE beacon tags worn by healthcare workers, Raspberry Pi Zero W anchors, and an edge server deployed in the ICU.</t>
  </si>
  <si>
    <t xml:space="preserve">Implements the contact tracing pipeline using custom software on Raspberry Pi devices and an edge server with MongoDB on Raspbian Linux.</t>
  </si>
  <si>
    <t xml:space="preserve">Paper details system architecture, algorithms, and deployment but does not include clone, installation, or run instructions.</t>
  </si>
  <si>
    <t xml:space="preserve">The case study with healthcare workers suggested that CATCH has advantages over the standard contact tracing practice in terms of efficiency.</t>
  </si>
  <si>
    <t>2023_Sep_142.pdf</t>
  </si>
  <si>
    <t xml:space="preserve">Running Zhao, Jiangtao Yu, Hang Zhao, and Edith C.H. Ngai. 2023. Radio2Text: Streaming Speech Recognition Using mmWave Radio Signals. Proc. ACM Interact. Mob. Wearable Ubiquitous Technol. 7, 3, Article 142 (September 2023), 28 pages. https://doi.org/10.1145/3610873</t>
  </si>
  <si>
    <t xml:space="preserve">No implementation code or repository is mentioned.</t>
  </si>
  <si>
    <t>https://keithito.com/LJ-Speech-Dataset/</t>
  </si>
  <si>
    <t xml:space="preserve">Uses the public LJSpeech speech corpus and collects its own paired mmWave radar data, which is not released.</t>
  </si>
  <si>
    <t xml:space="preserve">Implements Radio2Text on a TI AWR1642BOOST mmWave radar with DCA1000EVM capture board, a loudspeaker, and trains models on an NVIDIA RTX 3090 GPU.</t>
  </si>
  <si>
    <t xml:space="preserve">PyTorch using ESPnet and related ASR tooling.</t>
  </si>
  <si>
    <t xml:space="preserve">Provides model architecture and training hyperparameters but no step-by-step run or installation instructions.</t>
  </si>
  <si>
    <t xml:space="preserve">The experimental results show that our Radio2Text can achieve a character error rate of 5.7% and a word error rate of 9.4% for the recognition of a vocabulary consisting of over 13,000 words.</t>
  </si>
  <si>
    <t>2023_Sep_143.pdf</t>
  </si>
  <si>
    <t xml:space="preserve">Shuhan Zhong, Sizhe Song, Tianhao Tang, Fei Nie, Xinrui Zhou, Yankun Zhao, Yizhe Zhao, Kuen Fung Sin, and S.-H. Gary Chan. 2023. DYPA: A Machine Learning Dyslexia Prescreening Mobile Application for Chinese Children. Proc. ACM Interact. Mob. Wearable Ubiquitous Technol. 7, 3, Article 143 (September 2023), 21 pages. https://doi.org/10.1145/3610908</t>
  </si>
  <si>
    <t xml:space="preserve">Does not provide any implementation code or app download link.</t>
  </si>
  <si>
    <t xml:space="preserve">Uses public character and handwriting resources such as CASIA-HWDB and character-frequency and font datasets, together with a proprietary dyslexia prescreening dataset of 207 Hong Kong pupils that is not released.</t>
  </si>
  <si>
    <t xml:space="preserve">Requires consumer-grade tablets, implemented and tested on Apple iPad devices with touch screens plus a backend server for machine learning processing.</t>
  </si>
  <si>
    <t xml:space="preserve">Implements the DYPA tablet app on iPadOS and uses deep learning models including TSDNet, DenseNet, and XGBoost with standard machine learning libraries.</t>
  </si>
  <si>
    <t xml:space="preserve">The paper details the app design, feature extraction framework, and classifier settings but does not include clone, installation, or run commands.</t>
  </si>
  <si>
    <t xml:space="preserve">We have implemented and installed DYPA in tablets, and our extensive trials with more than 200 pupils in Hong Kong validate its high predictive accuracy (81.14%), sensitivity (74.27%) and specificity (82.71%).</t>
  </si>
  <si>
    <t>2023_Sep_144.pdf</t>
  </si>
  <si>
    <t xml:space="preserve">Guanzhou Zhu, Dong Zhao, Kuo Tian, Zhengyuan Zhang, Rui Yuan, and Huadong Ma. 2023. Combining Smart Speaker and Smart Meter to Infer Your Residential Power Usage by Self-supervised Cross-modal Learning. Proc. ACM Interact. Mob. Wearable Ubiquitous Technol. 7, 3, Article 144 (September 2023), 26 pages. https://doi.org/10.1145/3610905</t>
  </si>
  <si>
    <t xml:space="preserve">The associated GitHub repository releases only the dataset and does not provide implementation source code.</t>
  </si>
  <si>
    <t>https://github.com/m70040005/COMFORT</t>
  </si>
  <si>
    <t xml:space="preserve">Self-collected concurrent appliance power and acoustic datasets from six houses are released via the linked GitHub.</t>
  </si>
  <si>
    <t xml:space="preserve">Uses a ReSpeaker 6-microphone circular array, a Raspberry Pi 4, a smart meter ZHDB-003, and smart plugs ZHCZ-002 to collect acoustic and power data in six houses.</t>
  </si>
  <si>
    <t xml:space="preserve">Using standard deep learning and signal processing tools.</t>
  </si>
  <si>
    <t xml:space="preserve">The paper and linked repository describe the system design and dataset but do not provide installation or execution commands for the implementation.</t>
  </si>
  <si>
    <t xml:space="preserve">We implement and evaluate COMFORT with a self-collected dataset from six houses in 14 days, demonstrating that COMFORT finds the most appliances (98%), improves the appliance recognition performance in F-measure by at least 41.1%, and reduces the Mean Absolute Error (MAE) of energy disaggregation by at least 30.4% over other alternative solutions.</t>
  </si>
  <si>
    <t>2023_Sep_145.pdf</t>
  </si>
  <si>
    <t xml:space="preserve">Rongrong Zhu, Liang Shi, Yunpeng Song, and ZhongMin Cai. 2023. Integrating Gaze and Mouse Via Joint Cross-Attention Fusion Net for Students' Activity Recognition in E-learning. Proc. ACM Interact. Mob. Wearable Ubiquitous Technol. 7, 3, Article 145 (September 2023), 35 pages. https://doi.org/10.1145/3610876</t>
  </si>
  <si>
    <t xml:space="preserve">Uses a new multimodal dataset of gaze and mouse movements plus survey responses, but no public data release link is provided.</t>
  </si>
  <si>
    <t xml:space="preserve">Requires a Tobii Pro Spectrum eye tracker with 24-inch monitor and a standard optical mouse to collect gaze and mouse data.</t>
  </si>
  <si>
    <t xml:space="preserve">Uses Tobii Pro Studio software for recording gaze data and screen content, plus a custom mouse event collector.</t>
  </si>
  <si>
    <t xml:space="preserve">Describes model architecture, hyperparameters, and training settings but no step-by-step run or replication instructions.</t>
  </si>
  <si>
    <t xml:space="preserve">This research illuminates new possibilities for monitoring student engagement in intelligent education systems, also suggesting a promising strategy for melding perception and action modalities in behavioral analysis across a range of ubiquitous computing environments.</t>
  </si>
  <si>
    <t>2023_Jun_046.pdf</t>
  </si>
  <si>
    <t xml:space="preserve">Riku Arakawa, Karan Ahuja, Kristie Mak, Gwendolyn Thompson, Sam Shaaban, Oliver Lindhiem, and Mayank Goel. 2023. LemurDx: Using Unconstrained Passive Sensing for an Objective Measurement of Hyperactivity in Children with no Parent Input. Proc. ACM Interact. Mob. Wearable Ubiquitous Technol. 7, 2, Article 46 (June 2023), 23 pages. https://doi.org/10.1145/3596244</t>
  </si>
  <si>
    <t xml:space="preserve">supplementary material only contains image</t>
  </si>
  <si>
    <t>smartwatch</t>
  </si>
  <si>
    <t xml:space="preserve">We developed a machine-learning (ML) pipeline to detect hyperactive children and demonstrated that context filtering based on parent-provided activity labels is effective, achieving 85.2% (F1 score = 81.6%) accuracy. We then fully automated the pipeline by inferring the child’s context automatically from motion data and achieved 82.0% (F1 score = 78.4%) accuracy in detecting hyperactivity symptoms.</t>
  </si>
  <si>
    <t>2023_Jun_047.pdf</t>
  </si>
  <si>
    <t xml:space="preserve">Yetong Cao, Chao Cai, Anbo Yu, Fan Li, and Jun Luo. 2023. EarAcE: Empowering Versatile Acoustic Sensing via Earable Active Noise Cancellation Platform. Proc. ACM Interact. Mob. Wearable Ubiquitous Technol. 7, 2, Article 47 (June 2023), 23 pages. https://doi.org/10.1145/3596242</t>
  </si>
  <si>
    <t xml:space="preserve">ESP32, anc headphones</t>
  </si>
  <si>
    <t xml:space="preserve">To this end, we propose EarACE to be the first acoustic sensing platform exploiting the native acoustics of commercial ANC earphones, significantly improving upon self-crafted earphone sensing devices. EarACE takes a compact design to handle hardware heterogeneity and to deliver flexible control on audio facilities. Leveraging a systematic study on in-ear acoustic signals, EarACE gains abilities to combat performance sensitivity to device wearing states and to eliminate body motion interference. We further implement three major acoustic sensing applications to showcase the efficacy and adaptability of EarACE; the results evidently demonstrate EarACE's promising future in facilitating earable acoustic sensing research.</t>
  </si>
  <si>
    <t>2023_Jun_048.pdf</t>
  </si>
  <si>
    <r>
      <rPr/>
      <t xml:space="preserve">Meng Chen, Li Lu, Junhao Wang, Jiadi Yu, Yingying Chen, Zhibo Wang, Zhongjie Ba, Feng Lin, and Kui Ren. 2023. VoiceCloak: Adversarial Example Enabled Voice De-Identification with Balanced Privacy and Utility. Proc. ACM Interact. Mob. Wearable Ubiquitous Technol. 7, 2, Article 48 (June 2023), 21 pages. </t>
    </r>
    <r>
      <rPr>
        <u val="single"/>
        <color rgb="FF1155CC"/>
      </rPr>
      <t>https://doi.org/10.1145/3596266</t>
    </r>
  </si>
  <si>
    <t xml:space="preserve">demo page with sound samples available</t>
  </si>
  <si>
    <t xml:space="preserve">two public datasets used</t>
  </si>
  <si>
    <t xml:space="preserve">We conduct extensive experiments against four mainstream and commercial ASIs on two voice datasets. The results show that VoiceCloak achieves over 92% and 84% successful de-identification on mainstream and commercial ASI systems with a word accuracy drop of less than 10%, reaching a Mel cepstral distortion of 5.13dB and a short-time objective intelligence over 0.81. The subjective evaluation also shows excellent perceptual quality with a mean opinion score over 4.25.</t>
  </si>
  <si>
    <t>2023_Jun_049.pdf</t>
  </si>
  <si>
    <t xml:space="preserve">Yunzhong Chen, Jiadi Yu, Linghe Kong, Hao Kong, Yanmin Zhu, and Yi-Chao Chen. 2023. RF-Mic: Live Voice Eavesdropping via Capturing Subtle Facial Speech Dynamics Leveraging RFID. Proc. ACM Interact. Mob. Wearable Ubiquitous Technol. 7, 2, Article 49 (June 2023), 25 pages. https://doi.org/10.1145/3596259</t>
  </si>
  <si>
    <t xml:space="preserve">Impinj Speedway R420 COTS RFID reader, USRP N210 with a SBX daughter-board, RFID Tag, </t>
  </si>
  <si>
    <t xml:space="preserve">Based on the extracted features, a facial speech dynamics model is constructed for live voice eavesdropping. Extensive experiments in different real environments demonstrate that RF-Mic can achieve robust and accurate human live voice eavesdropping.</t>
  </si>
  <si>
    <t>2023_Jun_050.pdf</t>
  </si>
  <si>
    <t xml:space="preserve">Haiming Cheng, Wei Lou, Yanni Yang, Yi-pu Chen, and Xinyu Zhang. 2023. TwinkleTwinkle: Interacting with Your Smart Devices by Eye Blink. Proc. ACM Interact. Mob. Wearable Ubiquitous Technol. 7, 2, Article 50 (June 2023), 30 pages. https://doi.org/10.1145/3596238</t>
  </si>
  <si>
    <t xml:space="preserve">We implement TwinkleTwinkle on a smartphone with all methods realized in the time domain and conduct extensive evaluation under various configuration settings and diverse scenarios. The experimental results show that TwinkleTwinkle can recognize 23 different blink patterns from 10 participants with 91% precision in a training-free way, and generalize well across users and environments.</t>
  </si>
  <si>
    <t>2023_Jun_051.pdf</t>
  </si>
  <si>
    <t xml:space="preserve">Mark Colley, Julian Britten, and Enrico Rukzio. 2023. Scalability in External Communication of Automated Vehicles: Evaluation and Recommendations. Proc. ACM Interact. Mob. Wearable Ubiquitous Technol. 7, 2, Article 51 (June 2023), 26 pages. https://doi.org/10.1145/3596248</t>
  </si>
  <si>
    <t>2023_Jun_052.pdf</t>
  </si>
  <si>
    <t xml:space="preserve">Mark Colley, Luca-Maxim Meinhardt, Alexander Fassbender, Michael Rietzler, and Enrico Rukzio. 2023. Come Fly With Me: Investigating the Effects of Path Visualizations in Automated Urban Air Mobility. Proc. ACM Interact. Mob. Wearable Ubiquitous Technol. 7, 2, Article 52 (June 2023), 23 pages. https://doi.org/10.1145/3596249</t>
  </si>
  <si>
    <t>2023_Jun_053.pdf</t>
  </si>
  <si>
    <r>
      <rPr/>
      <t xml:space="preserve">Anirudh Ekambaranathan, Jun Zhao, and George Chalhoub. 2023. Navigating the Data Avalanche: Towards Supporting Developers in Developing Privacy-Friendly Children's Apps. Proc. ACM Interact. Mob. Wearable Ubiquitous Technol. 7, 2, Article 53 (June 2023), 24 pages. </t>
    </r>
    <r>
      <rPr>
        <u val="single"/>
        <color rgb="FF1155CC"/>
      </rPr>
      <t>https://doi.org/10.1145/3596267</t>
    </r>
  </si>
  <si>
    <t>DataAvalanche.io</t>
  </si>
  <si>
    <t xml:space="preserve">link to tool not working</t>
  </si>
  <si>
    <t xml:space="preserve">Firstly, we present the design of DataAvalanche.io, a tool that assists app developers in navigating third-party libraries. The tool’s design is grounded in empirical evidence collected through studies with developers and children’s apps.</t>
  </si>
  <si>
    <t>2023_Jun_054.pdf</t>
  </si>
  <si>
    <t xml:space="preserve">Justin Feng, Tianyi Zhao, Shamik Sarkar, Dominic Konrad, Timothy Jacques, Danijela Cabric, and Nader Sehatbakhsh. 2023. Fingerprinting IoT Devices Using Latent Physical Side-Channels. Proc. ACM Interact. Mob. Wearable Ubiquitous Technol. 7, 2, Article 54 (June 2023), 26 pages. https://doi.org/10.1145/3596247</t>
  </si>
  <si>
    <t>https://github.com/ssysarch/digitus</t>
  </si>
  <si>
    <t xml:space="preserve">link in git repo</t>
  </si>
  <si>
    <t xml:space="preserve">USRP B205mini-i software-defined radio, Adruino Uno, STM 32, antenna</t>
  </si>
  <si>
    <t xml:space="preserve">some nfos regarding data and code, no explicit instructions</t>
  </si>
  <si>
    <t xml:space="preserve">Our experiments demonstrate that we achieve ≥ 95% accuracy on average, applicability in a wide range of IoT scenarios (range ≥ 5m, non-line-of-sight, etc.), as well as support for IoT applications such as finding hidden devices. Digitus represents a low-overhead solution for the authentication of low-end IoT devices.</t>
  </si>
  <si>
    <t>2023_Jun_055.pdf</t>
  </si>
  <si>
    <t xml:space="preserve">Taesik Gong, Yewon Kim, Adiba Orzikulova, Yunxin Liu, Sung Ju Hwang, Jinwoo Shin, and Sung-Ju Lee. 2023. DAPPER: Label-Free Performance Estimation after Personalization for Heterogeneous Mobile Sensing. Proc. ACM Interact. Mob. Wearable Ubiquitous Technol. 7, 2, Article 55 (June 2023), 27 pages. https://doi.org/10.1145/3596256</t>
  </si>
  <si>
    <t xml:space="preserve">four public datasets used</t>
  </si>
  <si>
    <t xml:space="preserve">Our evaluation with four real-world sensing datasets compared against six baselines shows that on average, DAPPER outperforms the state-of-the-art baseline by 39.8% in estimation accuracy. Moreover, our on-device experiment shows that DAPPER achieves up to 396x less computation overhead compared with the baselines.</t>
  </si>
  <si>
    <t>2023_Jun_056.pdf</t>
  </si>
  <si>
    <t xml:space="preserve">Shihui Guo, Lishuang Zhan, Yancheng Cao, Chen Zheng, Guyue Zhou, and Jiangtao Gong. 2023. Touch-and-Heal: Data-driven Affective Computing in Tactile Interaction with Robotic Dog. Proc. ACM Interact. Mob. Wearable Ubiquitous Technol. 7, 2, Article 56 (June 2023), 33 pages. https://doi.org/10.1145/3596258</t>
  </si>
  <si>
    <t xml:space="preserve">robotic dog, prototype</t>
  </si>
  <si>
    <t xml:space="preserve">Then, we propose a deep learning algorithm pipeline with a gesture classification algorithm based on ResNet and an action prediction algorithm based on Transformer, which achieve the classification accuracy of 99.1% and the 1-gram BLEU score of 0.87 respectively. Finally, we conduct a field study to evaluate the emotion regulation effects through tactile affective interaction, and compare it with voice interaction. The results show that our system with tactile interaction plays a significant role in alleviating user anxiety, stimulating user excitement and improving the acceptability of robotic dogs.</t>
  </si>
  <si>
    <t>2023_Jun_057.pdf</t>
  </si>
  <si>
    <t xml:space="preserve">Luke Haliburton, Saba Kheirinejad, Albrecht Schmidt, and Sven Mayer. 2023. Exploring Smart Standing Desks to Foster a Healthier Workplace. Proc. ACM Interact. Mob. Wearable Ubiquitous Technol. 7, 2, Article 57 (June 2023), 22 pages. https://doi.org/10.1145/3596260</t>
  </si>
  <si>
    <t>https://github.com/mimuc/standing-desk-controller</t>
  </si>
  <si>
    <t xml:space="preserve">Arduino Nano RP2040, PCB</t>
  </si>
  <si>
    <t xml:space="preserve">Overall, we contribute i) an open-source plug-and-play system to transform an electronic sit-stand desk into an intelligent standing desk, ii) quantitative and qualitative results from an in-the-wild evaluation of our system with varying levels of intelligence, and iii) specific design recommendations based on user feedback for future designers of health-focused smart furniture.</t>
  </si>
  <si>
    <t>2023_Jun_058.pdf</t>
  </si>
  <si>
    <t xml:space="preserve">Jun Ho Huh, Sungsu Kwag, Iljoo Kim, Alexandr Popov, Younghan Park, Geumhwan Cho, Juwon Lee, Hyoungshick Kim, and Choong-Hoon Lee. 2023. On the Long-Term Effects of Continuous Keystroke Authentication: Keeping User Frustration Low through Behavior Adaptation. Proc. ACM Interact. Mob. Wearable Ubiquitous Technol. 7, 2, Article 58 (June 2023), 32 pages. https://doi.org/10.1145/3596236</t>
  </si>
  <si>
    <t xml:space="preserve">proprietary dataset collected by the authors from 40 participants, including approximately 65,000 keystroke samples per participant across varying "still" and "moving" contexts.The authors note they are legally restricted from sharing user-identifiable information from this set</t>
  </si>
  <si>
    <t xml:space="preserve">Smartphone e.g. Samsung Galaxy S20 Plus,</t>
  </si>
  <si>
    <t xml:space="preserve">Python,scikit-learn,LightGBM,Keras,Android Activity Recognition API</t>
  </si>
  <si>
    <t xml:space="preserve">• Smartphone deployment guidelines. Through an interview study (N=20) and a technical workshopconducted at a large smartphone company, we identified highly concerning threats that involve attackerstyping text (e.g., sending a phishing email on a stolen phone), and integral deployment constraints (e.g.,the need to train lightweight classifiers fully on devices) that should be considered upon deploying amachine-learning based authentication solution on smartphones.• Novel on-device feature engineering techniques. We propose (1) correlation features that capturekeystroke dynamics and characteristics in higher dimensional space constructed by multiple (gyroscope andaccelerometer) sensors, and outperform state-of-the-art methods, and (2) an on-device feature extractiontechnique that measures dynamic time warping (DTW) distance between sensor inputs and outputsreconstructed through a pre-trained (common) autoencoder, and uses these distance measurements todistinguish users; this technique achieves 8.0 percent EER, and demonstrates top performance on theHMOG dataset.• 2-month real-world touchscreen use data collection and long-term accuracy evaluations. Wedemonstrate that model retraining is necessary to maintain low error rates over time: a retraining techniquethat uses all stacked samples available can maintain FRRs around 2.5 percent while keeping attack detectionrates at 89 percent with a default threshold. To the best of our knowledge, we are the first group tothoroughly analyze long-term FRR inconsistency issues based on a real-world dataset (N=40), and proposeefficient on-device retraining schemes for typing behavior adaptation.• Real-world deployment. Unlike existing solutions that focus on demonstrating one-time error rates,KedyAuth has been designed to (1) maintain low error rates over long-term use, and (2) facilitate light andfast on-device feature extraction and model retraining. Each retraining would take about 6.8 seconds tocomplete. Lowering thresholds to guarantee negligible FRRs would result in about 73 percent of unauthorizedphone access being detected – this is still a significant improvement from zero continuous authentication.KedyAuth has been deployed on the latest Samsung Galaxy series to facilitate continuous protection ofsecure workspace.• Retraining overhead evaluations. Frequent model retraining may quickly drain phone battery, andaffect users’ typing experiences (e.g., introducing keyboard lags). Our overhead measurement study (N=9)shows KedyAuth – configured to continuously authenticate every keystroke, and retrain the full ensembleblender every 500 new samples – would consume only about 0.45 percent of battery per day for averageusers, and 127 megabytes of additional memory when users type. Most participants did not notice anykeyboard lag while typing; those who did experience one or two lags explained they were weakly or barelyperceptible.</t>
  </si>
  <si>
    <t>2023_Jun_059.pdf</t>
  </si>
  <si>
    <t xml:space="preserve">Md Touhidul Islam and Syed Masum Billah. 2023. SpaceX Mag: An Automatic, Scalable, and Rapid Space Compactor for Optimizing Smartphone App Interfaces for Low-Vision Users. Proc. ACM Interact. Mob. Wearable Ubiquitous Technol. 7, 2, Article 59 (June 2023), 36 pages. https://doi.org/10.1145/3596253</t>
  </si>
  <si>
    <t xml:space="preserve">The public RICO-SCA Dataset is used in this study.</t>
  </si>
  <si>
    <t xml:space="preserve">Workstation, smartphone</t>
  </si>
  <si>
    <t xml:space="preserve">Python, GEKKO module,IPOPT solver,</t>
  </si>
  <si>
    <t xml:space="preserve">• We proposed SpaceX Mag, an optimization framework to automatically produce a space-compacted meta-representation of a smartphone app (§3.1, §3.3).• We demonstrated SpaceX Mag in two commonly used magnication modes (e.g., fullscreen and window)for low-vision users, as well as in sheye mode, which is unavailable to current screen magniers (§4).• We presented a study with 11 low-vision users to evaluate SpaceX Mag in performing common magnicationtasks (e.g., overview, target acquisition), understanding user experience, and discovering user strategiesand dierent magnication modes (§6).• We demonstrated SpaceX Mag’s scalability by running it on a public dataset, RICO-SCA [7], and reportedmetrics such as the average percentage of space saved and average runtime (§7).</t>
  </si>
  <si>
    <t>2023_Jun_060.pdf</t>
  </si>
  <si>
    <t xml:space="preserve">Yincheng Jin, Shibo Zhang, Yang Gao, Xuhai Xu, Seokmin Choi, Zhengxiong Li, Henry J. Adler, and Zhanpeng Jin. 2023. SmartASL: "Point-of-Care" Comprehensive ASL Interpreter Using Wearables. Proc. ACM Interact. Mob. Wearable Ubiquitous Technol. 7, 2, Article 60 (June 2023), 21 pages. https://doi.org/10.1145/3596255</t>
  </si>
  <si>
    <t xml:space="preserve">STEVAL-BCN002V1B IMU's,Wearables,Raspberry Pi 4B,</t>
  </si>
  <si>
    <t xml:space="preserve">T5-small (Text-To-Text Transfer Transformer),Implementation of a Multi-View CNN,</t>
  </si>
  <si>
    <t xml:space="preserve">• We propose that SmartASL, the first proof-of-concept wearable ASL system, can recognize both manualmarkers (e.g., hand movements) using a smartwatch, and non-manual markers (e.g., question markers,negative meanings, and non-affective facial expressions) using a pair of earbuds, simultaneously. Ourproposed SmartASL system demonstrates promising recognition performance.• We develop and fine-tune a well-pre-trained transformer-based T5-small model to translate the recognizedASL glosses into spoken English. It can bridge the gap between the recognized ASL glosses and spokenEnglish.• We develop and implement a portable prototype to showcase the end-to-end pipeline of our system. Oursystem consists of three IMU sensors, a Raspberry Pi board, and a wearable speaker that audibly deliversthe translated English. Additionally, we investigate the user experience by conducting experiments withour portable SmartASL prototype.</t>
  </si>
  <si>
    <t>2023_Jun_061.pdf</t>
  </si>
  <si>
    <t xml:space="preserve">Ayanga Imesha Kumari Kalupahana, Ananta Narayanan Balaji, Xiaokui Xiao, and Li-Shiuan Peh. 2023. SeRaNDiP: Leveraging Inherent Sensor Random Noise for Differential Privacy Preservation in Wearable Community Sensing Applications. Proc. ACM Interact. Mob. Wearable Ubiquitous Technol. 7, 2, Article 61 (June 2023), 38 pages. https://doi.org/10.1145/3596252</t>
  </si>
  <si>
    <t xml:space="preserve">Raw sensor readings were collected from 10 participants performing various physical and vertical activities to evaluate classification accuracy and analyze inherent sensor noise.</t>
  </si>
  <si>
    <t xml:space="preserve">ESP32 microcontroller,Accelerometers such as InvenSense MPU-9250 and Analog Devices ADXL345, Barometers such as Bosch BMP388 and NXP MPL3115A2,Body Temperature Sensors such as Melexis MLX90632,Raspberry Pi 3b,FNIRSI FNB48 USB Meter Tester</t>
  </si>
  <si>
    <t xml:space="preserve">Arduino IDE,Tizen Studio,MATLAB Simulink,MIT App Inventor</t>
  </si>
  <si>
    <t xml:space="preserve">• We study the latency and energy consumption overheads associated with realizing state-of-the-art DDP ontoday’s wearables with accelerometers, barometers and temperature sensors.• We propose SeRaNDiP which leverages a sensor’s inherent noise to meet DDP requirements, thus savingon the need for noise generation for DDP. Hence SeRaNDiP is readily applicable to fitness trackers andsmartwatches without any hardware modification.• We analyze the inherent noise of hardware sensors common in today’s wearables and demonstrate thespecific sensor configurations and application scenarios where the inherent sensor noise suffices for DDPguarantees. • We study the latency and energy consumption overheads associated with realizing state-of-the-art DDP ontoday’s wearables with accelerometers, barometers and temperature sensors.• We propose SeRaNDiP which leverages a sensor’s inherent noise to meet DDP requirements, thus savingon the need for noise generation for DDP. Hence SeRaNDiP is readily applicable to fitness trackers andsmartwatches without any hardware modification.• We analyze the inherent noise of hardware sensors common in today’s wearables and demonstrate thespecific sensor configurations and application scenarios where the inherent sensor noise suffices for DDPguarantees.</t>
  </si>
  <si>
    <t>2023_Jun_062.pdf</t>
  </si>
  <si>
    <t xml:space="preserve">Pin-Sung Ku, Kunpeng Huang, Nancy Wang, Boaz Ng, Alicia Chu, and Hsin-Liu Cindy Kao. 2023. SkinLink: On-body Construction and Prototyping of Reconfigurable Epidermal Interfaces. Proc. ACM Interact. Mob. Wearable Ubiquitous Technol. 7, 2, Article 62 (June 2023), 27 pages. https://doi.org/10.1145/3596241</t>
  </si>
  <si>
    <t xml:space="preserve">ATSAMD21E18A Microcontroller,sensors,actuators,</t>
  </si>
  <si>
    <t xml:space="preserve">Arduino IDE,Custom Microcontroller Code</t>
  </si>
  <si>
    <t xml:space="preserve">(1) We introduce SkinLink, an on-body fabrication approach for on-skin interfaces through an in-situ, "out-of-kit," and reconfigurable prototyping workflow.(2) SkinLink comprises the on-skin fabrication process and a construction toolkit featuring flexible printedcircuit board modules and trace modules optimized for on-skin wearing.(3) We developed braiding techniques to make four types of modular traces to support flexible, stretchable,durable connections allowing body movement.(4) We conducted a usability study and a case study to validate the design concept and highlight the aestheticand functional customization opportunities.</t>
  </si>
  <si>
    <t>2023_Jun_063.pdf</t>
  </si>
  <si>
    <t xml:space="preserve">Mannu Lambrichts, Raf Ramakers, Steve Hodges, James Devine, Lorraine Underwood, and Joe Finney. 2023. CircuitGlue: A Software Configurable Converter for Interconnecting Multiple Heterogeneous Electronic Components. Proc. ACM Interact. Mob. Wearable Ubiquitous Technol. 7, 2, Article 63 (June 2023), 30 pages. https://doi.org/10.1145/3596265</t>
  </si>
  <si>
    <t>https://github.com/MannuLambrichts/CircuitGlue</t>
  </si>
  <si>
    <t xml:space="preserve">nRF52840 System-on-Chip,sensors,</t>
  </si>
  <si>
    <t xml:space="preserve">CircuitGlue-Firmware,CircuitGlue-Konfigurationstool,Microsoft MakeCode,</t>
  </si>
  <si>
    <t xml:space="preserve">• The CircuitGlue board, exposing eight programmable header pins that are configurable in software to drivea wide variety of electronic components. We benchmark our board’s design via a technical evaluation.• A software architecture that makes the functionality of electronic modules and components available onthe Jacdac communications bus. This makes many commercially available electronic modules compatiblewith each other and the Jacdac ecosystem.• A demonstration of how CircuitGlue facilitates and enriches electronic prototyping workflows and helpswith testing components as well as making electronic prototypes.• A preliminary user evaluation reporting on the utility of CircuitGlue for novices in electronics.</t>
  </si>
  <si>
    <t>2023_Jun_064.pdf</t>
  </si>
  <si>
    <r>
      <rPr/>
      <t xml:space="preserve">Jingxiao Liu, Siyuan Yuan, Yiwen Dong, Biondo Biondi, and Hae Young Noh. 2023. TelecomTM: A Fine-Grained and Ubiquitous Traffic Monitoring System Using Pre-Existing Telecommunication Fiber-Optic Cables as Sensors. Proc. ACM Interact. Mob. Wearable Ubiquitous Technol. 7, 2, Article 64 (June 2023), 24 pages. </t>
    </r>
    <r>
      <rPr>
        <u val="single"/>
        <color rgb="FF1155CC"/>
      </rPr>
      <t>https://doi.org/10.1145/3596262</t>
    </r>
  </si>
  <si>
    <t xml:space="preserve">telecommunication fiber-optic cables,OptaSense QuantX interrogator,</t>
  </si>
  <si>
    <t xml:space="preserve">• We introduce the TelecomTM system that uses pre-existing telecom fiber responses induced by vehiclevibrations to enable fine-grained and ubiquitous detection, tracking, and characterization of each vehicle. • We introduce the TelecomTM system that uses pre-existing telecom fiber responses induced by vehiclevibrations to enable fine-grained and ubiquitous detection, tracking, and characterization of each vehicle.</t>
  </si>
  <si>
    <t>2023_Jun_065.pdf</t>
  </si>
  <si>
    <r>
      <rPr/>
      <t xml:space="preserve">Jinyi Liu, Wenwei Li, Tao Gu, Ruiyang Gao, Bin Chen, Fusang Zhang, Dan Wu, and Daqing Zhang. 2023. Towards a Dynamic Fresnel Zone Model to WiFi-based Human Activity Recognition. Proc. ACM Interact. Mob. Wearable Ubiquitous Technol. 7, 2, Article 65 (June 2023), 24 pages. </t>
    </r>
    <r>
      <rPr>
        <u val="single"/>
        <color rgb="FF1155CC"/>
      </rPr>
      <t>https://doi.org/10.1145/3596270</t>
    </r>
  </si>
  <si>
    <t xml:space="preserve">WiFi Transceivers,WiFi 6 network cards,Laptop as a processing unit such as DELL Precision 5520,IMU's,</t>
  </si>
  <si>
    <t xml:space="preserve">• This paper proposes a dynamic Fresnel zone model for the mobile receiver-based sensing scenarios andbuilds the theoretical foundation for WiFi sensing under mobile receiver conditions. The study extendsthe current WiFi sensing paradigm to mobile-receiver scenarios that encompass a wide range of mobileapplications.• From our in-depth analysis of signal propagation at mobile receivers in indoor environments, we develop arigorous mathematical model that quantifies the relationship between RF signal variations and receiver-sideactivities. Through comprehensive experiments, we validate this model and uncover several unique featuresof a mobile receiver-based WiFi sensing system.• Built on the dynamic Fresnel zone model, we present a proof-of-concept prototype system that is able toaccurately detect receiver-side activities without knowing the relative locations of transceivers. Results showthat the system achieves an activity recognition accuracy of 98%, an estimation error of the transmitter’sangle within 10°, and an estimation error of the receiver’s moving distance at the millimeter level.</t>
  </si>
  <si>
    <t>2023_Jun_066.pdf</t>
  </si>
  <si>
    <t xml:space="preserve">Xiaoyi Liu, Yingtian Shi, Chun Yu, Cheng Gao, Tianao Yang, Chen Liang, and Yuanchun Shi. 2023. Understanding In-Situ Programming for Smart Home Automation. Proc. ACM Interact. Mob. Wearable Ubiquitous Technol. 7, 2, Article 66 (June 2023), 31 pages. https://doi.org/10.1145/3596254</t>
  </si>
  <si>
    <t xml:space="preserve">various smart home devices,Interaction devices or Interfaces to the wizard of oz system,Sensors,Cameras</t>
  </si>
  <si>
    <t xml:space="preserve">Home Assistant Plattform,Django + Vue,Azure TTS</t>
  </si>
  <si>
    <t xml:space="preserve">(1) We propose the in-situ programming (ISP) paradigm in IoT scenarios which greatly leverages in-situcontextual information and user interaction. We systematically investigate users’ behavior models andmental models under this paradigm.(2) We frame the programming flow and approaches in an ISP scenario. We proposed two novel approaches: 1)a configuration approach “snapshot” in which users configure automation by in-situ controlling devices andpreserve the instant states. 2) a test approach “simulation”, in which users test the rules with assumptions.(3) We design and prototype a Wizard-of-Oz system to support the ideal ISP scenario. We validate the system’seffectiveness through a user-enactment study and proposed design spaces on programming mechanism,interface, and scene management.(4) We collect multi-modal data from the user study and form a text-based dataset of user-system interactionannotated with interaction features, acts, and intentions for IoT end-user programming research.</t>
  </si>
  <si>
    <t>2023_Jun_067.pdf</t>
  </si>
  <si>
    <t xml:space="preserve">Yue Lyu, Pengcheng An, Yage Xiao, Zibo Zhang, Huan Zhang, Keiko Katsuragawa, and Jian Zhao. 2023. Eggly: Designing Mobile Augmented Reality Neurofeedback Training Games for Children with Autism Spectrum Disorder. Proc. ACM Interact. Mob. Wearable Ubiquitous Technol. 7, 2, Article 67 (June 2023), 29 pages. https://doi.org/10.1145/3596251</t>
  </si>
  <si>
    <t xml:space="preserve">EEG headband,Tablet,</t>
  </si>
  <si>
    <t xml:space="preserve">• A feedback design framework developed with domain experts to guide the design of NFT games;• A first attempt to integrate AR and NFT in a mobile game, Eggly, that embodies the feedback framework andcan be used in everyday (nonclinical) settings with a portable EEG headband and a tablet;• Empirical understanding of ASD children’s user experience of Eggly and insights into the design and develop-ment of future AR NFT games.</t>
  </si>
  <si>
    <t>2023_Jun_068.pdf</t>
  </si>
  <si>
    <t xml:space="preserve">M. Prajwal, Ayush Raj, Sougata Sen, Snehanshu Saha, and Surjya Ghosh. 2023. Towards Efficient Emotion Self-report Collection Using Human-AI Collaboration: A Case Study on Smartphone Keyboard Interaction. Proc. ACM Interact. Mob. Wearable Ubiquitous Technol. 7, 2, Article 68 (June 2023), 23 pages. https://doi.org/10.1145/3596269</t>
  </si>
  <si>
    <t xml:space="preserve">A self collected Dataset, containing roughly 11,000 typing sessions corresponding to more than 200 hours of typing data is required.</t>
  </si>
  <si>
    <t xml:space="preserve">Android-Smartphone,Workstation for analysis of data</t>
  </si>
  <si>
    <t xml:space="preserve">Implementation of a Random Forest model,Scikit-learn,SHAP,</t>
  </si>
  <si>
    <t xml:space="preserve">• We describe the design and implementation of HACE, a Human-AI collaborative framework (encompassingan active learning module) to reduce the emotion self-report collection effort in long-term ESM studies. Weshow the implementation of the framework with a case study on smartphone keyboard interaction. We providefine-grained details of the implementation of the active learning framework.• To evaluate the framework, we performed a large-scale in-the-wild user study with 32 users who providedkeyboard interaction data and emotion self-reports for three weeks, resulting in 203 hours of typing data.From the user study, we observed that HACE required 46% fewer self-reports as compared to the traditionalself-reporting approaches. Although HACE approximately halves the number of user self-report inputs, itdetects the emotion self-reports with an average F-score of 85%.• We also performed the explainability analysis to highlight that relevant typing characteristics (e.g., speed,session length) and self-reporting patterns play an important role in distinguishing emotion self-reports.</t>
  </si>
  <si>
    <t>2023_Jun_069.pdf</t>
  </si>
  <si>
    <t xml:space="preserve">Manuel Meier and Christian Holz. 2023. BMAR: Barometric and Motion-based Alignment and Refinement for Offline Signal Synchronization across Devices. Proc. ACM Interact. Mob. Wearable Ubiquitous Technol. 7, 2, Article 69 (June 2023), 21 pages. https://doi.org/10.1145/3596268</t>
  </si>
  <si>
    <t xml:space="preserve">Renesas DA14695 System-on-a-Chip,Barometric Pressure sensor Bosch Sensortec BME280,Accelerometer Analog Devices ADXL355 and STMicroelectronics LIS2DH,</t>
  </si>
  <si>
    <t xml:space="preserve">Python 3.11,C++,freeRTOS</t>
  </si>
  <si>
    <t xml:space="preserve">(1) BMAR, a novel method for signal synchronization that processes recordings offline through a pre-alignmentand refinement stage, without relying on assumptions about signal content (e.g., specific actions or user inputduring recording).(2) Particular support for (wearable) low-power platforms, requiring no wireless connectivity or communicationduring operation, and leveraging only commonplace air pressure and accelerometer measurements. (1) BMAR, a novel method for signal synchronization that processes recordings offline through a pre-alignmentand refinement stage, without relying on assumptions about signal content (e.g., specific actions or user inputduring recording).(2) Particular support for (wearable) low-power platforms, requiring no wireless connectivity or communicationduring operation, and leveraging only commonplace air pressure and accelerometer measurements.</t>
  </si>
  <si>
    <t>2023_Jun_070.pdf</t>
  </si>
  <si>
    <t xml:space="preserve">Yuchen Miao, Chaojie Gu, Zhenyu Yan, Sze Yiu Chau, Rui Tan, Qi Lin, Wen Hu, Shibo He, and Jiming Chen. 2023. TouchKey: Touch to Generate Symmetric Keys by Skin Electric Potentials Induced by Powerline Radiation. Proc. ACM Interact. Mob. Wearable Ubiquitous Technol. 7, 2, Article 70 (June 2023), 21 pages. https://doi.org/10.1145/3596264</t>
  </si>
  <si>
    <t xml:space="preserve">Implements the TOUCHKEY SEP-based key generation, quantization, and reconciliation protocol on embedded devices but does not release source code or a repository link.</t>
  </si>
  <si>
    <t xml:space="preserve">Uses SEP measurements from 31 volunteers across multiple environments that are not publicly released.</t>
  </si>
  <si>
    <t xml:space="preserve">Prototypes are built using TI CC2650 LaunchPad boards with ADC input electrodes, lithium-ion batteries, CC2650 SensorTags, and Arduino UNO boards.</t>
  </si>
  <si>
    <t xml:space="preserve">Implements TOUCHKEY using TI-RTOS with AES-EMAC and standard signal processing code on low-power MCUs.</t>
  </si>
  <si>
    <t xml:space="preserve">Provides system model, algorithm description, parameters, and evaluation but no clone, installation, or run instructions.</t>
  </si>
  <si>
    <t xml:space="preserve">Besides, the overall execution time and energy usage are 0.44 s and 2.716 mJ, which make it suitable for resource-constrained devices.</t>
  </si>
  <si>
    <t>2023_Jun_071.pdf</t>
  </si>
  <si>
    <t xml:space="preserve">Georgia Panagiotidou, Enrico Costanza, Michael J. Fell, Farhan Samanani, and Hannah Knox. 2023. Supporting Solar Energy Coordination among Communities. Proc. ACM Interact. Mob. Wearable Ubiquitous Technol. 7, 2, Article 71 (June 2023), 23 pages. https://doi.org/10.1145/3596243</t>
  </si>
  <si>
    <t>https://github.com/ecostanza/sensor-pi-js</t>
  </si>
  <si>
    <t xml:space="preserve">Open-source code for the sensor platform and web interface is provided at the GitHub repository.</t>
  </si>
  <si>
    <t>https://doi.org/10.5522/04/22654162</t>
  </si>
  <si>
    <t xml:space="preserve">Household electricity monitoring and annotation data are available at the given data DOI.</t>
  </si>
  <si>
    <t xml:space="preserve">Requires a custom energy monitoring kit based on OpenEnergyMonitor EmonTx sensors, current clamps, and a Raspberry Pi gateway deployed in participants’ homes.</t>
  </si>
  <si>
    <t xml:space="preserve">Implements the web visualization and annotation interface, EnergyBlocks, and BatterySim using Node.js, InfluxDB, and other standard open-source tools.</t>
  </si>
  <si>
    <t xml:space="preserve">The linked GitHub repository includes detailed setup, deployment, and service restart commands for the Raspberry Pi web application.</t>
  </si>
  <si>
    <t xml:space="preserve">Accordingly, our findings contribute to the development of a next generation of Ubicomp technologies that can support collective action for environmental sustainability.</t>
  </si>
  <si>
    <t>2023_Jun_072.pdf</t>
  </si>
  <si>
    <t xml:space="preserve">Joonyoung Park and Uichin Lee. 2023. Understanding Disengagement in Just-in-Time Mobile Health Interventions. Proc. ACM Interact. Mob. Wearable Ubiquitous Technol. 7, 2, Article 72 (June 2023), 27 pages. https://doi.org/10.1145/3596240</t>
  </si>
  <si>
    <t xml:space="preserve">Implements a smartphone-based JIT intervention app with alarms, dashboards, logging, and analysis scripts but does not provide any source code or repository link.</t>
  </si>
  <si>
    <t xml:space="preserve">Uses activity logs, JIT alarm interactions, bi-weekly surveys, and interviews from 54 students over 8 weeks, but no public dataset link is provided.</t>
  </si>
  <si>
    <t xml:space="preserve">Requires Android smartphones (OS version 10 or higher) with built-in step tracking and activity recognition sensors for JIT intervention delivery.</t>
  </si>
  <si>
    <t xml:space="preserve">Uses an Android app built on standard mobile technologies such as Google Activity Recognition and notification services.</t>
  </si>
  <si>
    <t xml:space="preserve">Describes the intervention system design, components, and study procedure but provides no step-by-step installation or run instructions for the app or analysis.</t>
  </si>
  <si>
    <t xml:space="preserve">Our findings reveal that personal traits, such as boredom proneness and self-control issues, are closely related to disengagement, with key factors including 1) boredom and habituation related to repetitive and monotonous JIT interventions, 2) inopportune alarm, 3) distrust for the JIT feedback mechanism, and 4) a lack of motivation due to low rewards. We provide theoretical and practical design guidelines for follow-up studies on JIT intervention system design.</t>
  </si>
  <si>
    <t>2023_Jun_073.pdf</t>
  </si>
  <si>
    <t xml:space="preserve">Marko Radeta, Claudio Rodrigues, Francisco Silva, Pedro Abreu, João Pestana, Ngoc Thi Nguyen, Agustin Zuniga, Huber Flores, and Petteri Nurmi. 2023. Lost in the Deep? Performance Evaluation of Dead Reckoning Techniques in Underwater Environments. Proc. ACM Interact. Mob. Wearable Ubiquitous Technol. 7, 2, Article 73 (June 2023), 27 pages. https://doi.org/10.1145/3596245</t>
  </si>
  <si>
    <t>https://bitbucket.org/wave_labs/aeolus/src/master/</t>
  </si>
  <si>
    <t xml:space="preserve">Code is available at the provided Bitbucket repository.</t>
  </si>
  <si>
    <t xml:space="preserve">Experiments use custom IMU trajectories collected on the ground and underwater, and no public dataset link is provided.</t>
  </si>
  <si>
    <t xml:space="preserve">Uses the AEOLUS prototype with a LoPy4 microcontroller, MPU-9250 IMU, acrylic underwater housing, motion platforms, and scuba diving equipment.</t>
  </si>
  <si>
    <t xml:space="preserve">Implements the AEOLUS pipeline on a LoPy4 microcontroller using MicroPython.</t>
  </si>
  <si>
    <t xml:space="preserve">No step-by-step installation or run instructions</t>
  </si>
  <si>
    <t xml:space="preserve">We also show that the performance depends on the shape of the motion patterns with some algorithms performing better for hard turns whereas others perform better for gradual, more continuous turns.</t>
  </si>
  <si>
    <t>2023_Jun_074.pdf</t>
  </si>
  <si>
    <t xml:space="preserve">Panneer Selvam Santhalingam, Parth Pathak, Huzefa Rangwala, and Jana Kosecka. 2023. Synthetic Smartwatch IMU Data Generation from In-the-wild ASL Videos. Proc. ACM Interact. Mob. Wearable Ubiquitous Technol. 7, 2, Article 74 (June 2023), 34 pages. https://doi.org/10.1145/3596261</t>
  </si>
  <si>
    <t xml:space="preserve">The paper describes PyTorch-based deep learning models for Vi2IMU but does not state that source code is released.</t>
  </si>
  <si>
    <t>https://github.com/vi2imu/Vi2IMU</t>
  </si>
  <si>
    <t xml:space="preserve">Uses an Azure Kinect camera development kit and a wrist-mounted Google Pixel phone IMU to collect data, and trains models on NVIDIA Tesla K480 GPUs.</t>
  </si>
  <si>
    <t xml:space="preserve">Uses Azure Kinect body tracking software and SDKs for 3D joint estimation, along with OpenPose, a 3D pose regression model, and PyTorch for deep learning.</t>
  </si>
  <si>
    <t xml:space="preserve">The paper and linked dataset repository describe the released IMU data but do not provide clone, install or run instructions or scripts for reproducing the models.</t>
  </si>
  <si>
    <t xml:space="preserve">Our results show that the model using translated data performs reasonably well compared to the same model trained using measured IMU data.</t>
  </si>
  <si>
    <t>2023_Jun_075.pdf</t>
  </si>
  <si>
    <t xml:space="preserve">Shuai Shao, Yu Guan, Bing Zhai, Paolo Missier, and Thomas Plötz. 2023. ConvBoost: Boosting ConvNets for Sensor-based Activity Recognition. Proc. ACM Interact. Mob. Wearable Ubiquitous Technol. 7, 2, Article 75 (June 2023), 21 pages. https://doi.org/10.1145/3596234</t>
  </si>
  <si>
    <t>https://github.com/sshao2013/ConvBoost</t>
  </si>
  <si>
    <t xml:space="preserve">The paper states it is an open-source project and links to a ConvBoost GitHub repository.</t>
  </si>
  <si>
    <t xml:space="preserve">Experiments use three public HAR datasets: Opportunity, PAMAP2, and GOTOV, with access details given in the paper and repository.</t>
  </si>
  <si>
    <t xml:space="preserve">Relies on existing wearable-sensor datasets and standard computing hardware; no special hardware is needed to reproduce experiments.</t>
  </si>
  <si>
    <t xml:space="preserve">Implements ConvBoost on CNN, ConvLSTM, and attention backbones using standard deep learning tools.</t>
  </si>
  <si>
    <t xml:space="preserve">The linked GitHub repo provides environment setup, dataset download instructions, and training scripts to run ConvBoost experiments.</t>
  </si>
  <si>
    <t xml:space="preserve">We achieved substantial performance gains for all of them, which suggests that the proposed approach is generic and can serve as a practical solution for boosting the performance of existing ConvNet-based HAR models.</t>
  </si>
  <si>
    <t>2023_Jun_076.pdf</t>
  </si>
  <si>
    <t xml:space="preserve">Yang-Hsi Su, Chouchang Jack Yang, Euiseok Hwang, and Alanson P. Sample. 2023. Single Packet, Single Channel, Switched Antenna Array for RF Localization. Proc. ACM Interact. Mob. Wearable Ubiquitous Technol. 7, 2, Article 76 (June 2023), 25 pages. https://doi.org/10.1145/3596263</t>
  </si>
  <si>
    <t xml:space="preserve">The paper details a GNU Radio and MATLAB-based signal processing pipeline but does not provide any source code release or repository link.</t>
  </si>
  <si>
    <t xml:space="preserve">Uses collected BLE packet data and UWB/Vive ground truth traces that are not released as a dataset.</t>
  </si>
  <si>
    <t xml:space="preserve">Requires a custom 8-element PulseLarsen patch antenna array with an RF switch, a microcontroller, an Analog Devices PlutoSDR, and smartphones.</t>
  </si>
  <si>
    <t xml:space="preserve">Uses MATLAB BLE toolbox along with GNU Radio C++ modules and vendor SDR tools for waveform generation and processing.</t>
  </si>
  <si>
    <t xml:space="preserve">The paper describes the hardware configuration and signal processing stages but does not provide implementation, installation, or run instructions.</t>
  </si>
  <si>
    <t xml:space="preserve">Ultimately this approach enables a single low-cost, low bandwidth commodity RF receiver to be used to create an N-element phased array receiver.</t>
  </si>
  <si>
    <t>2023_Jun_077.pdf</t>
  </si>
  <si>
    <t xml:space="preserve">Harsh Vijay, Saumay Pushp, Amish Mittal, Praveen Gupta, Meghna Gupta, Sirish Gambhira, Shivang Chopra, Mayank Baranwal, Arshia Arya, Ajay Manchepalli, and Venkata N. Padmanabhan. 2023. HyWay: Enabling Mingling in the Hybrid World. Proc. ACM Interact. Mob. Wearable Ubiquitous Technol. 7, 2, Article 77 (June 2023), 33 pages. https://doi.org/10.1145/3596235</t>
  </si>
  <si>
    <t xml:space="preserve">No source code link is provided for HyWay.</t>
  </si>
  <si>
    <t xml:space="preserve">User study and experimental data are collected but no dataset link is provided.</t>
  </si>
  <si>
    <t xml:space="preserve">Requires large displays with webcams, speakers, microphones, and computers for HyWay zones.</t>
  </si>
  <si>
    <t xml:space="preserve">Implements HyWay using proprietary Azure Communication Services and Azure Cognitive Services Face API plus React, Phaser3, and FastAPI.</t>
  </si>
  <si>
    <t xml:space="preserve">Paper describes system architecture and components but gives no end-to-end installation or run instructions.</t>
  </si>
  <si>
    <t xml:space="preserve">Results from these deployments show that HyWay enables effective mingling between physical and virtual users.</t>
  </si>
  <si>
    <t>2023_Jun_078.pdf</t>
  </si>
  <si>
    <t xml:space="preserve">Jiankun Wang, Zenghua Zhao, Mengling Ou, Jiayang Cui, and Bin Wu. 2023. Automatic Update for Wi-Fi Fingerprinting Indoor Localization via Multi-Target Domain Adaptation. Proc. ACM Interact. Mob. Wearable Ubiquitous Technol. 7, 2, Article 78 (June 2023), 27 pages. https://doi.org/10.1145/3596239</t>
  </si>
  <si>
    <t xml:space="preserve">Describes the MTDAN model and MTLoc system implemented in PyTorch and Android but does not release source code.</t>
  </si>
  <si>
    <t>https://github.com/WirelessGroupTJU/MTLocData</t>
  </si>
  <si>
    <t xml:space="preserve">Uses the open Lib-UJI Wi-Fi dataset and the authors own Wi-Fi fingerprint datasets released as MTLocData on GitHub.</t>
  </si>
  <si>
    <t xml:space="preserve">Requires Wi-Fi AP infrastructure, Android smartphones for sensing, and a server with an Intel Core i7-7700K CPU, 32 GB RAM, and a GeForce GTX 1080 Ti GPU to train and run MTDAN.</t>
  </si>
  <si>
    <t xml:space="preserve">Implements with PyTorch and deploys MTLoc as a server-side system with Android smartphone sensing clients.</t>
  </si>
  <si>
    <t xml:space="preserve">Provides detailed model architecture, loss functions, datasets, hardware setup, and hyperparameter settings but no code repository or step-by-step installation and run commands.</t>
  </si>
  <si>
    <t xml:space="preserve">Experimental results demonstrate that MTLoc retains high localization accuracy with limited storage and training cost in the long term, which significantly outperforms its counterparts.</t>
  </si>
  <si>
    <t>2023_Jun_079.pdf</t>
  </si>
  <si>
    <t xml:space="preserve">Xuanzhi Wang, Kai Niu, Anlan Yu, Jie Xiong, Zhiyun Yao, Junzhe Wang, Wenwei Li, and Daqing Zhang. 2023. WiMeasure: Millimeter-level Object Size Measurement with Commodity WiFi Devices. Proc. ACM Interact. Mob. Wearable Ubiquitous Technol. 7, 2, Article 79 (June 2023), 26 pages. https://doi.org/10.1145/3596250</t>
  </si>
  <si>
    <t xml:space="preserve">Implements the WiMeasure signal processing and curvature-based singularity detection pipeline in Matlab but does not release source code.</t>
  </si>
  <si>
    <t xml:space="preserve">Uses custom WiFi CSI traces collected with commodity WiFi devices and various objects; no dataset download is provided.</t>
  </si>
  <si>
    <t xml:space="preserve">Requires commodity WiFi transceivers (GigaByte MiniPCs with Intel 5300 WiFi cards and antennas), a sliding rail or conveyor setup, and physical test objects such as parcel boxes and apples.</t>
  </si>
  <si>
    <t xml:space="preserve">Processes CSI data and implements WiMeasure in Matlab on a Dell laptop using Intel 5300 CSI tools.</t>
  </si>
  <si>
    <t xml:space="preserve">Describes system architecture, equations, hardware setup, and parameter choices but no step-by-step installation or run commands.</t>
  </si>
  <si>
    <t xml:space="preserve">We believe this work is an important missing piece of WiFi sensing and opens the door to size measurement using low-cost low-frequency RF signals.</t>
  </si>
  <si>
    <t>2023_Jun_080.pdf</t>
  </si>
  <si>
    <t xml:space="preserve">Han Yu and Akane Sano. 2023. Semi-Supervised Learning for Wearable-based Momentary Stress Detection in the Wild. Proc. ACM Interact. Mob. Wearable Ubiquitous Technol. 7, 2, Article 80 (June 2023), 23 pages. https://doi.org/10.1145/3596246</t>
  </si>
  <si>
    <t xml:space="preserve">Implements a semi-supervised CNN framework but does not provide source code or a repository link.</t>
  </si>
  <si>
    <t xml:space="preserve">Uses SMILE and TILES stress datasets plus four public HAR datasets; SMILE raw data are not publicly accessible while the HAR datasets are public.</t>
  </si>
  <si>
    <t xml:space="preserve">Uses wrist-worn Chillband and Health Patch sensors and OMSignal smart garments to collect physiological and motion data for the stress datasets.</t>
  </si>
  <si>
    <t xml:space="preserve">Processes signals and constructs features using the NeuroKit2 Python library and standard deep learning and machine learning tools.</t>
  </si>
  <si>
    <t xml:space="preserve">Provides detailed descriptions of model architecture, data preprocessing, hyperparameters, and training protocol but no explicit clone, run or installation instructions.</t>
  </si>
  <si>
    <t xml:space="preserve">Our approach showed comparable performance to state-of-the-art semi-supervised learning methods for both stress detection and HAR tasks.</t>
  </si>
  <si>
    <t>2023_Jun_081.pdf</t>
  </si>
  <si>
    <t xml:space="preserve">Jinyang Yu, Jianjiang Feng, and Jie Zhou. 2023. PrintShear: Shear Input Based on Fingerprint Deformation. Proc. ACM Interact. Mob. Wearable Ubiquitous Technol. 7, 2, Article 81 (June 2023), 22 pages. https://doi.org/10.1145/3596257</t>
  </si>
  <si>
    <t xml:space="preserve">The paper details the PrintShear deformation calculation and mapping algorithms but does not provide any source code or repository link.</t>
  </si>
  <si>
    <t xml:space="preserve">Uses deformation measurements and performance data from a 12-participant user study that are not released as a dataset.</t>
  </si>
  <si>
    <t xml:space="preserve">Requires a Dotutech DF5002 optical fingerprint scanner plus a touchscreen laptop, SpaceMouse, and TrackPoint for comparison experiments.</t>
  </si>
  <si>
    <t xml:space="preserve">Uses the proprietary Dotutech fingerprint scanner SDK together with open-source tools such as Kivy, VTK, and the pyspacenavigator library.</t>
  </si>
  <si>
    <t xml:space="preserve">Describes the PrintShear algorithm, hardware setup, and experimental protocol but gives no step-by-step installation or run instructions.</t>
  </si>
  <si>
    <t xml:space="preserve">Specifically, a 19.79% reduction in completion time was achieved compared with conventional touch input in a full 6DOF 3D object manipulation task.</t>
  </si>
  <si>
    <t>2023_Jun_082.pdf</t>
  </si>
  <si>
    <t xml:space="preserve">Qi Zhang, Hengshu Zhu, Peng Wang, Enhong Chen, and Hui Xiong. 2023. Hierarchical Wi-Fi Trajectory Embedding for Indoor User Mobility Pattern Analysis. Proc. ACM Interact. Mob. Wearable Ubiquitous Technol. 7, 2, Article 82 (June 2023), 21 pages. https://doi.org/10.1145/3596237</t>
  </si>
  <si>
    <t>https://github.com/7-Z-7/HWTE</t>
  </si>
  <si>
    <t xml:space="preserve">Official HWTE implementation with pretraining and finetuning scripts is provided at the linked GitHub repository.</t>
  </si>
  <si>
    <t xml:space="preserve">Experiments use a large-scale Wi-Fi access point log dataset that is not publicly released.</t>
  </si>
  <si>
    <t xml:space="preserve">Data are collected via Cisco Wi-Fi access points and models are trained on an Nvidia V100 GPU.</t>
  </si>
  <si>
    <t xml:space="preserve">Implements HWTE using TensorFlow with the Adam optimizer and standard deep learning tooling.</t>
  </si>
  <si>
    <t xml:space="preserve">The linked GitHub README provides concrete command-line examples for pretraining and finetuning the HWTE models.</t>
  </si>
  <si>
    <t xml:space="preserve">Finally, we validate our framework on a real-world dataset with all three kinds of downstream tasks.</t>
  </si>
  <si>
    <t>2023_Mar_001.pdf</t>
  </si>
  <si>
    <t xml:space="preserve">Nada Alhirabi, Stephanie Beaumont, Jose Tomas Llanos, Dulani Meedeniya, Omer Rana, and Charith Perera. 2023. PARROT: Interactive Privacy-Aware Internet of Things Application Design Tool. Proc. ACM Interact. Mob. Wearable Ubiquitous Technol. 7, 1, Article 1 (March 2023), 37 pages. https://doi.org/10.1145/3580880</t>
  </si>
  <si>
    <t xml:space="preserve">The outcome of the study indicates that IoT applications designed with PARROT addressed privacy concerns better and managed to reduce several of the limitations identified. From a privacy compliance perspective, PARROT helps developers to address compliance requirements throughout the design and testing process. </t>
  </si>
  <si>
    <t>2023_Mar_002.pdf</t>
  </si>
  <si>
    <t xml:space="preserve">Sudershan Boovaraghavan, Chen Chen, Anurag Maravi, Mike Czapik, Yang Zhang, Chris Harrison, and Yuvraj Agarwal. 2023. Mites: Design and Deployment of a General-Purpose Sensing Infrastructure for Buildings. Proc. ACM Interact. Mob. Wearable Ubiquitous Technol. 7, 1, Article 2 (March 2023), 32 pages. https://doi.org/10.1145/3580865</t>
  </si>
  <si>
    <t xml:space="preserve">Particle Photon P0, 1 MB FRAM chip, 802.3.af compatible AG9900M PoE</t>
  </si>
  <si>
    <t xml:space="preserve">We evaluate our iterative design decisions through a series of microbenchmarks and end-to-end evaluations of the Mites system to handle sensor streams at scale. We show that our system adapts to real-world network conditions and achieves high data delivery rates (94% of packets). We also show that the Mites system effectively achieves our stated design goals in a real-world deployment.</t>
  </si>
  <si>
    <t>2023_Mar_003.pdf</t>
  </si>
  <si>
    <t xml:space="preserve">Joseph Breda, Mastafa Springston, Alex Mariakakis, and Shwetak Patel. 2023. FeverPhone: Accessible Core-Body Temperature Sensing for Fever Monitoring Using Commodity Smartphones. Proc. ACM Interact. Mob. Wearable Ubiquitous Technol. 7, 1, Article 3 (March 2023), 23 pages. https://doi.org/10.1145/3580850</t>
  </si>
  <si>
    <t xml:space="preserve">In a clinical study with 37 participants, FeverPhone readings achieved a mean absolute error of 0.229 °C, a limit of agreement of ±0.731 °C, and a Pearson's correlation coefficient of 0.763. Using these results for fever classification results in a sensitivity of 0.813 and a specificity of 0.904.</t>
  </si>
  <si>
    <t>2023_Mar_004.pdf</t>
  </si>
  <si>
    <t xml:space="preserve">Yifeng Cao, Ashutosh Dhekne, and Mostafa Ammar. 2023. ViSig: Automatic Interpretation of Visual Body Signals Using On-Body Sensors. Proc. ACM Interact. Mob. Wearable Ubiquitous Technol. 7, 1, Article 4 (March 2023), 27 pages. https://doi.org/10.1145/3580797</t>
  </si>
  <si>
    <t xml:space="preserve">6 UWB DWM1000 nodes, Cortex M0 microcontroller, ISM330DHCX 6-DOF inertial sensor</t>
  </si>
  <si>
    <t xml:space="preserve">By deploying only a small number of sensors, we show that body signals can be interpreted unambiguously in many different settings, including in games of Cricket, Baseball, and Football, and in operational safety use-cases such as crane operations and flag semaphores for maritime navigation, with &gt; 90% accuracy. Overall, we have seen substantial promise in this approach and expect a large body of future follow-on work to start using UWB and IMU fused modalities for the more general human pose estimation problems.</t>
  </si>
  <si>
    <t>2023_Mar_005.pdf</t>
  </si>
  <si>
    <t xml:space="preserve">Xiaowei Chen, Xiao Jiang, Jiawei Fang, Shihui Guo, Juncong Lin, Minghong Liao, Guoliang Luo, and Hongbo Fu. 2023. DisPad: Flexible On-Body Displacement of Fabric Sensors for Robust Joint-Motion Tracking. Proc. ACM Interact. Mob. Wearable Ubiquitous Technol. 7, 1, Article 5 (March 2023), 27 pages. https://doi.org/10.1145/3580832</t>
  </si>
  <si>
    <t xml:space="preserve">"The datasets and the code will be released to the public after the publication of this paper."; supplemental material only contais a video; pseudo code</t>
  </si>
  <si>
    <t xml:space="preserve">"The datasets and the code will be released to the public after the publication of this paper."</t>
  </si>
  <si>
    <t xml:space="preserve">dispad prototype: standard fabric elbow pad with six soft stretchable sensors, wires and a circuit board</t>
  </si>
  <si>
    <t xml:space="preserve">Our prototype is fully bio-compatible, stretchable, and wearable. We develop a learning-based method to predict the elbow orientation angle and achieve an average tracking error of 9.82 degrees for single-user multi-motion experiments. With transfer learning, our method achieves the average tracking errors of 10.98 degrees and 11.81 degrees across different motion types and users, respectively. Our core contributions lie in a solution that realizes robust and stable human joint motion tracking across different device displacements</t>
  </si>
  <si>
    <t>2023_Mar_006.pdf</t>
  </si>
  <si>
    <t xml:space="preserve">Sungjae Cho, Yoonsu Kim, Jaewoong Jang, and Inseok Hwang. 2023. AI-to-Human Actuation: Boosting Unmodified AI's Robustness by Proactively Inducing Favorable Human Sensing Conditions. Proc. ACM Interact. Mob. Wearable Ubiquitous Technol. 7, 1, Article 6 (March 2023), 32 pages. https://doi.org/10.1145/3580812</t>
  </si>
  <si>
    <t xml:space="preserve">smarthome environment testbed</t>
  </si>
  <si>
    <t xml:space="preserve">First, we propose a novel concept of AI-to-Human Actuation (AHA), a strategy to strengthen human-targeted AI model’s effective performances under sub-optimal sensing conditions; our strategy is orthogonal to existing ML/CV approaches which have not considered the actively interact-able nature of humans. Second, we comprehensively explore the characterization and initial embodiment of AHA, with crisp experimental demonstration in an apartment home that AHA substantially improves the AI performance in various sensing conditions and yields positive and acceptable user experiences. Third, from experiments and observations, we derive early guidelines to facilitate exercising AHA in further deployment.</t>
  </si>
  <si>
    <t>2023_Mar_007.pdf</t>
  </si>
  <si>
    <t xml:space="preserve">Anindya Das Antar, Anna Kratz, and Nikola Banovic. 2023. Behavior Modeling Approach for Forecasting Physical Functioning of People with Multiple Sclerosis. Proc. ACM Interact. Mob. Wearable Ubiquitous Technol. 7, 1, Article 7 (March 2023), 29 pages. https://doi.org/10.1145/3580887</t>
  </si>
  <si>
    <t xml:space="preserve">public dataset used</t>
  </si>
  <si>
    <t xml:space="preserve">Our model outperformed existing ML baselines in a series of quantitative validation experiments. We showed that our model captured clinical knowledge about MS using qualitative visual model exploration in different "what-if" scenarios. Our work enables future behavior-aware interfaces that deliver just-in-time clinical interventions and aid in "day planning" and "activity pacing".</t>
  </si>
  <si>
    <t>2023_Mar_008.pdf</t>
  </si>
  <si>
    <t xml:space="preserve">Mallesham Dasari, Ramanujan K. Sheshadri, Karthikeyan Sundaresan, and Samir R. Das. 2023. RoVaR: Robust Multi-agent Tracking through Dual-layer Diversity in Visual and RF Sensing. Proc. ACM Interact. Mob. Wearable Ubiquitous Technol. 7, 1, Article 8 (March 2023), 25 pages. https://doi.org/10.1145/3580854</t>
  </si>
  <si>
    <t>https://github.com/mdasari823/RoVAR</t>
  </si>
  <si>
    <t xml:space="preserve">repo empty</t>
  </si>
  <si>
    <t xml:space="preserve">UWB beacon and Intel T265 stereo-camera</t>
  </si>
  <si>
    <t xml:space="preserve">RoVaR is an embodiment of such a dual-layer diversity approach that intelligently attends to cross-modal information using algorithmic and data-driven techniques that jointly share the burden of accurately tracking multiple agents in the wild. Extensive evaluations reveal RoVaR’s multi-dimensional benefits in terms of tracking accuracy, scalability and robustness to enable practical multi-agent immersive applications in everyday environments</t>
  </si>
  <si>
    <t>2023_Mar_009.pdf</t>
  </si>
  <si>
    <t xml:space="preserve">Kaikai Deng, Dong Zhao, Qiaoyue Han, Zihan Zhang, Shuyue Wang, Anfu Zhou, and Huadong Ma. 2023. Midas: Generating mmWave Radar Data from Videos for Training Pervasive and Privacy-preserving Human Sensing Tasks. Proc. ACM Interact. Mob. Wearable Ubiquitous Technol. 7, 1, Article 9 (March 2023), 26 pages. https://doi.org/10.1145/3580872</t>
  </si>
  <si>
    <t>https://github.com/dkkmy/Midas</t>
  </si>
  <si>
    <t xml:space="preserve">WR1443BOOST, USB 3.0 camera, DCA1000EVM</t>
  </si>
  <si>
    <t xml:space="preserve">file descriptions and download instructions but no implicit instructions to run</t>
  </si>
  <si>
    <t xml:space="preserve">We implement and extensively evaluate Midas for both activity recognition and object detection with video data from six public datasets [1, 9, 38, 42, 70, 80], YouTube1 , and Bilibili2 , as well as real-world radar data from 10 volunteers. The evaluation results show that training a model with generated radar data (84.67%/80.65% accuracy) is roughly comparable to training with real-world radar data (90.7%/86.5% accuracy) for the activity recognition task. If we augment generated radar dataset with a small amount of real-world radar data, the recognition accuracy jumps to 97.75%/93.3% in single/multi-human scenes. Moreover, the object detection task has similar performance trends. Meanwhile, Midas improves the recognition accuracy by 7.59%/8.25% compared to Midas w/o VS-Net in single/multi-human scenes, while reducing the latency for selecting key clips by 242× compared to the conventional Siamese network.</t>
  </si>
  <si>
    <t>2023_Mar_010.pdf</t>
  </si>
  <si>
    <t xml:space="preserve">Han Ding, Zhenbin Chen, Cui Zhao, Fei Wang, Ge Wang, Wei Xi, and Jizhong Zhao. 2023. MI-Mesh: 3D Human Mesh Construction by Fusing Image and Millimeter Wave. Proc. ACM Interact. Mob. Wearable Ubiquitous Technol. 7, 1, Article 10 (March 2023), 24 pages. https://doi.org/10.1145/3580861</t>
  </si>
  <si>
    <t xml:space="preserve">prototype: COTS AWR1443BOOST mmWave radar, DCA1000EVM</t>
  </si>
  <si>
    <t xml:space="preserve">We train and test MI-Mesh using data collected in seven public environments. Extensive results show that MI-Mesh has Mean Average Vertex Error of 84.57𝑚𝑚, and Mean Per Joint Position Error of 69.25𝑚𝑚 in predicted 3D meshes.</t>
  </si>
  <si>
    <t>2023_Mar_011.pdf</t>
  </si>
  <si>
    <t xml:space="preserve">Rong Ding, Haiming Jin, Dong Xiang, Xiaocheng Wang, Yongkui Zhang, Dingman Shen, Lu Su, Wentian Hao, Mingyuan Tao, Xinbing Wang, and Chenghu Zhou. 2023. Soil Moisture Sensing with UAV-Mounted IR-UWB Radar and Deep Learning. Proc. ACM Interact. Mob. Wearable Ubiquitous Technol. 7, 1, Article 11 (March 2023), 25 pages. https://doi.org/10.1145/3580867</t>
  </si>
  <si>
    <t xml:space="preserve">IR-UWB radar, Novelda X4M05 IR-UWB transceiver</t>
  </si>
  <si>
    <t xml:space="preserve">Specifically, the experimental results carried out by our UAV-based system validate that SoilId can push the accuracy limits of RF-based soil moisture sensing techniques to a 50% quantile MAE of 0.23%.</t>
  </si>
  <si>
    <t>2023_Mar_012.pdf</t>
  </si>
  <si>
    <t xml:space="preserve">Chenyang Gao, Ivan Marsic, Aleksandra Sarcevic, Waverly Gestrich-Thompson, and Randall S. Burd. 2023. Real-time Context-Aware Multimodal Network for Activity and Activity-Stage Recognition from Team Communication in Dynamic Clinical Settings. Proc. ACM Interact. Mob. Wearable Ubiquitous Technol. 7, 1, Article 12 (March 2023), 28 pages. https://doi.org/10.1145/3580798</t>
  </si>
  <si>
    <t xml:space="preserve">In offline experiments, our proposed context-aware multimodal model achieved F1-scores of 73.2±0.8% and 78.1±1.1% for activity and activity-stage recognition, respectively. In online experiments, the performance declined about 10% for both recognition types when using utterance-level segmentation of the ASR output. The performance declined about 15% when we omitted the utterance-level segmentation. Our experiments showed the feasibility of speech-based activity and activity-stage recognition during dynamic clinical events.</t>
  </si>
  <si>
    <t>2023_Mar_013.pdf</t>
  </si>
  <si>
    <t xml:space="preserve">Agrim Gupta, Daegue Park, Shayaun Bashar, Cedric Girerd, Nagarjun Bhat, Siddhi Mundhra, Tania K. Morimoto, and Dinesh Bharadia. 2023. ForceSticker: Wireless, Batteryless, Thin &amp;amp; Flexible Force Sensors. Proc. ACM Interact. Mob. Wearable Ubiquitous Technol. 7, 1, Article 13 (March 2023), 32 pages. https://doi.org/10.1145/3580793</t>
  </si>
  <si>
    <t xml:space="preserve">ForceSticker prototypes, COTS RFID reader</t>
  </si>
  <si>
    <t xml:space="preserve">With ForceSticker framework, we design 4mm*2mm sensor prototypes, with two different polymer layers of ecoflex and neoprene rubber, having force ranges of 0-6N and 0-40N respectively, with readout errors of 0.25, 1.6 N error each (&lt;5% of max. force). Further, we stress test ForceSticker by &gt;10,000 force applications without significant error degradation. We also showcase two case-studies onto the possible applications of ForceSticker: sensing forces from a toy knee-joint model and integrity checks of warehouse packaging.</t>
  </si>
  <si>
    <t>2023_Mar_014.pdf</t>
  </si>
  <si>
    <t xml:space="preserve">Luke Haliburton, Svenja Yvonne Schött, Linda Hirsch, Robin Welsch, and Albrecht Schmidt. 2023. Feeling the Temperature of the Room: Unobtrusive Thermal Display of Engagement during Group Communication. Proc. ACM Interact. Mob. Wearable Ubiquitous Technol. 7, 1, Article 14 (March 2023), 21 pages. https://doi.org/10.1145/3580820</t>
  </si>
  <si>
    <t>2023_Mar_015.pdf</t>
  </si>
  <si>
    <t xml:space="preserve">Haiyan Hu, Qianyi Huang, and Qian Zhang. 2023. BabyNutri: A Cost-Effective Baby Food Macronutrients Analyzer Based on Spectral Reconstruction. Proc. ACM Interact. Mob. Wearable Ubiquitous Technol. 7, 1, Article 15 (March 2023), 30 pages. https://doi.org/10.1145/3580858</t>
  </si>
  <si>
    <t xml:space="preserve">prototype: incandescent lamp and an array of photodiodes, 3d printed sensing box, Arduino Mega</t>
  </si>
  <si>
    <t xml:space="preserve">Our extensive experiments over 88 types of baby food show that the spectral reconstruction error of BabyNutri is only 5.91%, reducing 33% than the state-of-the-art baseline with the same time complexity. In addition, the nutrient estimation performance of BabyNutri not only obviously outperforms state-of-the-art and cost-effective solutions but also is highly correlated with the professional spectrometer, with the correlation coefficients of 0.81, 0.88, 0.82 for protein, fat, and carbohydrate, respectively. However the price of our system is only one percent of the commercial solution. We also validate that BabyNutri is robust regarding various factors, e.g., ambient light, food volume, and even unseen baby food samples.</t>
  </si>
  <si>
    <t>2023_Mar_016.pdf</t>
  </si>
  <si>
    <t xml:space="preserve">Yandao Huang, Minghui Qiu, Lin Chen, Zhencan Peng, Qian Zhang, and Kaishun Wu. 2023. NF-Heart: A Near-field Non-contact Continuous User Authentication System via Ballistocardiogram. Proc. ACM Interact. Mob. Wearable Ubiquitous Technol. 7, 1, Article 16 (March 2023), 24 pages. https://doi.org/10.1145/3580851</t>
  </si>
  <si>
    <t xml:space="preserve">3-axis- accelerometer Murata SCA3300-D01, custom build smart chair</t>
  </si>
  <si>
    <t xml:space="preserve">Convolutional Autoencoder,implementation of a U-Net Architecture</t>
  </si>
  <si>
    <t xml:space="preserve">• We propose a near-field continuous user authentication system using unique BCG biometrics. Our system canguarantee the remote access security of organizations by continuously verifying the identity of work-at-homestaff.• We design multiple stages of signal processing to recover distorted BCG signals for practical authentication inactual situations. User-specific BCG features are successfully extracted using modified U-net architecture andCAE framework.• We design a smart chair for non-contact BCG measurements. We conduct extensive experiments involving 105subjects to validate the security, availability, and robustness of NF-Heart.</t>
  </si>
  <si>
    <t>2023_Mar_017.pdf</t>
  </si>
  <si>
    <t xml:space="preserve">Jeya Vikranth Jeyakumar, Ankur Sarker, Luis Antonio Garcia, and Mani Srivastava. 2023. X-CHAR: A Concept-based Explainable Complex Human Activity Recognition Model. Proc. ACM Interact. Mob. Wearable Ubiquitous Technol. 7, 1, Article 17 (March 2023), 28 pages. https://doi.org/10.1145/3580804</t>
  </si>
  <si>
    <t xml:space="preserve">self-collected CRAA Dataset is required.</t>
  </si>
  <si>
    <t xml:space="preserve">Wearable Inertial Sensors,workstation capable of training and running a deep-learning model</t>
  </si>
  <si>
    <t xml:space="preserve">Implementation of a deep learning model,Adam optimizer,TensorFlow,Pytorch</t>
  </si>
  <si>
    <t xml:space="preserve">• We propose X-CHAR, an end-to-end inherently interpretable DNN model architecture for complex activityrecognition.• We show that the sequence information of the concepts can be modeled using CTC Loss without havingaccurate start and end times in the training dataset.• We show that having a temporal bottleneck layer does not decrease the task accuracy compared to baselinemodels and has the additional benefit of being interpretable.• We provide faithful explanations of complex activity model predictions based on human-understandableconcepts while highlighting the importance of the sequential ordering of the concepts.• We evaluate our approach on multiple time series datasets. We conducted extensive experiments to showthat adding this bottleneck layer provides explainability with no loss in performance. We also conducted ahuman study to show that these explanations are preferred over other baseline explanation methods.</t>
  </si>
  <si>
    <t>2023_Mar_018.pdf</t>
  </si>
  <si>
    <t xml:space="preserve">Zhihan Jiang, Lin Lin, Xinchen Zhang, Jianduo Luan, Running Zhao, Longbiao Chen, James Lam, Ka-Man Yip, Hung-Kwan So, Wilfred H.S. Wong, Patrick Ip, and Edith C.H. Ngai. 2023. A Data-Driven Context-Aware Health Inference System for Children during School Closures. Proc. ACM Interact. Mob. Wearable Ubiquitous Technol. 7, 1, Article 18 (March 2023), 26 pages. https://doi.org/10.1145/3580800</t>
  </si>
  <si>
    <t xml:space="preserve">the Authors specify, that publishing the used datasets raises privacy concerns, because they comprise personal data.</t>
  </si>
  <si>
    <t xml:space="preserve">ActiGraph wGT3X-BT Wristbands</t>
  </si>
  <si>
    <t xml:space="preserve">ActiLife Software, Implementations of each of the following models: Logistic Regression, Random Forest, AdaBoost, Support Vector Machine (SVM), Gradient Boosting Decision Tree (GBDT), and Multilayer Perceptron (MLP)</t>
  </si>
  <si>
    <t xml:space="preserve">• To the best of our knowledge, this is the first data-driven context-aware system to comprehensively inferchildren’s health status from the perspectives of physical activity intensity, physical functioning, self-ratedhealth, psychosocial functioning, resilience, and connectedness, and analyze their risk factors during schoolclosures. Such a low-cost system can help parents track their children’s health status timely and provideguidance for authorities to allocate resources cost-effectively.• We evaluate the inference performance and conduct case studies based on real-world datasets from childrenin primary and secondary schools in Hong Kong during four time periods from September 2019 to January2022. The results show that the system can achieve an average area under receiver operating characteristiccurve of 0.7881 in the six indicators.• Following the exploratory analysis, feature importance analysis, and risk factor analysis, the key findingsare as follows:– If the pandemic situation mitigates, half-day school closures would be a better choice than full-dayschool closures. Compared with full-day school closures, half-day school closures have significantly less • To the best of our knowledge, this is the first data-driven context-aware system to comprehensively inferchildren’s health status from the perspectives of physical activity intensity, physical functioning, self-ratedhealth, psychosocial functioning, resilience, and connectedness, and analyze their risk factors during schoolclosures. Such a low-cost system can help parents track their children’s health status timely and provideguidance for authorities to allocate resources cost-effectively.• We evaluate the inference performance and conduct case studies based on real-world datasets from childrenin primary and secondary schools in Hong Kong during four time periods from September 2019 to January2022. The results show that the system can achieve an average area under receiver operating characteristiccurve of 0.7881 in the six indicators.• Following the exploratory analysis, feature importance analysis, and risk factor analysis, the key findingsare as follows:– If the pandemic situation mitigates, half-day school closures would be a better choice than full-dayschool closures. Compared with full-day school closures, half-day school closures have significantly less</t>
  </si>
  <si>
    <t>2023_Mar_019.pdf</t>
  </si>
  <si>
    <t xml:space="preserve">Hsin-Yu Lai, Charles G. Sodini, Vivienne Sze, and Thomas Heldt. 2023. Individualized Tracking of Neurocognitive-State-Dependent Eye-Movement Features Using Mobile Devices. Proc. ACM Interact. Mob. Wearable Ubiquitous Technol. 7, 1, Article 19 (March 2023), 23 pages. https://doi.org/10.1145/3580843</t>
  </si>
  <si>
    <t>Tablet</t>
  </si>
  <si>
    <t xml:space="preserve">custom IOS App for Data Acquisition</t>
  </si>
  <si>
    <t xml:space="preserve">a) We observe that there is significant inter-subject variability in the day-to-dayvariations in these eye-movement features. b) When considering the median pro/anti-saccade latency and errorrate per day, we observe that some participants present significant linear correlations across these eye-movementfeatures that may be related to their task-performing strategies. c) We show that when we have more than 25 a) We observe that there is significant inter-subject variability in the day-to-dayvariations in these eye-movement features. b) When considering the median pro/anti-saccade latency and errorrate per day, we observe that some participants present significant linear correlations across these eye-movementfeatures that may be related to their task-performing strategies. c) We show that when we have more than 25</t>
  </si>
  <si>
    <t>2023_Mar_020.pdf</t>
  </si>
  <si>
    <t xml:space="preserve">Youpeng Li, Xuyu Wang, and Lingling An. 2023. Hierarchical Clustering-based Personalized Federated Learning for Robust and Fair Human Activity Recognition. Proc. ACM Interact. Mob. Wearable Ubiquitous Technol. 7, 1, Article 20 (March 2023), 38 pages. https://doi.org/10.1145/3580795</t>
  </si>
  <si>
    <t>github.com/youpengl/FedCHAR</t>
  </si>
  <si>
    <t xml:space="preserve">NVIDIA 3080 Ti GPU or similar, Intel(R) Xeon(R) CPU E5-2680 v4 or similar,</t>
  </si>
  <si>
    <t xml:space="preserve">Python, TensorFlow,t-SNE,Numpy,</t>
  </si>
  <si>
    <t xml:space="preserve">The Repo's Readme includes a general description of what the developed framework "FedCHAR" is.</t>
  </si>
  <si>
    <t xml:space="preserve">• To the best of our knowledge, this is the first work that considers improving the accuracy, fairness, androbustness of the FL model simultaneously for the HAR problem. Also, our code is publicly available atgithub.com/youpengl/FedCHAR.• We propose a personalized FL framework (i.e., FedCHAR) with a hierarchical clustering for robust andfair HAR, which not only improves the accuracy and the fairness of model performance by exploitingintrinsically similar relationships among users but also improves the robustness of the system by identifyingmalicious nodes through clustering in attack scenarios.• We also design a scalable and adaptive FL framework (i.e., FedCHAR-DC) for large-scale users’ training.Compared with previous works based on clustered FL for HAR, which assume that all users are participatingin the clustering stage, FedCHAR-DC is featured by dynamic clustering and adapting to the addition ofnew users or the evolution of datasets for realistic FL-based HAR scenarios.• We implement various comparative experiments to evaluate the performance of FedCHAR on seven datasetsof different sizes. Compared with the other five state-of-the-art baselines in both benign and attack scenarios,FedCHAR shows superior performance in terms of accuracy, robustness, and fairness on seven datasetswith different modalities. We further validate that FedCHAR-DC exhibits satisfactory scalability on threelarge-scale datasets regardless of the number of participants.</t>
  </si>
  <si>
    <t>2023_Mar_021.pdf</t>
  </si>
  <si>
    <t xml:space="preserve">Shinan Liu, Tarun Mangla, Ted Shaowang, Jinjin Zhao, John Paparrizos, Sanjay Krishnan, and Nick Feamster. 2023. AMIR: Active Multimodal Interaction Recognition from Video and Network Traffic in Connected Environments. Proc. ACM Interact. Mob. Wearable Ubiquitous Technol. 7, 1, Article 21 (March 2023), 26 pages. https://doi.org/10.1145/3580818</t>
  </si>
  <si>
    <t>https://amir-vidnet.github.io.</t>
  </si>
  <si>
    <t xml:space="preserve">follow the referenced link and search for the 'models' section to see the source code.</t>
  </si>
  <si>
    <t xml:space="preserve">single-board-computer such as NVIDIA Jetson Nano for automating video data collection and to capture;process network traffic,WiFi router,Camera,a variety of smart devices,workstation capable of training neural networks</t>
  </si>
  <si>
    <t xml:space="preserve">customized library NetML</t>
  </si>
  <si>
    <t xml:space="preserve">This paper advocates for the synthesis of video and network data for improved accurate in-home activityrecognition. Our evaluation shows that using both network and video data results in higher accuracy comparedto using video and network data alone. Furthermore, our active learning approach significantly reduces thepaired network and video observations needed for training the meta-learner. Our results indicate that there is ahuge potential in synthesizing complementary data sources to improve elder care, safety, and automation forconnected homes. In our future work, we plan to augment additional data modalities (e.g., audio, motion sensors,wireless signals.) with network and video data. AMIR can also be extended to other connected environments likesmart buildings and smart factories, exploring meta-learning approaches in addition to stacking (e.g., hierarchicalmulti-modal classification). Finally, we plan to explore privacy and security aspects of our techniques, identifyingand mitigating adversarial threats and privacy violations.</t>
  </si>
  <si>
    <t>2023_Mar_022.pdf</t>
  </si>
  <si>
    <t xml:space="preserve">Jiaju Ma, Jing Qian, Tongyu Zhou, and Jeff Huang. 2023. FocalPoint: Adaptive Direct Manipulation for Selecting Small 3D Virtual Objects. Proc. ACM Interact. Mob. Wearable Ubiquitous Technol. 7, 1, Article 22 (March 2023), 26 pages. https://doi.org/10.1145/3580856</t>
  </si>
  <si>
    <t>https://github.com/brownhci/FocalPoint/</t>
  </si>
  <si>
    <t xml:space="preserve">Smartphone,Leap Motion Controller for tracking hand gestures,</t>
  </si>
  <si>
    <t xml:space="preserve">Unity Engine,Unity Hub,open source Portal-ble Framework,</t>
  </si>
  <si>
    <t xml:space="preserve">The Instructions include how to install the portal-ble framework together with Unity, how to clone the Repo, and directories where the example scenes are saved.</t>
  </si>
  <si>
    <t xml:space="preserve">FocalPoint focuses on changing the way selection works on small, sub-finger 3D virtual targets within reachin densely-packed piles. Its design is informed by observing user behavior in existing smartphone AR with ageneric implementation in a preliminary study. Using the behavioral pattern of focal regions, the FocalPointtechnique personalizes selection geometry based on users’ selection history. It improves users’ performance andexperience in terms of accuracy, time, satisfaction, and qualitative outcomes for tasks such as selecting targetsfrom a pile and placing decor on a model house. Our work provides a novel and effective interaction techniquefor smartphone-based free-hand direct manipulation. We apply FocalPoint to 3 applications demonstrating arange of targeting scenarios, which were not possible before with existing systems. By expanding the resolutionat which users can interact with objects precisely, the most popular AR applications today can become moreimmersive. Augmented reality is an infinite world, but the most exciting use cases can be small.</t>
  </si>
  <si>
    <t>2023_Mar_023.pdf</t>
  </si>
  <si>
    <t xml:space="preserve">Elizabeth L. Murnane, Yekaterina S. Glazko, Jean Costa, Raymond Yao, Grace Zhao, Paula M. L. Moya, and James A. Landay. 2023. Narrative-Based Visual Feedback to Encourage Sustained Physical Activity: A Field Trial of the WhoIsZuki Mobile Health Platform. Proc. ACM Interact. Mob. Wearable Ubiquitous Technol. 7, 1, Article 23 (March 2023), 36 pages. https://doi.org/10.1145/3580786</t>
  </si>
  <si>
    <t xml:space="preserve">Google Fit Activity Recognition API</t>
  </si>
  <si>
    <t xml:space="preserve">• Quantitative results that indicate narrative-based behavioral feedback can increase a user’s weekly durationof physical activity, enhance achievement of activity-related goals, help sustain these behaviors over time,promote progress through psychological stages of behavior change, and boost interaction and engagementwith the digital intervention.• Qualitative findings that allow us to interpret these observed quantitative trends and also provide deeperunderstanding regarding participants’ attitudes around exercise, perceived barriers to physical activity, anduser experiences with the narrative interface.• Reflections and ideas around future research opportunities that merit continued exploration in the designspace of narrative-based informatics and intervention technologies.</t>
  </si>
  <si>
    <t>2023_Mar_024.pdf</t>
  </si>
  <si>
    <t xml:space="preserve">Yugo Nakamura, Rei Nakaoka, Yuki Matsuda, and Keiichi Yasumoto. 2023. Eat2pic: An Eating-Painting Interactive System to Nudge Users into Making Healthier Diet Choices. Proc. ACM Interact. Mob. Wearable Ubiquitous Technol. 7, 1, Article 24 (March 2023), 23 pages. https://doi.org/10.1145/3580784</t>
  </si>
  <si>
    <t xml:space="preserve">custom chopsticks equipped with IMU's and a camera for data acquisition,Workstation for processing and analyzing the collected data; capable of training a neural network.</t>
  </si>
  <si>
    <t xml:space="preserve">custom Diet Tracking Pipeline,Python,Implementation of a convolutional neural network based on the VGG16-Architecture</t>
  </si>
  <si>
    <t xml:space="preserve">• We designed an interactive system called eat2pic to encourage users to eat well-balanced diets more slowly.• We implemented the eat2pic system to track how users consumed each mouthful and provide aestheticvisual feedback through digital canvases according to users’ eating behaviors.• The results of this work provide insights for the design of dietary support systems that can be smoothlyintegrated into people’s living spaces and provide feedback on daily health.</t>
  </si>
  <si>
    <t>2023_Mar_025.pdf</t>
  </si>
  <si>
    <t xml:space="preserve">Jung Wook Park, Sienna Xin Sun, Tingyu Cheng, Dong Whi Yoo, Jiawei Zhou, Youngwook Do, Gregory D. Abowd, and Rosa I. Arriaga. 2023. Exergy: A Toolkit to Simplify Creative Applications of Wind Energy Harvesting. Proc. ACM Interact. Mob. Wearable Ubiquitous Technol. 7, 1, Article 25 (March 2023), 28 pages. https://doi.org/10.1145/3580814</t>
  </si>
  <si>
    <t xml:space="preserve">A custom Power Management Board, custom NACA6341-based Propeller,ESP32-CAM,</t>
  </si>
  <si>
    <t xml:space="preserve">Autodesk CFD 2019,Exergy iOS Application</t>
  </si>
  <si>
    <t xml:space="preserve">This work contributes to our understanding of how experienced makers and researchers characterize the chal-lenges they have faced when using established and novel energy harvesting technologies. The problems identifiedin this work could be the ones that novices will face while applying energy harvesting technology. Thus, wesummarized what tool support is needed to address these problems. We chose wind energy as a case study andimplemented an energy harvesting toolkit called Exergy that consists of a simulator, hardware tools, a softwareexample, and ideation cards. We confirmed that Exergy significantly improved users’ confidence while easing This work contributes to our understanding of how experienced makers and researchers characterize the chal-lenges they have faced when using established and novel energy harvesting technologies. The problems identifiedin this work could be the ones that novices will face while applying energy harvesting technology. Thus, wesummarized what tool support is needed to address these problems. We chose wind energy as a case study andimplemented an energy harvesting toolkit called Exergy that consists of a simulator, hardware tools, a softwareexample, and ideation cards. We confirmed that Exergy significantly improved users’ confidence while easing</t>
  </si>
  <si>
    <t>2023_Mar_026.pdf</t>
  </si>
  <si>
    <t xml:space="preserve">Wasifur Rahman, Masum Hasan, Md Saiful Islam, Titilayo Olubajo, Jeet Thaker, Abdel-Rahman Abdelkader, Phillip Yang, Henry Paulson, Gulin Oz, Alexandra Durr, Thomas Klockgether, Tetsuo Ashizawa, Readisca Investigators, and Ehsan Hoque. 2023. Auto-Gait: Automatic Ataxia Risk Assessment with Computer Vision from Gait Task Videos. Proc. ACM Interact. Mob. Wearable Ubiquitous Technol. 7, 1, Article 26 (March 2023), 19 pages. https://doi.org/10.1145/3580845</t>
  </si>
  <si>
    <t>https://github.com/Masum06/Automated-Ataxia-Gait</t>
  </si>
  <si>
    <r>
      <rPr/>
      <t xml:space="preserve">The Website redirects to </t>
    </r>
    <r>
      <rPr>
        <u val="single"/>
        <color rgb="FF1155CC"/>
      </rPr>
      <t>https://github.com/ROC-HCI/Automated-Ataxia-Gait</t>
    </r>
  </si>
  <si>
    <t xml:space="preserve">To avoid potential malicious use of our dataset (e.g. surveillance/stalking of people with Ataxia), we will providethe anonymized dataset consisting of extracted pose features and SARA score on a case-by-case request basisupon request. Each request will be evaluated by IRB for approval. This anonymized dataset will contain 17 keydata points per image from each video (180 images per video). Furthermore, Willing collaborators can be addedto the protocol with full data access based on approval from the IRB.</t>
  </si>
  <si>
    <t xml:space="preserve">Camera,Workstation capable of running or training ML models.</t>
  </si>
  <si>
    <t xml:space="preserve">FasterRCNN framework, TensorFlow,Mediapipe Face Mesh framework,Python,Implementation of a Random Forest model</t>
  </si>
  <si>
    <t xml:space="preserve">The Instructions include a general description of the underlying study and framework.</t>
  </si>
  <si>
    <t xml:space="preserve">(1) We collected a large high-quality annotated dataset of patients with Ataxia and a control group. Thedataset contains 155 annotated videos from 89 participants that span several years representing differentgeographic locations and demographics (Table 2). Upon acceptance, we will publicly release an anonymizedversion of our dataset containing body pose coordinates to improve the existing benchmark for Ataxia (1) We collected a large high-quality annotated dataset of patients with Ataxia and a control group. Thedataset contains 155 annotated videos from 89 participants that span several years representing differentgeographic locations and demographics (Table 2). Upon acceptance, we will publicly release an anonymizedversion of our dataset containing body pose coordinates to improve the existing benchmark for Ataxia</t>
  </si>
  <si>
    <t>2023_Mar_027.pdf</t>
  </si>
  <si>
    <t xml:space="preserve">Yanke Sun, Dwaynica A. Greaves, Guido Orgs, Antonia F. de C. Hamilton, Sally Day, and Jamie A. Ward. 2023. Using Wearable Sensors to Measure Interpersonal Synchrony in Actors and Audience Members During a Live Theatre Performance. Proc. ACM Interact. Mob. Wearable Ubiquitous Technol. 7, 1, Article 27 (March 2023), 29 pages. https://doi.org/10.1145/3580781</t>
  </si>
  <si>
    <t>https://osf.io/vr9mn/</t>
  </si>
  <si>
    <t xml:space="preserve">The Link leads to the osf Website, but the Dataset cant be found there.</t>
  </si>
  <si>
    <t xml:space="preserve">Mbientlab inc. MetaMotionR sensors,Raspberry Pis,fNIRS System</t>
  </si>
  <si>
    <t>MATLAB</t>
  </si>
  <si>
    <t xml:space="preserve">In this paper, we provide an interdisciplinary method of how to investigate group face-to-face interactions in alive theatrical setting. Wearable technology that measures acceleration, the audio-visual and self-report measures,provided researchers insight into the types of synchrony present during actor-actor, actor-audience and audience-audience interactions. Cross Wavelet Transform (XWT) and Wavelet Coherence Transform (WCT) analysisenabled moments of synchrony at different frequencies to be analysed, revealing the implicit interactions differentmembers of the theatrical experience have with each other. Survey data provided insight into audiences explicitexperiences of watching an interdisciplinary performance. Our study demonstrates how theatrical organisationscan utilise multi-medium measurements to gain insight into the implicit and explicit connection between theiraudiences and the work they create.</t>
  </si>
  <si>
    <t>2023_Mar_028.pdf</t>
  </si>
  <si>
    <t xml:space="preserve">Nađa Terzimehić, Sarah Aragon-Hahner, and Heinrich Hussmann. 2023. The Tale of a Complicated Relationship: Insights from Users' Love/Breakup Letters to Their Smartphones before and during the COVID-19 Pandemic. Proc. ACM Interact. Mob. Wearable Ubiquitous Technol. 7, 1, Article 28 (March 2023), 34 pages. https://doi.org/10.1145/3580792</t>
  </si>
  <si>
    <t xml:space="preserve">We investigated how different smartphone features and aspects influence users both internally by means ofemotions and externally by means of real-world consequences. We gathered 82 love/breakup letters (42 before and40 during the COVID-19 pandemic) to users’ smartphones and performed an extensive, explorative qualitativeanalysis of 819 statements extracted from the letters. The overall tone of the letters showed a tendency towardspositive emotions, with a slight shift towards negative emotions during the COVID-19 pandemic. By connectingusers’ emotions with the identified smartphone features and real-life consequences, we found eight patterns of use– represented by smartphone roles – describing the user-smartphone relationship: the roles assistant, companion,and entertainer incorporate patterns of use yielding positive emotions, whereas the roles hinderer, nuisance,obsession and villain are associated with negative emotions. The role object is connected to either positive ornegative emotions. Most letters comprised a mix of positive and negative smartphone roles, often includingcost-benefit considerations about smartphone features and related user behavior. The “tale of complicated user-smartphone relationship” concludes that the control over responsible smartphone use should not only be in thehand of users, but part of a particularly conscious design process. We suggest a “healthy diet” of smartphone use,with researchers and designers being the “nutritionists” for smartphone users.</t>
  </si>
  <si>
    <t>2023_Mar_029.pdf</t>
  </si>
  <si>
    <t xml:space="preserve">Helma Torkamaan. 2023. Mood Measurement on Smartphones: Which Measure, Which Design?. Proc. ACM Interact. Mob. Wearable Ubiquitous Technol. 7, 1, Article 29 (March 2023), 35 pages. https://doi.org/10.1145/3580864</t>
  </si>
  <si>
    <t xml:space="preserve">This paper concentrated on mood tracking using smartphones and presented a study in three parts where theeffects of mood measures (two chosen measures) and their design alternatives (classic, chatbot, and interactivedesigns) on (i) validity, (ii) user compliance, and (iii) user experience of a mood tracking app were investigated.The first part examined how classic mood measures and their design variations in the form of a chatbot and asan interactive design were compared with each other and how transferring and translating a mood measureimpacted its obtained values, which can result in inaccurate results. The second part, using a two-week-longESM study, explored the measures and their design alternatives in terms of user compliance defined by severalvariables. The final part investigated the user experience of those mood measures and design alternatives. As aresult, we established that selecting and transferring a measure into a smartphone application is a process thatrequires careful consideration of both the user experience and usability of an app and its quality of assessments.We demonstrated that while one classic measurement tool is resilient toward modifications, another is susceptibleto alterations. Therefore, a measure’s resilience is an important factor to consider before using it. We also foundthat user compliance over time differed depending on the type of mood measure or its design; however, nodesign alternative was consistently better than others when both measures were considered. Our results furthersuggested that interactive design is more likely to attract users for a resilient measure and bring higher usercompliance and user satisfaction. A measure, or its design, does not seem to significantly influence user perceptionof its user experience as long as the app is well-designed. In the end, choosing a measure or design is a trade-offbetween the measure accuracy, user compliance, and user satisfaction, which researchers have to prioritize.Ultimately, a successful mood measurement with smartphones has to consider both app quality and assessmentquality and balance these two main facets.</t>
  </si>
  <si>
    <t>2023_Mar_030.pdf</t>
  </si>
  <si>
    <t xml:space="preserve">Anandghan Waghmare, Farshid Salemi Parizi, Jason Hoffman, Yuntao Wang, Matthew Thompson, and Shwetak Patel. 2023. GlucoScreen: A Smartphone-based Readerless Glucose Test Strip for Prediabetes Screening. Proc. ACM Interact. Mob. Wearable Ubiquitous Technol. 7, 1, Article 30 (March 2023), 20 pages. https://doi.org/10.1145/3580855</t>
  </si>
  <si>
    <t xml:space="preserve">proprietary GlucoScreen Prototype,Commercial Glucose Test Strips,Smartphone,</t>
  </si>
  <si>
    <t xml:space="preserve">custom mobile application developed for telling the User how to apply GlucoScreen, Custom Data Collection Applications</t>
  </si>
  <si>
    <t xml:space="preserve">(1) We propose the design of a low-cost, low-power blood glucose test strip that enables diabetes prescreeningusing smartphones.(2) We propose a hardware approach for an amperometric readout of a glucose test assay and encoding andcommunicating the reading to a smartphone via only its capacitive touchscreen.(3) We present results from both benchtop and clinical experiments that evaluate our system. The benchtopstudy used multiple artificial glucose solutions, phones, and test strip brands to demonstrate that theproposed test strip works across phones and with various glucose concentrations. The clinical evaluationof 75 subjects demonstrates the accuracy of our approach with actual blood samples and compares ourresults to those achieved using current glucometers.</t>
  </si>
  <si>
    <t>2023_Mar_031.pdf</t>
  </si>
  <si>
    <t xml:space="preserve">Guanyun Wang, Yue Yang, Mengyan Guo, Kuangqi Zhu, Zihan Yan, Qiang Cui, Zihong Zhou, Junzhe Ji, Jiaji Li, Danli Luo, Deying Pan, Yitao Fan, Teng Han, Ye Tao, and Lingyun Sun. 2023. ThermoFit: Thermoforming Smart Orthoses via Metamaterial Structures for Body-Fitting and Component-Adjusting. Proc. ACM Interact. Mob. Wearable Ubiquitous Technol. 7, 1, Article 31 (March 2023), 27 pages. https://doi.org/10.1145/3580806</t>
  </si>
  <si>
    <t xml:space="preserve">Mechanical tests and expert-study data are collected for evaluation but not released as a dataset.</t>
  </si>
  <si>
    <t xml:space="preserve">Requires low-temperature thermoplastic sheets, embedded circuits and sensors, a CO2 laser cutter, a cutter plotter, and basic electronic prototyping tools.</t>
  </si>
  <si>
    <t xml:space="preserve">Implements the ThermoFit design tool in Python using Rhino and Grasshopper plugins for orthosis design.</t>
  </si>
  <si>
    <t xml:space="preserve">Provides a detailed fabrication workflow with key parameters for cutting, laminating, and thermoforming but no full CAD or tool scripts.</t>
  </si>
  <si>
    <t xml:space="preserve">Finally, a hands-on study with a clinician verifies the user-friendliness of thermoforming smart orthosis, and technical evaluations demonstrate fabrication efficiency and electronic continuity.</t>
  </si>
  <si>
    <t>2023_Mar_032.pdf</t>
  </si>
  <si>
    <t xml:space="preserve">Lei Wang, Meng Chen, Li Lu, Zhongjie Ba, Feng Lin, and Kui Ren. 2023. VoiceListener: A Training-free and Universal Eavesdropping Attack on Built-in Speakers of Mobile Devices. Proc. ACM Interact. Mob. Wearable Ubiquitous Technol. 7, 1, Article 32 (March 2023), 22 pages. https://doi.org/10.1145/3580789</t>
  </si>
  <si>
    <t xml:space="preserve">No source code or repository link is provided in the paper.</t>
  </si>
  <si>
    <t xml:space="preserve">Uses public AudioMNIST and TIMIT voice datasets, but the collected sensor-measurement dataset is not released, due to the privacy concern.</t>
  </si>
  <si>
    <t xml:space="preserve">Uses smartphones, an external magnetometer, and a laptop processing back-end for evaluation.</t>
  </si>
  <si>
    <t xml:space="preserve">Uses an Android sensor-logging app (phyphox) plus standard signal processing and ML methods.</t>
  </si>
  <si>
    <t xml:space="preserve">No actionable install, run instructions or scripts are provided in the paper.</t>
  </si>
  <si>
    <t xml:space="preserve">Extensive experiments demonstrate that our proposed VoiceListener could accurately recover the voices from undersampled sensor measurements and is robust to different voices, platforms and domains, realizing the universal eavesdropping attack.</t>
  </si>
  <si>
    <t>2023_Mar_033.pdf</t>
  </si>
  <si>
    <t xml:space="preserve">Lihao Wang, Wei Wang, Haipeng Dai, and Shizhe Liu. 2023. MagSound: Magnetic Field Assisted Wireless Earphone Tracking. Proc. ACM Interact. Mob. Wearable Ubiquitous Technol. 7, 1, Article 33 (March 2023), 32 pages. https://doi.org/10.1145/3580889</t>
  </si>
  <si>
    <t xml:space="preserve">No code repository or download link is provided in the paper.</t>
  </si>
  <si>
    <t xml:space="preserve">The results rely on experimental data collected with the authors MagSound prototype, but no dataset download link is provided.</t>
  </si>
  <si>
    <t xml:space="preserve">Requires COTS wireless earphones (e.g., Samsung Galaxy Buds Pro, Apple AirPods Pro) and a smart device setup for acoustic and magnetic sensing experiments.</t>
  </si>
  <si>
    <t xml:space="preserve">Implements a MagSound prototype using standard platforms/APIs (e.g., Android sensor access for microphone and magnetometer readings).</t>
  </si>
  <si>
    <t xml:space="preserve">We believe that MagSound can contribute to practical applications of wireless earphones-based sensing.</t>
  </si>
  <si>
    <t>2023_Mar_034.pdf</t>
  </si>
  <si>
    <t xml:space="preserve">Shuai Wang, Dongjiang Cao, Ruofeng Liu, Wenchao Jiang, Tianshun Yao, and Chris Xiaoxuan Lu. 2023. Human Parsing with Joint Learning for Dynamic mmWave Radar Point Cloud. Proc. ACM Interact. Mob. Wearable Ubiquitous Technol. 7, 1, Article 34 (March 2023), 22 pages. https://doi.org/10.1145/3580779</t>
  </si>
  <si>
    <t xml:space="preserve">No source code or repository link is provided for mmParse.</t>
  </si>
  <si>
    <t xml:space="preserve">Uses 9 hours of mmWave radar data collected from 32 volunteers with Kinect-derived labels, but no dataset download link is provided.</t>
  </si>
  <si>
    <t xml:space="preserve">Requires a mmWave radar for point-cloud capture, an Azure Kinect RGB-D camera for ground-truth generation during training, and an NVIDIA RTX 3090 GPU for model training.</t>
  </si>
  <si>
    <t xml:space="preserve">Uses the Azure Kinect Body Tracking SDK and TI mmWave FMCW processing chain in addition to Python and PyTorch.</t>
  </si>
  <si>
    <t xml:space="preserve">The paper reports device configurations and training hyperparameters but does not provide install, run instructions or scripts.</t>
  </si>
  <si>
    <t xml:space="preserve">We also show that the predicted semantic labels can increase the performance of two downstream tasks (pose estimation and action recognition) by ∼ 18% and ∼ 6% respectively.</t>
  </si>
  <si>
    <t>2023_Mar_035.pdf</t>
  </si>
  <si>
    <t xml:space="preserve">Xuan Wang, Tong Liu, Chao Feng, Dingyi Fang, and Xiaojiang Chen. 2023. RF-CM: Cross-Modal Framework for RF-enabled Few-Shot Human Activity Recognition. Proc. ACM Interact. Mob. Wearable Ubiquitous Technol. 7, 1, Article 35 (March 2023), 28 pages. https://doi.org/10.1145/3580859</t>
  </si>
  <si>
    <t xml:space="preserve">No code release/link is provided in the paper.</t>
  </si>
  <si>
    <t xml:space="preserve">Uses public WiFi datasets but also collects new mmWave radar data for evaluation without providing a download link.</t>
  </si>
  <si>
    <t xml:space="preserve">Uses a mmWave radar sensor for data collection; training runs on a server with a GeForce RTX 2080 Ti GPU.</t>
  </si>
  <si>
    <t xml:space="preserve">Implements data processing and training in Python (Keras/Python 3.7).</t>
  </si>
  <si>
    <t xml:space="preserve">The accuracy improvement of over 10% in both applications demonstrates the effectiveness of RF-CM. This cross-modal ability allows RF-CM to support more cross-modal applications.</t>
  </si>
  <si>
    <t>2023_Mar_036.pdf</t>
  </si>
  <si>
    <t xml:space="preserve">Yanfei Wang, Zhiwen Yu, Sicong Liu, Zimu Zhou, and Bin Guo. 2023. Genie in the Model: Automatic Generation of Human-in-the-Loop Deep Neural Networks for Mobile Applications. Proc. ACM Interact. Mob. Wearable Ubiquitous Technol. 7, 1, Article 36 (March 2023), 29 pages. https://doi.org/10.1145/3580815</t>
  </si>
  <si>
    <t xml:space="preserve">No code or repository link is provided in the paper.</t>
  </si>
  <si>
    <t xml:space="preserve">Uses public datasets for evaluation but also relies on crowdsourced human annotations/human knowledge base not provided for download.</t>
  </si>
  <si>
    <t xml:space="preserve">Uses mobile devices for on-device inference, a server with an NVIDIA GTX 3090Ti GPU for training, and a Raspberry Pi with a micro camera in the system setup.</t>
  </si>
  <si>
    <t xml:space="preserve">Uses Amazon MTurk for crowdsourcing plus TensorFlow/Keras, TensorFlow Lite, and Android/Java components (Sockets, NoSQL).</t>
  </si>
  <si>
    <t xml:space="preserve">No actionable installation or run commands are provided in the paper.</t>
  </si>
  <si>
    <t xml:space="preserve">Extensive experiments on twelve categories of challenging samples with three common DNN structures demonstrate the superiority of H-Gen in terms of the overall trade-off between performance (accuracy, latency), and resource (storage, energy, human labour).</t>
  </si>
  <si>
    <t>2023_Mar_037.pdf</t>
  </si>
  <si>
    <t xml:space="preserve">Yanxiang Wang, Jiawei Hu, Hong Jia, Wen Hu, Mahbub Hassan, Ashraf Uddin, Brano Kusy, and Moustafa Youssef. 2023. Spectral-Loc: Indoor Localization Using Light Spectral Information. Proc. ACM Interact. Mob. Wearable Ubiquitous Technol. 7, 1, Article 37 (March 2023), 26 pages. https://doi.org/10.1145/3580878</t>
  </si>
  <si>
    <t xml:space="preserve">Uses spectral fingerprint measurements collected in a meeting room and an office space, but no dataset download link is provided.</t>
  </si>
  <si>
    <t xml:space="preserve">Requires AS7265x spectral sensors plus an Arduino Uno and Raspberry Pi-based collection setup for body-worn spectral measurements.</t>
  </si>
  <si>
    <t xml:space="preserve">Implements the localization neural network in PyTorch and uses standard analysis methods such as t-SNE.</t>
  </si>
  <si>
    <t xml:space="preserve">Provides model architecture and hyperparameters but no step-by-step installation or run instructions.</t>
  </si>
  <si>
    <t xml:space="preserve">Our evaluations over two different indoor spaces, a meeting room, and a large office space, demonstrate that the use of light spectral information significantly reduces the localization error for the different percentiles.</t>
  </si>
  <si>
    <t>2023_Mar_038.pdf</t>
  </si>
  <si>
    <t xml:space="preserve">Xin Yi, Chen Liang, Haozhan Chen, Jiuxu Song, Chun Yu, Hewu Li, and Yuanchun Shi. 2023. From 2D to 3D: Facilitating Single-Finger Mid-Air Typing on QWERTY Keyboards with Probabilistic Touch Modeling. Proc. ACM Interact. Mob. Wearable Ubiquitous Technol. 7, 1, Article 38 (March 2023), 25 pages. https://doi.org/10.1145/3580829</t>
  </si>
  <si>
    <t xml:space="preserve">Uses typing data collected in Study 1 (and Study 2) to train/evaluate the models, but no dataset download link is provided.</t>
  </si>
  <si>
    <t xml:space="preserve">Uses an Oculus Quest 2 head-mounted display with built-in hand tracking for the mid-air typing studies.</t>
  </si>
  <si>
    <t xml:space="preserve">Uses the Oculus/Meta hand-tracking SDK for Unity (Quest 2) for the VR typing system.</t>
  </si>
  <si>
    <t xml:space="preserve">No repository or runnable installation, run instructions are provided.</t>
  </si>
  <si>
    <t xml:space="preserve">Also, the proposed technique received the highest preference score from the users, proving its usability in real text entry tasks.</t>
  </si>
  <si>
    <t>2023_Mar_039.pdf</t>
  </si>
  <si>
    <t xml:space="preserve">Shang Zeng, Haoran Wan, Shuyu Shi, and Wei Wang. 2023. MSilent: Towards General Corpus Silent Speech Recognition Using COTS mmWave Radar. Proc. ACM Interact. Mob. Wearable Ubiquitous Technol. 7, 1, Article 39 (March 2023), 28 pages. https://doi.org/10.1145/3580838</t>
  </si>
  <si>
    <t xml:space="preserve">The paper describes collecting a bimodal mmWave+video silent-speech dataset, but provides no dataset download link.</t>
  </si>
  <si>
    <t xml:space="preserve">Uses a TI IWR1843 77GHz mmWave radar with a DCA1000EVM acquisition board and a web camera for data collection; training/evaluation used RTX 3070 GPUs.</t>
  </si>
  <si>
    <t xml:space="preserve">Implements the signal-processing pipeline and DNN using PyTorch, SciPy, PyTorch Lightning, and scikit-learn; inference uses TorchScript.</t>
  </si>
  <si>
    <t xml:space="preserve">No repository or runnable installation/run instructions are provided.</t>
  </si>
  <si>
    <t xml:space="preserve">We also explore deploying mSilent in two typical scenarios of text entry and in-car assistant, and the less than 6% average WER demonstrates the potential of mSilent in general daily applications.</t>
  </si>
  <si>
    <t>2023_Mar_040.pdf</t>
  </si>
  <si>
    <t xml:space="preserve">Duo Zhang, Xusheng Zhang, Shengjie Li, Yaxiong Xie, Yang Li, Xuanzhi Wang, and Daqing Zhang. 2023. LT-Fall: The Design and Implementation of a Life-threatening Fall Detection and Alarming System. Proc. ACM Interact. Mob. Wearable Ubiquitous Technol. 7, 1, Article 40 (March 2023), 24 pages. https://doi.org/10.1145/3580835</t>
  </si>
  <si>
    <t xml:space="preserve">No source code or repository link is provided (only a demo video link is mentioned).</t>
  </si>
  <si>
    <t xml:space="preserve">Evaluation uses data collected from volunteers in multiple environments, but no dataset release is provided.</t>
  </si>
  <si>
    <t xml:space="preserve">Requires a COTS mmWave radar and a laptop for IF-signal processing.</t>
  </si>
  <si>
    <t xml:space="preserve">Describes a model-based signal-processing pipeline without requiring proprietary software.</t>
  </si>
  <si>
    <t xml:space="preserve">No actionable installation/run instructions or scripts are provided (no linked code repository).</t>
  </si>
  <si>
    <t xml:space="preserve">Extensive evaluation on 15 volunteers demonstrates that compared to the state-of-the-art work (92% precision and 94% recall), LT-Fall achieves zero false alarms as well as a precision of 100% and a recall of 98.8%.</t>
  </si>
  <si>
    <t>2023_Mar_041.pdf</t>
  </si>
  <si>
    <t xml:space="preserve">Bo Zhou, Daniel Geissler, Marc Faulhaber, Clara Elisabeth Gleiss, Esther Friederike Zahn, Lala Shakti Swarup Ray, David Gamarra, Vitor Fortes Rey, Sungho Suh, Sizhen Bian, Gesche Joost, and Paul Lukowicz. 2023. MoCaPose: Motion Capturing with Textile-integrated Capacitive Sensors in Loose-fitting Smart Garments. Proc. ACM Interact. Mob. Wearable Ubiquitous Technol. 7, 1, Article 41 (March 2023), 40 pages. https://doi.org/10.1145/3580883</t>
  </si>
  <si>
    <t xml:space="preserve">Algorithm Development;Dataset Paper;Hardware Development;User Study</t>
  </si>
  <si>
    <t xml:space="preserve">The paper states it opens access to the code (open-source pipeline) but provides no repository URL.</t>
  </si>
  <si>
    <t xml:space="preserve">The paper states it opens access to the dataset but provides no download URL.</t>
  </si>
  <si>
    <t xml:space="preserve">Requires a textile-integrated capacitive-sensing jacket with custom data acquisition units and a smartphone camera for video-based ground truth.</t>
  </si>
  <si>
    <t xml:space="preserve">Uses proprietary software including Matlab, Fusion 360 (for design), and DaVinci Resolve 18 (for video analysis). Open-source frameworks and libraries used include Tensorflow, VideoPose3D, Detectron2, scikit-learn, and KiCAD.</t>
  </si>
  <si>
    <t xml:space="preserve">No repository URL or actionable install/run commands are provided.</t>
  </si>
  <si>
    <t xml:space="preserve">Overall, MoCaPose demonstrates that textile-based capacitive sensing with its unique advantages, can be a promising alternative for wearable motion tracking and other relevant wearable motion recognition applications.</t>
  </si>
  <si>
    <t>2023_Mar_042.pdf</t>
  </si>
  <si>
    <t xml:space="preserve">Zihong Zhou, Pei Chen, Yinyu Lu, Qiang Cui, Deying Pan, Yilun Liu, Jiaji Li, Yang Zhang, Ye Tao, Xuanhui Liu, Lingyun Sun, and Guanyun Wang. 2023. 3D Deformation Capture via a Configurable Self-Sensing IMU Sensor Network. Proc. ACM Interact. Mob. Wearable Ubiquitous Technol. 7, 1, Article 42 (March 2023), 24 pages. https://doi.org/10.1145/3580874</t>
  </si>
  <si>
    <t>https://github.com/ZJUZZH/Deformation-Capture-By-IMU-Sensor-Network</t>
  </si>
  <si>
    <t xml:space="preserve">The paper states it releases the project design files at the linked GitHub repository.</t>
  </si>
  <si>
    <t xml:space="preserve">The paper does not provide a downloadable experimental dataset for reproducing the reported results.</t>
  </si>
  <si>
    <t xml:space="preserve">Requires building/using the configurable IMU sensor network to capture deformations.</t>
  </si>
  <si>
    <t xml:space="preserve">Project implementation is provided via code/design files (e.g., Arduino firmware, Python programs, and a Unity component in the linked repository).</t>
  </si>
  <si>
    <t xml:space="preserve">No actionable end-to-end installation/run instructions are provided in the paper or the linked repository page.</t>
  </si>
  <si>
    <t xml:space="preserve">We introduce origami-inspired thinking to achieve the customization process, which constructs 3D sensor networks through a 3D–2D–3D digital–physical transition. The experimental results demonstrate that our method achieves comparable performance with state-of-the-art methods.</t>
  </si>
  <si>
    <t>2023_Mar_043.pdf</t>
  </si>
  <si>
    <t xml:space="preserve">Qingsong Zou, Qing Li, Ruoyu Li, Yucheng Huang, Gareth Tyson, Jingyu Xiao, and Yong Jiang. 2023. IoTBeholder: A Privacy Snooping Attack on User Habitual Behaviors from Smart Home Wi-Fi Traffic. Proc. ACM Interact. Mob. Wearable Ubiquitous Technol. 7, 1, Article 43 (March 2023), 26 pages. https://doi.org/10.1145/3580890</t>
  </si>
  <si>
    <t xml:space="preserve">No code repository URL is provided in the paper.</t>
  </si>
  <si>
    <t xml:space="preserve">The paper describes collected Wi-Fi packet datasets but provides no download link or release statement.</t>
  </si>
  <si>
    <t xml:space="preserve">Requires COTS hardware for Wi-Fi sniffing (e.g., laptop/MacBook) and a smart-home IoT device testbed for evaluation.</t>
  </si>
  <si>
    <t xml:space="preserve">Uses standard ML methods.</t>
  </si>
  <si>
    <t xml:space="preserve">It can even accurately predict the users’ future actions, highlighting a significant threat to user privacy that IoT vendors and users should highly concern.</t>
  </si>
  <si>
    <t>2023_Mar_044.pdf</t>
  </si>
  <si>
    <t xml:space="preserve">Minh Duc Vu, Han Wang, Zhuang Li, Gholamreza Haffari, Zhenchang Xing, and Chunyang Chen. 2023. Voicify Your UI: Towards Android App Control with Voice Commands. Proc. ACM Interact. Mob. Wearable Ubiquitous Technol. 7, 1, Article 44 (March 2023), 22 pages. https://doi.org/10.1145/3581998</t>
  </si>
  <si>
    <t>https://github.com/vuminhduc796/Voicify</t>
  </si>
  <si>
    <t xml:space="preserve">Voicify is open-sourced and links a GitHub repository.</t>
  </si>
  <si>
    <t xml:space="preserve">Uses public AndroidHowTo and Rico datasets with additional manual annotations; however, only the app/feature list is explicitly released on GitHub, not the annotated datasets themselves.</t>
  </si>
  <si>
    <t xml:space="preserve">Requires an Android smartphone for running/evaluating Voicify (user study used a Google Pixel 5 running Android 11).</t>
  </si>
  <si>
    <t xml:space="preserve">Uses Android Studio/Java, Flask/Python scripts, Android Accessibility API, Google speech recognizer and Google Text-to-Speech, and QuillBot (commercial paraphrasing service) for data synthesis.</t>
  </si>
  <si>
    <t xml:space="preserve">The paper links a GitHub repository but does not provide actionable installation/run instructions in the text.</t>
  </si>
  <si>
    <t xml:space="preserve">The experimental result showed that Voicify is well-integrated and easy to use, which helped users achieve better performance on given tasks.</t>
  </si>
  <si>
    <t>2023_Mar_045.pdf</t>
  </si>
  <si>
    <t xml:space="preserve">Ali Zaidi, Rui Yang, Vinay Koshy, Camille Cobb, Indranil Gupta, and Karrie Karahalios. 2023. A User-Centric Evaluation of Smart Home Resolution Approaches for Conflicts Between Routines. Proc. ACM Interact. Mob. Wearable Ubiquitous Technol. 7, 1, Article 45 (March 2023), 35 pages. https://doi.org/10.1145/3581997</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</si>
</sst>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dd.MM.yyyy"/>
  </numFmts>
  <fonts count="11">
    <font>
      <sz val="10.000000"/>
      <color indexed="64"/>
      <name val="Arial"/>
      <scheme val="minor"/>
    </font>
    <font>
      <sz val="10.000000"/>
      <color theme="1"/>
      <name val="Arial"/>
      <scheme val="minor"/>
    </font>
    <font>
      <color theme="1"/>
      <name val="Arial"/>
      <scheme val="minor"/>
    </font>
    <font>
      <u/>
      <color theme="1"/>
      <name val="Arial"/>
      <scheme val="minor"/>
    </font>
    <font>
      <u/>
      <color indexed="4"/>
      <name val="Roboto"/>
    </font>
    <font>
      <u/>
      <color rgb="FF434343"/>
      <name val="Roboto"/>
    </font>
    <font>
      <u/>
      <sz val="11.000000"/>
      <color indexed="4"/>
      <name val="Roboto"/>
    </font>
    <font>
      <sz val="11.000000"/>
      <color theme="1"/>
      <name val="Arial"/>
      <scheme val="minor"/>
    </font>
    <font>
      <u/>
      <sz val="10.000000"/>
      <color indexed="4"/>
      <name val="Roboto"/>
    </font>
    <font>
      <u/>
      <sz val="10.000000"/>
      <color theme="1"/>
      <name val="Arial"/>
      <scheme val="minor"/>
    </font>
    <font>
      <u/>
      <color rgb="FF434343"/>
      <name val="Arial"/>
      <scheme val="minor"/>
    </font>
  </fonts>
  <fills count="8">
    <fill>
      <patternFill patternType="none"/>
    </fill>
    <fill>
      <patternFill patternType="gray125"/>
    </fill>
    <fill>
      <patternFill patternType="solid">
        <fgColor rgb="FF274E13"/>
        <bgColor rgb="FF274E13"/>
      </patternFill>
    </fill>
    <fill>
      <patternFill patternType="solid">
        <fgColor rgb="FF7F6000"/>
        <bgColor rgb="FF7F6000"/>
      </patternFill>
    </fill>
    <fill>
      <patternFill patternType="solid">
        <fgColor rgb="FFF6F8F9"/>
        <bgColor rgb="FFF6F8F9"/>
      </patternFill>
    </fill>
    <fill>
      <patternFill patternType="solid">
        <fgColor rgb="FFFCE5CD"/>
        <bgColor rgb="FFFCE5CD"/>
      </patternFill>
    </fill>
    <fill>
      <patternFill patternType="solid">
        <fgColor indexed="65"/>
        <bgColor indexed="65"/>
      </patternFill>
    </fill>
    <fill>
      <patternFill patternType="solid">
        <fgColor rgb="FFFFF2CC"/>
        <bgColor rgb="FFFFF2CC"/>
      </patternFill>
    </fill>
  </fills>
  <borders count="3">
    <border>
      <left style="none"/>
      <right style="none"/>
      <top style="none"/>
      <bottom style="none"/>
      <diagonal style="none"/>
    </border>
    <border>
      <left style="none"/>
      <right style="none"/>
      <top style="none"/>
      <bottom style="thick">
        <color indexed="64"/>
      </bottom>
      <diagonal style="none"/>
    </border>
    <border>
      <left style="none"/>
      <right style="none"/>
      <top style="thick">
        <color indexed="64"/>
      </top>
      <bottom style="none"/>
      <diagonal style="none"/>
    </border>
  </borders>
  <cellStyleXfs count="1">
    <xf fontId="0" fillId="0" borderId="0" numFmtId="0" applyNumberFormat="1" applyFont="1" applyFill="1" applyBorder="1"/>
  </cellStyleXfs>
  <cellXfs count="53">
    <xf fontId="0" fillId="0" borderId="0" numFmtId="0" xfId="0" applyAlignment="1">
      <alignment readingOrder="0"/>
    </xf>
    <xf fontId="1" fillId="0" borderId="0" numFmtId="0" xfId="0" applyFont="1" applyAlignment="1">
      <alignment horizontal="left" readingOrder="0" vertical="center" wrapText="1"/>
    </xf>
    <xf fontId="2" fillId="0" borderId="0" numFmtId="0" xfId="0" applyFont="1" applyAlignment="1">
      <alignment horizontal="left" readingOrder="0" vertical="center" wrapText="1"/>
    </xf>
    <xf fontId="2" fillId="0" borderId="0" numFmtId="0" xfId="0" applyFont="1" applyAlignment="1">
      <alignment horizontal="left" readingOrder="0" vertical="center"/>
    </xf>
    <xf fontId="2" fillId="2" borderId="0" numFmtId="0" xfId="0" applyFont="1" applyFill="1" applyAlignment="1">
      <alignment horizontal="left" readingOrder="0" vertical="center" wrapText="1"/>
    </xf>
    <xf fontId="2" fillId="3" borderId="0" numFmtId="0" xfId="0" applyFont="1" applyFill="1" applyAlignment="1">
      <alignment horizontal="left" readingOrder="0" vertical="center" wrapText="1"/>
    </xf>
    <xf fontId="2" fillId="0" borderId="0" numFmtId="49" xfId="0" applyNumberFormat="1" applyFont="1" applyAlignment="1">
      <alignment readingOrder="0" vertical="center"/>
    </xf>
    <xf fontId="2" fillId="0" borderId="0" numFmtId="0" xfId="0" applyFont="1" applyAlignment="1">
      <alignment readingOrder="0" vertical="center"/>
    </xf>
    <xf fontId="3" fillId="0" borderId="0" numFmtId="49" xfId="0" applyNumberFormat="1" applyFont="1" applyAlignment="1">
      <alignment readingOrder="0" vertical="center"/>
    </xf>
    <xf fontId="2" fillId="0" borderId="0" numFmtId="164" xfId="0" applyNumberFormat="1" applyFont="1" applyAlignment="1">
      <alignment readingOrder="0" vertical="center"/>
    </xf>
    <xf fontId="4" fillId="0" borderId="0" numFmtId="49" xfId="0" applyNumberFormat="1" applyFont="1" applyAlignment="1">
      <alignment readingOrder="0" vertical="center"/>
    </xf>
    <xf fontId="1" fillId="0" borderId="0" numFmtId="49" xfId="0" applyNumberFormat="1" applyFont="1" applyAlignment="1">
      <alignment readingOrder="0" vertical="center"/>
    </xf>
    <xf fontId="5" fillId="0" borderId="0" numFmtId="49" xfId="0" applyNumberFormat="1" applyFont="1" applyAlignment="1">
      <alignment readingOrder="0" vertical="center"/>
    </xf>
    <xf fontId="2" fillId="0" borderId="0" numFmtId="49" xfId="0" applyNumberFormat="1" applyFont="1" applyAlignment="1">
      <alignment vertical="center"/>
    </xf>
    <xf fontId="1" fillId="0" borderId="1" numFmtId="49" xfId="0" applyNumberFormat="1" applyFont="1" applyBorder="1" applyAlignment="1">
      <alignment readingOrder="0" vertical="center"/>
    </xf>
    <xf fontId="2" fillId="0" borderId="1" numFmtId="0" xfId="0" applyFont="1" applyBorder="1" applyAlignment="1">
      <alignment readingOrder="0" vertical="center"/>
    </xf>
    <xf fontId="3" fillId="0" borderId="1" numFmtId="49" xfId="0" applyNumberFormat="1" applyFont="1" applyBorder="1" applyAlignment="1">
      <alignment readingOrder="0" vertical="center"/>
    </xf>
    <xf fontId="2" fillId="0" borderId="1" numFmtId="49" xfId="0" applyNumberFormat="1" applyFont="1" applyBorder="1" applyAlignment="1">
      <alignment readingOrder="0" vertical="center"/>
    </xf>
    <xf fontId="2" fillId="0" borderId="1" numFmtId="164" xfId="0" applyNumberFormat="1" applyFont="1" applyBorder="1" applyAlignment="1">
      <alignment readingOrder="0" vertical="center"/>
    </xf>
    <xf fontId="5" fillId="0" borderId="1" numFmtId="49" xfId="0" applyNumberFormat="1" applyFont="1" applyBorder="1" applyAlignment="1">
      <alignment readingOrder="0" vertical="center"/>
    </xf>
    <xf fontId="2" fillId="0" borderId="1" numFmtId="49" xfId="0" applyNumberFormat="1" applyFont="1" applyBorder="1" applyAlignment="1">
      <alignment vertical="center"/>
    </xf>
    <xf fontId="6" fillId="0" borderId="0" numFmtId="49" xfId="0" applyNumberFormat="1" applyFont="1" applyAlignment="1">
      <alignment readingOrder="0" vertical="center"/>
    </xf>
    <xf fontId="4" fillId="0" borderId="1" numFmtId="49" xfId="0" applyNumberFormat="1" applyFont="1" applyBorder="1" applyAlignment="1">
      <alignment readingOrder="0" vertical="center"/>
    </xf>
    <xf fontId="7" fillId="0" borderId="0" numFmtId="49" xfId="0" applyNumberFormat="1" applyFont="1" applyAlignment="1">
      <alignment readingOrder="0" vertical="center"/>
    </xf>
    <xf fontId="2" fillId="0" borderId="0" numFmtId="0" xfId="0" applyFont="1" applyAlignment="1">
      <alignment vertical="center"/>
    </xf>
    <xf fontId="2" fillId="0" borderId="1" numFmtId="0" xfId="0" applyFont="1" applyBorder="1" applyAlignment="1">
      <alignment vertical="center"/>
    </xf>
    <xf fontId="2" fillId="4" borderId="0" numFmtId="49" xfId="0" applyNumberFormat="1" applyFont="1" applyFill="1" applyAlignment="1">
      <alignment readingOrder="0" vertical="center"/>
    </xf>
    <xf fontId="3" fillId="0" borderId="2" numFmtId="49" xfId="0" applyNumberFormat="1" applyFont="1" applyBorder="1" applyAlignment="1">
      <alignment readingOrder="0" vertical="center"/>
    </xf>
    <xf fontId="2" fillId="0" borderId="2" numFmtId="164" xfId="0" applyNumberFormat="1" applyFont="1" applyBorder="1" applyAlignment="1">
      <alignment readingOrder="0" vertical="center"/>
    </xf>
    <xf fontId="2" fillId="0" borderId="2" numFmtId="0" xfId="0" applyFont="1" applyBorder="1" applyAlignment="1">
      <alignment readingOrder="0" vertical="center"/>
    </xf>
    <xf fontId="2" fillId="0" borderId="2" numFmtId="49" xfId="0" applyNumberFormat="1" applyFont="1" applyBorder="1" applyAlignment="1">
      <alignment vertical="center"/>
    </xf>
    <xf fontId="4" fillId="0" borderId="2" numFmtId="49" xfId="0" applyNumberFormat="1" applyFont="1" applyBorder="1" applyAlignment="1">
      <alignment readingOrder="0" vertical="center"/>
    </xf>
    <xf fontId="2" fillId="0" borderId="2" numFmtId="49" xfId="0" applyNumberFormat="1" applyFont="1" applyBorder="1" applyAlignment="1">
      <alignment readingOrder="0" vertical="center"/>
    </xf>
    <xf fontId="2" fillId="0" borderId="2" numFmtId="0" xfId="0" applyFont="1" applyBorder="1" applyAlignment="1">
      <alignment vertical="center"/>
    </xf>
    <xf fontId="5" fillId="0" borderId="2" numFmtId="49" xfId="0" applyNumberFormat="1" applyFont="1" applyBorder="1" applyAlignment="1">
      <alignment readingOrder="0" vertical="center"/>
    </xf>
    <xf fontId="7" fillId="0" borderId="0" numFmtId="0" xfId="0" applyFont="1" applyAlignment="1">
      <alignment readingOrder="0" vertical="center"/>
    </xf>
    <xf fontId="3" fillId="4" borderId="0" numFmtId="49" xfId="0" applyNumberFormat="1" applyFont="1" applyFill="1" applyAlignment="1">
      <alignment readingOrder="0" vertical="center"/>
    </xf>
    <xf fontId="2" fillId="4" borderId="0" numFmtId="164" xfId="0" applyNumberFormat="1" applyFont="1" applyFill="1" applyAlignment="1">
      <alignment readingOrder="0" vertical="center"/>
    </xf>
    <xf fontId="2" fillId="4" borderId="0" numFmtId="0" xfId="0" applyFont="1" applyFill="1" applyAlignment="1">
      <alignment readingOrder="0" vertical="center"/>
    </xf>
    <xf fontId="2" fillId="4" borderId="0" numFmtId="49" xfId="0" applyNumberFormat="1" applyFont="1" applyFill="1" applyAlignment="1">
      <alignment vertical="center"/>
    </xf>
    <xf fontId="4" fillId="4" borderId="0" numFmtId="49" xfId="0" applyNumberFormat="1" applyFont="1" applyFill="1" applyAlignment="1">
      <alignment readingOrder="0" vertical="center"/>
    </xf>
    <xf fontId="2" fillId="4" borderId="0" numFmtId="0" xfId="0" applyFont="1" applyFill="1" applyAlignment="1">
      <alignment vertical="center"/>
    </xf>
    <xf fontId="7" fillId="4" borderId="0" numFmtId="0" xfId="0" applyFont="1" applyFill="1" applyAlignment="1">
      <alignment readingOrder="0" vertical="center"/>
    </xf>
    <xf fontId="8" fillId="4" borderId="0" numFmtId="49" xfId="0" applyNumberFormat="1" applyFont="1" applyFill="1" applyAlignment="1">
      <alignment readingOrder="0" vertical="center"/>
    </xf>
    <xf fontId="1" fillId="0" borderId="0" numFmtId="164" xfId="0" applyNumberFormat="1" applyFont="1" applyAlignment="1">
      <alignment readingOrder="0" vertical="center"/>
    </xf>
    <xf fontId="2" fillId="0" borderId="0" numFmtId="49" xfId="0" applyNumberFormat="1" applyFont="1" applyAlignment="1" quotePrefix="1">
      <alignment readingOrder="0" vertical="center"/>
    </xf>
    <xf fontId="9" fillId="0" borderId="0" numFmtId="49" xfId="0" applyNumberFormat="1" applyFont="1" applyAlignment="1">
      <alignment readingOrder="0" vertical="center"/>
    </xf>
    <xf fontId="3" fillId="5" borderId="0" numFmtId="49" xfId="0" applyNumberFormat="1" applyFont="1" applyFill="1" applyAlignment="1">
      <alignment readingOrder="0" vertical="center"/>
    </xf>
    <xf fontId="10" fillId="0" borderId="0" numFmtId="49" xfId="0" applyNumberFormat="1" applyFont="1" applyAlignment="1">
      <alignment readingOrder="0" vertical="center"/>
    </xf>
    <xf fontId="2" fillId="6" borderId="0" numFmtId="49" xfId="0" applyNumberFormat="1" applyFont="1" applyFill="1" applyAlignment="1">
      <alignment readingOrder="0" vertical="center"/>
    </xf>
    <xf fontId="1" fillId="6" borderId="0" numFmtId="49" xfId="0" applyNumberFormat="1" applyFont="1" applyFill="1" applyAlignment="1">
      <alignment readingOrder="0" vertical="center"/>
    </xf>
    <xf fontId="2" fillId="7" borderId="0" numFmtId="0" xfId="0" applyFont="1" applyFill="1" applyAlignment="1">
      <alignment readingOrder="0" vertical="center"/>
    </xf>
    <xf fontId="3" fillId="0" borderId="0" numFmtId="0" xfId="0" applyFont="1" applyAlignment="1">
      <alignment readingOrder="0" vertical="center"/>
    </xf>
  </cellXfs>
  <cellStyles count="1">
    <cellStyle name="Normal" xfId="0" builtinId="0"/>
  </cellStyles>
  <dxfs count="64">
    <dxf>
      <font/>
      <fill>
        <patternFill patternType="solid">
          <fgColor indexed="65"/>
          <bgColor indexed="65"/>
        </patternFill>
      </fill>
      <border>
        <left/>
        <right/>
        <top/>
        <bottom/>
        <diagonal/>
      </border>
    </dxf>
    <dxf>
      <font/>
      <fill>
        <patternFill patternType="solid">
          <fgColor rgb="FF5B3F86"/>
          <bgColor rgb="FF5B3F86"/>
        </patternFill>
      </fill>
      <border>
        <left/>
        <right/>
        <top/>
        <bottom/>
        <diagonal/>
      </border>
    </dxf>
    <dxf>
      <font/>
      <fill>
        <patternFill patternType="solid">
          <fgColor rgb="FFF6F8F9"/>
          <bgColor rgb="FFF6F8F9"/>
        </patternFill>
      </fill>
      <border>
        <left/>
        <right/>
        <top/>
        <bottom/>
        <diagonal/>
      </border>
    </dxf>
    <dxf>
      <border>
        <left style="thin">
          <color rgb="FF5B3F86"/>
        </left>
        <right style="thin">
          <color rgb="FF5B3F86"/>
        </right>
        <top style="thin">
          <color rgb="FF5B3F86"/>
        </top>
        <bottom style="thin">
          <color rgb="FF5B3F86"/>
        </bottom>
        <diagonal/>
        <vertical style="thin">
          <color rgb="FFD4D4D4"/>
        </vertical>
        <horizontal style="thin">
          <color rgb="FFD4D4D4"/>
        </horizontal>
      </border>
    </dxf>
    <dxf>
      <font/>
      <fill>
        <patternFill patternType="solid">
          <fgColor indexed="65"/>
          <bgColor indexed="65"/>
        </patternFill>
      </fill>
      <border>
        <left/>
        <right/>
        <top/>
        <bottom/>
        <diagonal/>
      </border>
    </dxf>
    <dxf>
      <font/>
      <fill>
        <patternFill patternType="solid">
          <fgColor rgb="FF5B3F86"/>
          <bgColor rgb="FF5B3F86"/>
        </patternFill>
      </fill>
      <border>
        <left/>
        <right/>
        <top/>
        <bottom/>
        <diagonal/>
      </border>
    </dxf>
    <dxf>
      <font/>
      <fill>
        <patternFill patternType="solid">
          <fgColor rgb="FFF6F8F9"/>
          <bgColor rgb="FFF6F8F9"/>
        </patternFill>
      </fill>
      <border>
        <left/>
        <right/>
        <top/>
        <bottom/>
        <diagonal/>
      </border>
    </dxf>
    <dxf>
      <border>
        <left style="thin">
          <color rgb="FF5B3F86"/>
        </left>
        <right style="thin">
          <color rgb="FF5B3F86"/>
        </right>
        <top style="thin">
          <color rgb="FF5B3F86"/>
        </top>
        <bottom style="thin">
          <color rgb="FF5B3F86"/>
        </bottom>
        <diagonal/>
        <vertical style="thin">
          <color rgb="FFD4D4D4"/>
        </vertical>
        <horizontal style="thin">
          <color rgb="FFD4D4D4"/>
        </horizontal>
      </border>
    </dxf>
    <dxf>
      <font/>
      <fill>
        <patternFill patternType="solid">
          <fgColor indexed="65"/>
          <bgColor indexed="65"/>
        </patternFill>
      </fill>
      <border>
        <left/>
        <right/>
        <top/>
        <bottom/>
        <diagonal/>
      </border>
    </dxf>
    <dxf>
      <font/>
      <fill>
        <patternFill patternType="solid">
          <fgColor rgb="FF5B3F86"/>
          <bgColor rgb="FF5B3F86"/>
        </patternFill>
      </fill>
      <border>
        <left/>
        <right/>
        <top/>
        <bottom/>
        <diagonal/>
      </border>
    </dxf>
    <dxf>
      <font/>
      <fill>
        <patternFill patternType="solid">
          <fgColor rgb="FFF6F8F9"/>
          <bgColor rgb="FFF6F8F9"/>
        </patternFill>
      </fill>
      <border>
        <left/>
        <right/>
        <top/>
        <bottom/>
        <diagonal/>
      </border>
    </dxf>
    <dxf>
      <border>
        <left style="thin">
          <color rgb="FF5B3F86"/>
        </left>
        <right style="thin">
          <color rgb="FF5B3F86"/>
        </right>
        <top style="thin">
          <color rgb="FF5B3F86"/>
        </top>
        <bottom style="thin">
          <color rgb="FF5B3F86"/>
        </bottom>
        <diagonal/>
        <vertical style="thin">
          <color rgb="FFD4D4D4"/>
        </vertical>
        <horizontal style="thin">
          <color rgb="FFD4D4D4"/>
        </horizontal>
      </border>
    </dxf>
    <dxf>
      <font/>
      <fill>
        <patternFill patternType="solid">
          <fgColor indexed="65"/>
          <bgColor indexed="65"/>
        </patternFill>
      </fill>
      <border>
        <left/>
        <right/>
        <top/>
        <bottom/>
        <diagonal/>
      </border>
    </dxf>
    <dxf>
      <font/>
      <fill>
        <patternFill patternType="solid">
          <fgColor rgb="FF5B3F86"/>
          <bgColor rgb="FF5B3F86"/>
        </patternFill>
      </fill>
      <border>
        <left/>
        <right/>
        <top/>
        <bottom/>
        <diagonal/>
      </border>
    </dxf>
    <dxf>
      <font/>
      <fill>
        <patternFill patternType="solid">
          <fgColor rgb="FFF6F8F9"/>
          <bgColor rgb="FFF6F8F9"/>
        </patternFill>
      </fill>
      <border>
        <left/>
        <right/>
        <top/>
        <bottom/>
        <diagonal/>
      </border>
    </dxf>
    <dxf>
      <border>
        <left style="thin">
          <color rgb="FF5B3F86"/>
        </left>
        <right style="thin">
          <color rgb="FF5B3F86"/>
        </right>
        <top style="thin">
          <color rgb="FF5B3F86"/>
        </top>
        <bottom style="thin">
          <color rgb="FF5B3F86"/>
        </bottom>
        <diagonal/>
        <vertical style="thin">
          <color rgb="FFD4D4D4"/>
        </vertical>
        <horizontal style="thin">
          <color rgb="FFD4D4D4"/>
        </horizontal>
      </border>
    </dxf>
    <dxf>
      <font/>
      <fill>
        <patternFill patternType="solid">
          <fgColor indexed="65"/>
          <bgColor indexed="65"/>
        </patternFill>
      </fill>
      <border>
        <left/>
        <right/>
        <top/>
        <bottom/>
        <diagonal/>
      </border>
    </dxf>
    <dxf>
      <font/>
      <fill>
        <patternFill patternType="solid">
          <fgColor rgb="FF5B3F86"/>
          <bgColor rgb="FF5B3F86"/>
        </patternFill>
      </fill>
      <border>
        <left/>
        <right/>
        <top/>
        <bottom/>
        <diagonal/>
      </border>
    </dxf>
    <dxf>
      <font/>
      <fill>
        <patternFill patternType="solid">
          <fgColor rgb="FFF6F8F9"/>
          <bgColor rgb="FFF6F8F9"/>
        </patternFill>
      </fill>
      <border>
        <left/>
        <right/>
        <top/>
        <bottom/>
        <diagonal/>
      </border>
    </dxf>
    <dxf>
      <border>
        <left style="thin">
          <color rgb="FF5B3F86"/>
        </left>
        <right style="thin">
          <color rgb="FF5B3F86"/>
        </right>
        <top style="thin">
          <color rgb="FF5B3F86"/>
        </top>
        <bottom style="thin">
          <color rgb="FF5B3F86"/>
        </bottom>
        <diagonal/>
        <vertical style="thin">
          <color rgb="FFD4D4D4"/>
        </vertical>
        <horizontal style="thin">
          <color rgb="FFD4D4D4"/>
        </horizontal>
      </border>
    </dxf>
    <dxf>
      <font/>
      <fill>
        <patternFill patternType="solid">
          <fgColor indexed="65"/>
          <bgColor indexed="65"/>
        </patternFill>
      </fill>
      <border>
        <left/>
        <right/>
        <top/>
        <bottom/>
        <diagonal/>
      </border>
    </dxf>
    <dxf>
      <font/>
      <fill>
        <patternFill patternType="solid">
          <fgColor rgb="FF5B3F86"/>
          <bgColor rgb="FF5B3F86"/>
        </patternFill>
      </fill>
      <border>
        <left/>
        <right/>
        <top/>
        <bottom/>
        <diagonal/>
      </border>
    </dxf>
    <dxf>
      <font/>
      <fill>
        <patternFill patternType="solid">
          <fgColor rgb="FFF6F8F9"/>
          <bgColor rgb="FFF6F8F9"/>
        </patternFill>
      </fill>
      <border>
        <left/>
        <right/>
        <top/>
        <bottom/>
        <diagonal/>
      </border>
    </dxf>
    <dxf>
      <border>
        <left style="thin">
          <color rgb="FF5B3F86"/>
        </left>
        <right style="thin">
          <color rgb="FF5B3F86"/>
        </right>
        <top style="thin">
          <color rgb="FF5B3F86"/>
        </top>
        <bottom style="thin">
          <color rgb="FF5B3F86"/>
        </bottom>
        <diagonal/>
        <vertical style="thin">
          <color rgb="FFD4D4D4"/>
        </vertical>
        <horizontal style="thin">
          <color rgb="FFD4D4D4"/>
        </horizontal>
      </border>
    </dxf>
    <dxf>
      <font/>
      <fill>
        <patternFill patternType="solid">
          <fgColor indexed="65"/>
          <bgColor indexed="65"/>
        </patternFill>
      </fill>
      <border>
        <left/>
        <right/>
        <top/>
        <bottom/>
        <diagonal/>
      </border>
    </dxf>
    <dxf>
      <font/>
      <fill>
        <patternFill patternType="solid">
          <fgColor rgb="FF5B3F86"/>
          <bgColor rgb="FF5B3F86"/>
        </patternFill>
      </fill>
      <border>
        <left/>
        <right/>
        <top/>
        <bottom/>
        <diagonal/>
      </border>
    </dxf>
    <dxf>
      <font/>
      <fill>
        <patternFill patternType="solid">
          <fgColor rgb="FFF6F8F9"/>
          <bgColor rgb="FFF6F8F9"/>
        </patternFill>
      </fill>
      <border>
        <left/>
        <right/>
        <top/>
        <bottom/>
        <diagonal/>
      </border>
    </dxf>
    <dxf>
      <border>
        <left style="thin">
          <color rgb="FF5B3F86"/>
        </left>
        <right style="thin">
          <color rgb="FF5B3F86"/>
        </right>
        <top style="thin">
          <color rgb="FF5B3F86"/>
        </top>
        <bottom style="thin">
          <color rgb="FF5B3F86"/>
        </bottom>
        <diagonal/>
        <vertical style="thin">
          <color rgb="FFD4D4D4"/>
        </vertical>
        <horizontal style="thin">
          <color rgb="FFD4D4D4"/>
        </horizontal>
      </border>
    </dxf>
    <dxf>
      <font/>
      <fill>
        <patternFill patternType="solid">
          <fgColor indexed="65"/>
          <bgColor indexed="65"/>
        </patternFill>
      </fill>
      <border>
        <left/>
        <right/>
        <top/>
        <bottom/>
        <diagonal/>
      </border>
    </dxf>
    <dxf>
      <font/>
      <fill>
        <patternFill patternType="solid">
          <fgColor rgb="FF5B3F86"/>
          <bgColor rgb="FF5B3F86"/>
        </patternFill>
      </fill>
      <border>
        <left/>
        <right/>
        <top/>
        <bottom/>
        <diagonal/>
      </border>
    </dxf>
    <dxf>
      <font/>
      <fill>
        <patternFill patternType="solid">
          <fgColor rgb="FFF6F8F9"/>
          <bgColor rgb="FFF6F8F9"/>
        </patternFill>
      </fill>
      <border>
        <left/>
        <right/>
        <top/>
        <bottom/>
        <diagonal/>
      </border>
    </dxf>
    <dxf>
      <border>
        <left style="thin">
          <color rgb="FF5B3F86"/>
        </left>
        <right style="thin">
          <color rgb="FF5B3F86"/>
        </right>
        <top style="thin">
          <color rgb="FF5B3F86"/>
        </top>
        <bottom style="thin">
          <color rgb="FF5B3F86"/>
        </bottom>
        <diagonal/>
        <vertical style="thin">
          <color rgb="FFD4D4D4"/>
        </vertical>
        <horizontal style="thin">
          <color rgb="FFD4D4D4"/>
        </horizontal>
      </border>
    </dxf>
    <dxf>
      <font/>
      <fill>
        <patternFill patternType="solid">
          <fgColor indexed="65"/>
          <bgColor indexed="65"/>
        </patternFill>
      </fill>
      <border>
        <left/>
        <right/>
        <top/>
        <bottom/>
        <diagonal/>
      </border>
    </dxf>
    <dxf>
      <font/>
      <fill>
        <patternFill patternType="solid">
          <fgColor rgb="FF5B3F86"/>
          <bgColor rgb="FF5B3F86"/>
        </patternFill>
      </fill>
      <border>
        <left/>
        <right/>
        <top/>
        <bottom/>
        <diagonal/>
      </border>
    </dxf>
    <dxf>
      <font/>
      <fill>
        <patternFill patternType="solid">
          <fgColor rgb="FFF6F8F9"/>
          <bgColor rgb="FFF6F8F9"/>
        </patternFill>
      </fill>
      <border>
        <left/>
        <right/>
        <top/>
        <bottom/>
        <diagonal/>
      </border>
    </dxf>
    <dxf>
      <border>
        <left style="thin">
          <color rgb="FF5B3F86"/>
        </left>
        <right style="thin">
          <color rgb="FF5B3F86"/>
        </right>
        <top style="thin">
          <color rgb="FF5B3F86"/>
        </top>
        <bottom style="thin">
          <color rgb="FF5B3F86"/>
        </bottom>
        <diagonal/>
        <vertical style="thin">
          <color rgb="FFD4D4D4"/>
        </vertical>
        <horizontal style="thin">
          <color rgb="FFD4D4D4"/>
        </horizontal>
      </border>
    </dxf>
    <dxf>
      <font/>
      <fill>
        <patternFill patternType="solid">
          <fgColor indexed="65"/>
          <bgColor indexed="65"/>
        </patternFill>
      </fill>
      <border>
        <left/>
        <right/>
        <top/>
        <bottom/>
        <diagonal/>
      </border>
    </dxf>
    <dxf>
      <font/>
      <fill>
        <patternFill patternType="solid">
          <fgColor rgb="FF5B3F86"/>
          <bgColor rgb="FF5B3F86"/>
        </patternFill>
      </fill>
      <border>
        <left/>
        <right/>
        <top/>
        <bottom/>
        <diagonal/>
      </border>
    </dxf>
    <dxf>
      <font/>
      <fill>
        <patternFill patternType="solid">
          <fgColor rgb="FFF6F8F9"/>
          <bgColor rgb="FFF6F8F9"/>
        </patternFill>
      </fill>
      <border>
        <left/>
        <right/>
        <top/>
        <bottom/>
        <diagonal/>
      </border>
    </dxf>
    <dxf>
      <border>
        <left style="thin">
          <color rgb="FF5B3F86"/>
        </left>
        <right style="thin">
          <color rgb="FF5B3F86"/>
        </right>
        <top style="thin">
          <color rgb="FF5B3F86"/>
        </top>
        <bottom style="thin">
          <color rgb="FF5B3F86"/>
        </bottom>
        <diagonal/>
        <vertical style="thin">
          <color rgb="FFD4D4D4"/>
        </vertical>
        <horizontal style="thin">
          <color rgb="FFD4D4D4"/>
        </horizontal>
      </border>
    </dxf>
    <dxf>
      <font/>
      <fill>
        <patternFill patternType="solid">
          <fgColor indexed="65"/>
          <bgColor indexed="65"/>
        </patternFill>
      </fill>
      <border>
        <left/>
        <right/>
        <top/>
        <bottom/>
        <diagonal/>
      </border>
    </dxf>
    <dxf>
      <font/>
      <fill>
        <patternFill patternType="solid">
          <fgColor rgb="FF5B3F86"/>
          <bgColor rgb="FF5B3F86"/>
        </patternFill>
      </fill>
      <border>
        <left/>
        <right/>
        <top/>
        <bottom/>
        <diagonal/>
      </border>
    </dxf>
    <dxf>
      <font/>
      <fill>
        <patternFill patternType="solid">
          <fgColor rgb="FFF6F8F9"/>
          <bgColor rgb="FFF6F8F9"/>
        </patternFill>
      </fill>
      <border>
        <left/>
        <right/>
        <top/>
        <bottom/>
        <diagonal/>
      </border>
    </dxf>
    <dxf>
      <border>
        <left style="thin">
          <color rgb="FF5B3F86"/>
        </left>
        <right style="thin">
          <color rgb="FF5B3F86"/>
        </right>
        <top style="thin">
          <color rgb="FF5B3F86"/>
        </top>
        <bottom style="thin">
          <color rgb="FF5B3F86"/>
        </bottom>
        <diagonal/>
        <vertical style="thin">
          <color rgb="FFD4D4D4"/>
        </vertical>
        <horizontal style="thin">
          <color rgb="FFD4D4D4"/>
        </horizontal>
      </border>
    </dxf>
    <dxf>
      <font/>
      <fill>
        <patternFill patternType="solid">
          <fgColor indexed="65"/>
          <bgColor indexed="65"/>
        </patternFill>
      </fill>
      <border>
        <left/>
        <right/>
        <top/>
        <bottom/>
        <diagonal/>
      </border>
    </dxf>
    <dxf>
      <font/>
      <fill>
        <patternFill patternType="solid">
          <fgColor rgb="FF5B3F86"/>
          <bgColor rgb="FF5B3F86"/>
        </patternFill>
      </fill>
      <border>
        <left/>
        <right/>
        <top/>
        <bottom/>
        <diagonal/>
      </border>
    </dxf>
    <dxf>
      <font/>
      <fill>
        <patternFill patternType="solid">
          <fgColor rgb="FFF6F8F9"/>
          <bgColor rgb="FFF6F8F9"/>
        </patternFill>
      </fill>
      <border>
        <left/>
        <right/>
        <top/>
        <bottom/>
        <diagonal/>
      </border>
    </dxf>
    <dxf>
      <border>
        <left style="thin">
          <color rgb="FF5B3F86"/>
        </left>
        <right style="thin">
          <color rgb="FF5B3F86"/>
        </right>
        <top style="thin">
          <color rgb="FF5B3F86"/>
        </top>
        <bottom style="thin">
          <color rgb="FF5B3F86"/>
        </bottom>
        <diagonal/>
        <vertical style="thin">
          <color rgb="FFD4D4D4"/>
        </vertical>
        <horizontal style="thin">
          <color rgb="FFD4D4D4"/>
        </horizontal>
      </border>
    </dxf>
    <dxf>
      <font/>
      <fill>
        <patternFill patternType="solid">
          <fgColor indexed="65"/>
          <bgColor indexed="65"/>
        </patternFill>
      </fill>
      <border>
        <left/>
        <right/>
        <top/>
        <bottom/>
        <diagonal/>
      </border>
    </dxf>
    <dxf>
      <font/>
      <fill>
        <patternFill patternType="solid">
          <fgColor rgb="FF5B3F86"/>
          <bgColor rgb="FF5B3F86"/>
        </patternFill>
      </fill>
      <border>
        <left/>
        <right/>
        <top/>
        <bottom/>
        <diagonal/>
      </border>
    </dxf>
    <dxf>
      <font/>
      <fill>
        <patternFill patternType="solid">
          <fgColor rgb="FFF6F8F9"/>
          <bgColor rgb="FFF6F8F9"/>
        </patternFill>
      </fill>
      <border>
        <left/>
        <right/>
        <top/>
        <bottom/>
        <diagonal/>
      </border>
    </dxf>
    <dxf>
      <border>
        <left style="thin">
          <color rgb="FF5B3F86"/>
        </left>
        <right style="thin">
          <color rgb="FF5B3F86"/>
        </right>
        <top style="thin">
          <color rgb="FF5B3F86"/>
        </top>
        <bottom style="thin">
          <color rgb="FF5B3F86"/>
        </bottom>
        <diagonal/>
        <vertical style="thin">
          <color rgb="FFD4D4D4"/>
        </vertical>
        <horizontal style="thin">
          <color rgb="FFD4D4D4"/>
        </horizontal>
      </border>
    </dxf>
    <dxf>
      <font/>
      <fill>
        <patternFill patternType="solid">
          <fgColor indexed="65"/>
          <bgColor indexed="65"/>
        </patternFill>
      </fill>
      <border>
        <left/>
        <right/>
        <top/>
        <bottom/>
        <diagonal/>
      </border>
    </dxf>
    <dxf>
      <font/>
      <fill>
        <patternFill patternType="solid">
          <fgColor rgb="FF5B3F86"/>
          <bgColor rgb="FF5B3F86"/>
        </patternFill>
      </fill>
      <border>
        <left/>
        <right/>
        <top/>
        <bottom/>
        <diagonal/>
      </border>
    </dxf>
    <dxf>
      <font/>
      <fill>
        <patternFill patternType="solid">
          <fgColor rgb="FFF6F8F9"/>
          <bgColor rgb="FFF6F8F9"/>
        </patternFill>
      </fill>
      <border>
        <left/>
        <right/>
        <top/>
        <bottom/>
        <diagonal/>
      </border>
    </dxf>
    <dxf>
      <border>
        <left style="thin">
          <color rgb="FF5B3F86"/>
        </left>
        <right style="thin">
          <color rgb="FF5B3F86"/>
        </right>
        <top style="thin">
          <color rgb="FF5B3F86"/>
        </top>
        <bottom style="thin">
          <color rgb="FF5B3F86"/>
        </bottom>
        <diagonal/>
        <vertical style="thin">
          <color rgb="FFD4D4D4"/>
        </vertical>
        <horizontal style="thin">
          <color rgb="FFD4D4D4"/>
        </horizontal>
      </border>
    </dxf>
    <dxf>
      <font/>
      <fill>
        <patternFill patternType="solid">
          <fgColor indexed="65"/>
          <bgColor indexed="65"/>
        </patternFill>
      </fill>
      <border>
        <left/>
        <right/>
        <top/>
        <bottom/>
        <diagonal/>
      </border>
    </dxf>
    <dxf>
      <font/>
      <fill>
        <patternFill patternType="solid">
          <fgColor rgb="FF5B3F86"/>
          <bgColor rgb="FF5B3F86"/>
        </patternFill>
      </fill>
      <border>
        <left/>
        <right/>
        <top/>
        <bottom/>
        <diagonal/>
      </border>
    </dxf>
    <dxf>
      <font/>
      <fill>
        <patternFill patternType="solid">
          <fgColor rgb="FFF6F8F9"/>
          <bgColor rgb="FFF6F8F9"/>
        </patternFill>
      </fill>
      <border>
        <left/>
        <right/>
        <top/>
        <bottom/>
        <diagonal/>
      </border>
    </dxf>
    <dxf>
      <border>
        <left style="thin">
          <color rgb="FF5B3F86"/>
        </left>
        <right style="thin">
          <color rgb="FF5B3F86"/>
        </right>
        <top style="thin">
          <color rgb="FF5B3F86"/>
        </top>
        <bottom style="thin">
          <color rgb="FF5B3F86"/>
        </bottom>
        <diagonal/>
        <vertical style="thin">
          <color rgb="FFD4D4D4"/>
        </vertical>
        <horizontal style="thin">
          <color rgb="FFD4D4D4"/>
        </horizontal>
      </border>
    </dxf>
    <dxf>
      <font/>
      <fill>
        <patternFill patternType="solid">
          <fgColor indexed="65"/>
          <bgColor indexed="65"/>
        </patternFill>
      </fill>
      <border>
        <left/>
        <right/>
        <top/>
        <bottom/>
        <diagonal/>
      </border>
    </dxf>
    <dxf>
      <font/>
      <fill>
        <patternFill patternType="solid">
          <fgColor rgb="FF5B3F86"/>
          <bgColor rgb="FF5B3F86"/>
        </patternFill>
      </fill>
      <border>
        <left/>
        <right/>
        <top/>
        <bottom/>
        <diagonal/>
      </border>
    </dxf>
    <dxf>
      <font/>
      <fill>
        <patternFill patternType="solid">
          <fgColor rgb="FFF6F8F9"/>
          <bgColor rgb="FFF6F8F9"/>
        </patternFill>
      </fill>
      <border>
        <left/>
        <right/>
        <top/>
        <bottom/>
        <diagonal/>
      </border>
    </dxf>
    <dxf>
      <border>
        <left style="thin">
          <color rgb="FF5B3F86"/>
        </left>
        <right style="thin">
          <color rgb="FF5B3F86"/>
        </right>
        <top style="thin">
          <color rgb="FF5B3F86"/>
        </top>
        <bottom style="thin">
          <color rgb="FF5B3F86"/>
        </bottom>
        <diagonal/>
        <vertical style="thin">
          <color rgb="FFD4D4D4"/>
        </vertical>
        <horizontal style="thin">
          <color rgb="FFD4D4D4"/>
        </horizontal>
      </border>
    </dxf>
  </dxfs>
  <tableStyles count="16" defaultTableStyle="TableStyleMedium2" defaultPivotStyle="PivotStyleLight16">
    <tableStyle name="2025_Sep-style" pivot="0" count="4">
      <tableStyleElement type="firstRowStripe" size="1" dxfId="0"/>
      <tableStyleElement type="headerRow" size="1" dxfId="1"/>
      <tableStyleElement type="secondRowStripe" size="1" dxfId="2"/>
      <tableStyleElement type="wholeTable" size="0" dxfId="3"/>
    </tableStyle>
    <tableStyle name="2025_Mar-style" pivot="0" count="4">
      <tableStyleElement type="firstRowStripe" size="1" dxfId="4"/>
      <tableStyleElement type="headerRow" size="1" dxfId="5"/>
      <tableStyleElement type="secondRowStripe" size="1" dxfId="6"/>
      <tableStyleElement type="wholeTable" size="0" dxfId="7"/>
    </tableStyle>
    <tableStyle name="2025_Dec-style" pivot="0" count="4">
      <tableStyleElement type="firstRowStripe" size="1" dxfId="8"/>
      <tableStyleElement type="headerRow" size="1" dxfId="9"/>
      <tableStyleElement type="secondRowStripe" size="1" dxfId="10"/>
      <tableStyleElement type="wholeTable" size="0" dxfId="11"/>
    </tableStyle>
    <tableStyle name="2025_Jun-style" pivot="0" count="4">
      <tableStyleElement type="firstRowStripe" size="1" dxfId="12"/>
      <tableStyleElement type="headerRow" size="1" dxfId="13"/>
      <tableStyleElement type="secondRowStripe" size="1" dxfId="14"/>
      <tableStyleElement type="wholeTable" size="0" dxfId="15"/>
    </tableStyle>
    <tableStyle name="2024_Dec-style" pivot="0" count="4">
      <tableStyleElement type="firstRowStripe" size="1" dxfId="16"/>
      <tableStyleElement type="headerRow" size="1" dxfId="17"/>
      <tableStyleElement type="secondRowStripe" size="1" dxfId="18"/>
      <tableStyleElement type="wholeTable" size="0" dxfId="19"/>
    </tableStyle>
    <tableStyle name="2024_Sep-style" pivot="0" count="4">
      <tableStyleElement type="firstRowStripe" size="1" dxfId="20"/>
      <tableStyleElement type="headerRow" size="1" dxfId="21"/>
      <tableStyleElement type="secondRowStripe" size="1" dxfId="22"/>
      <tableStyleElement type="wholeTable" size="0" dxfId="23"/>
    </tableStyle>
    <tableStyle name="2024_Jun-style" pivot="0" count="4">
      <tableStyleElement type="firstRowStripe" size="1" dxfId="24"/>
      <tableStyleElement type="headerRow" size="1" dxfId="25"/>
      <tableStyleElement type="secondRowStripe" size="1" dxfId="26"/>
      <tableStyleElement type="wholeTable" size="0" dxfId="27"/>
    </tableStyle>
    <tableStyle name="2024_Mar-style" pivot="0" count="4">
      <tableStyleElement type="firstRowStripe" size="1" dxfId="28"/>
      <tableStyleElement type="headerRow" size="1" dxfId="29"/>
      <tableStyleElement type="secondRowStripe" size="1" dxfId="30"/>
      <tableStyleElement type="wholeTable" size="0" dxfId="31"/>
    </tableStyle>
    <tableStyle name="2023_Dec-style" pivot="0" count="4">
      <tableStyleElement type="firstRowStripe" size="1" dxfId="32"/>
      <tableStyleElement type="headerRow" size="1" dxfId="33"/>
      <tableStyleElement type="secondRowStripe" size="1" dxfId="34"/>
      <tableStyleElement type="wholeTable" size="0" dxfId="35"/>
    </tableStyle>
    <tableStyle name="2023_Sep-style" pivot="0" count="4">
      <tableStyleElement type="firstRowStripe" size="1" dxfId="36"/>
      <tableStyleElement type="headerRow" size="1" dxfId="37"/>
      <tableStyleElement type="secondRowStripe" size="1" dxfId="38"/>
      <tableStyleElement type="wholeTable" size="0" dxfId="39"/>
    </tableStyle>
    <tableStyle name="2023_Jun-style" pivot="0" count="4">
      <tableStyleElement type="firstRowStripe" size="1" dxfId="40"/>
      <tableStyleElement type="headerRow" size="1" dxfId="41"/>
      <tableStyleElement type="secondRowStripe" size="1" dxfId="42"/>
      <tableStyleElement type="wholeTable" size="0" dxfId="43"/>
    </tableStyle>
    <tableStyle name="2023_Mar-style" pivot="0" count="4">
      <tableStyleElement type="firstRowStripe" size="1" dxfId="44"/>
      <tableStyleElement type="headerRow" size="1" dxfId="45"/>
      <tableStyleElement type="secondRowStripe" size="1" dxfId="46"/>
      <tableStyleElement type="wholeTable" size="0" dxfId="47"/>
    </tableStyle>
    <tableStyle name="Vorlage-style" pivot="0" count="4">
      <tableStyleElement type="firstRowStripe" size="1" dxfId="48"/>
      <tableStyleElement type="headerRow" size="1" dxfId="49"/>
      <tableStyleElement type="secondRowStripe" size="1" dxfId="50"/>
      <tableStyleElement type="wholeTable" size="0" dxfId="51"/>
    </tableStyle>
    <tableStyle name="A1-style" pivot="0" count="4">
      <tableStyleElement type="firstRowStripe" size="1" dxfId="52"/>
      <tableStyleElement type="headerRow" size="1" dxfId="53"/>
      <tableStyleElement type="secondRowStripe" size="1" dxfId="54"/>
      <tableStyleElement type="wholeTable" size="0" dxfId="55"/>
    </tableStyle>
    <tableStyle name="A2-style" pivot="0" count="4">
      <tableStyleElement type="firstRowStripe" size="1" dxfId="56"/>
      <tableStyleElement type="headerRow" size="1" dxfId="57"/>
      <tableStyleElement type="secondRowStripe" size="1" dxfId="58"/>
      <tableStyleElement type="wholeTable" size="0" dxfId="59"/>
    </tableStyle>
    <tableStyle name="A3-style" pivot="0" count="4">
      <tableStyleElement type="firstRowStripe" size="1" dxfId="60"/>
      <tableStyleElement type="headerRow" size="1" dxfId="61"/>
      <tableStyleElement type="secondRowStripe" size="1" dxfId="62"/>
      <tableStyleElement type="wholeTable" size="0" dxfId="63"/>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microsoft.com/office/2017/10/relationships/person" Target="persons/person.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theme" Target="theme/theme1.xml"/><Relationship  Id="rId15" Type="http://schemas.openxmlformats.org/officeDocument/2006/relationships/sharedStrings" Target="sharedStrings.xml"/><Relationship  Id="rId16"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s>
</file>

<file path=xl/persons/person.xml><?xml version="1.0" encoding="utf-8"?>
<personList xmlns="http://schemas.microsoft.com/office/spreadsheetml/2018/threadedcomments" xmlns:x="http://schemas.openxmlformats.org/spreadsheetml/2006/main">
  <person displayName="Robin Burchard" id="{3EF1E920-3902-0B7A-1CB8-5691CB03F384}"/>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IMWUT_Paper_2025_Sep_12" ref="A1:AC86">
  <tableColumns count="29">
    <tableColumn id="1" name="title"/>
    <tableColumn id="2" name="article_number"/>
    <tableColumn id="3" name="pdf_file"/>
    <tableColumn id="4" name="citation"/>
    <tableColumn id="5" name="date"/>
    <tableColumn id="6" name="year"/>
    <tableColumn id="7" name="issue"/>
    <tableColumn id="8" name="paper_id"/>
    <tableColumn id="9" name="doi_url"/>
    <tableColumn id="10" name="length_pages"/>
    <tableColumn id="11" name="paper_type"/>
    <tableColumn id="12" name="is_dataset_paper"/>
    <tableColumn id="13" name="open_access"/>
    <tableColumn id="14" name="code_required"/>
    <tableColumn id="15" name="code_available"/>
    <tableColumn id="16" name="code_url"/>
    <tableColumn id="17" name="code_notes"/>
    <tableColumn id="18" name="data_required"/>
    <tableColumn id="19" name="data_available"/>
    <tableColumn id="20" name="data_url"/>
    <tableColumn id="21" name="data_notes"/>
    <tableColumn id="22" name="hardware_required"/>
    <tableColumn id="23" name="hardware_notes"/>
    <tableColumn id="24" name="software_required"/>
    <tableColumn id="25" name="software_notes"/>
    <tableColumn id="26" name="instructions_present"/>
    <tableColumn id="27" name="instructions_notes"/>
    <tableColumn id="28" name="claims_notes"/>
    <tableColumn id="29" name="annotator"/>
  </tableColumns>
  <tableStyleInfo name="2025_Dec-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IMWUT_Paper_2025_Sep" ref="A1:AC91">
  <tableColumns count="29">
    <tableColumn id="1" name="title"/>
    <tableColumn id="2" name="article_number"/>
    <tableColumn id="3" name="pdf_file"/>
    <tableColumn id="4" name="citation"/>
    <tableColumn id="5" name="date"/>
    <tableColumn id="6" name="year"/>
    <tableColumn id="7" name="issue"/>
    <tableColumn id="8" name="paper_id"/>
    <tableColumn id="9" name="doi_url"/>
    <tableColumn id="10" name="length_pages"/>
    <tableColumn id="11" name="paper_type"/>
    <tableColumn id="12" name="is_dataset_paper"/>
    <tableColumn id="13" name="open_access"/>
    <tableColumn id="14" name="code_required"/>
    <tableColumn id="15" name="code_available"/>
    <tableColumn id="16" name="code_url"/>
    <tableColumn id="17" name="code_notes"/>
    <tableColumn id="18" name="data_required"/>
    <tableColumn id="19" name="data_available"/>
    <tableColumn id="20" name="data_url"/>
    <tableColumn id="21" name="data_notes"/>
    <tableColumn id="22" name="hardware_required"/>
    <tableColumn id="23" name="hardware_notes"/>
    <tableColumn id="24" name="software_required"/>
    <tableColumn id="25" name="software_notes"/>
    <tableColumn id="26" name="instructions_present"/>
    <tableColumn id="27" name="instructions_notes"/>
    <tableColumn id="28" name="claims_notes"/>
    <tableColumn id="29" name="annotator"/>
  </tableColumns>
  <tableStyleInfo name="2025_Sep-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IMWUT_Paper_2025_Sep_2" ref="A1:AC42">
  <tableColumns count="29">
    <tableColumn id="1" name="title"/>
    <tableColumn id="2" name="article_number"/>
    <tableColumn id="3" name="pdf_file"/>
    <tableColumn id="4" name="citation"/>
    <tableColumn id="5" name="date"/>
    <tableColumn id="6" name="year"/>
    <tableColumn id="7" name="issue"/>
    <tableColumn id="8" name="paper_id"/>
    <tableColumn id="9" name="doi_url"/>
    <tableColumn id="10" name="length_pages"/>
    <tableColumn id="11" name="paper_type"/>
    <tableColumn id="12" name="is_dataset_paper"/>
    <tableColumn id="13" name="open_access"/>
    <tableColumn id="14" name="code_required"/>
    <tableColumn id="15" name="code_available"/>
    <tableColumn id="16" name="code_url"/>
    <tableColumn id="17" name="code_notes"/>
    <tableColumn id="18" name="data_required"/>
    <tableColumn id="19" name="data_available"/>
    <tableColumn id="20" name="data_url"/>
    <tableColumn id="21" name="data_notes"/>
    <tableColumn id="22" name="hardware_required"/>
    <tableColumn id="23" name="hardware_notes"/>
    <tableColumn id="24" name="software_required"/>
    <tableColumn id="25" name="software_notes"/>
    <tableColumn id="26" name="instructions_present"/>
    <tableColumn id="27" name="instructions_notes"/>
    <tableColumn id="28" name="claims_notes"/>
    <tableColumn id="29" name="annotator"/>
  </tableColumns>
  <tableStyleInfo name="2025_Jun-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IMWUT_Paper_2025_Sep_6" ref="A1:AC27">
  <tableColumns count="29">
    <tableColumn id="1" name="title"/>
    <tableColumn id="2" name="article_number"/>
    <tableColumn id="3" name="pdf_file"/>
    <tableColumn id="4" name="citation"/>
    <tableColumn id="5" name="date"/>
    <tableColumn id="6" name="year"/>
    <tableColumn id="7" name="issue"/>
    <tableColumn id="8" name="paper_id"/>
    <tableColumn id="9" name="doi_url"/>
    <tableColumn id="10" name="length_pages"/>
    <tableColumn id="11" name="paper_type"/>
    <tableColumn id="12" name="is_dataset_paper"/>
    <tableColumn id="13" name="open_access"/>
    <tableColumn id="14" name="code_required"/>
    <tableColumn id="15" name="code_available"/>
    <tableColumn id="16" name="code_url"/>
    <tableColumn id="17" name="code_notes"/>
    <tableColumn id="18" name="data_required"/>
    <tableColumn id="19" name="data_available"/>
    <tableColumn id="20" name="data_url"/>
    <tableColumn id="21" name="data_notes"/>
    <tableColumn id="22" name="hardware_required"/>
    <tableColumn id="23" name="hardware_notes"/>
    <tableColumn id="24" name="software_required"/>
    <tableColumn id="25" name="software_notes"/>
    <tableColumn id="26" name="instructions_present"/>
    <tableColumn id="27" name="instructions_notes"/>
    <tableColumn id="28" name="claims_notes"/>
    <tableColumn id="29" name="annotator"/>
  </tableColumns>
  <tableStyleInfo name="2025_Mar-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displayName="IMWUT_Paper_2025_Sep_5" ref="A1:AC62">
  <tableColumns count="29">
    <tableColumn id="1" name="title"/>
    <tableColumn id="2" name="article_number"/>
    <tableColumn id="3" name="pdf_file"/>
    <tableColumn id="4" name="citation"/>
    <tableColumn id="5" name="date"/>
    <tableColumn id="6" name="year"/>
    <tableColumn id="7" name="issue"/>
    <tableColumn id="8" name="paper_id"/>
    <tableColumn id="9" name="doi_url"/>
    <tableColumn id="10" name="length_pages"/>
    <tableColumn id="11" name="paper_type"/>
    <tableColumn id="12" name="is_dataset_paper"/>
    <tableColumn id="13" name="open_access"/>
    <tableColumn id="14" name="code_required"/>
    <tableColumn id="15" name="code_available"/>
    <tableColumn id="16" name="code_url"/>
    <tableColumn id="17" name="code_notes"/>
    <tableColumn id="18" name="data_required"/>
    <tableColumn id="19" name="data_available"/>
    <tableColumn id="20" name="data_url"/>
    <tableColumn id="21" name="data_notes"/>
    <tableColumn id="22" name="hardware_required"/>
    <tableColumn id="23" name="hardware_notes"/>
    <tableColumn id="24" name="software_required"/>
    <tableColumn id="25" name="software_notes"/>
    <tableColumn id="26" name="instructions_present"/>
    <tableColumn id="27" name="instructions_notes"/>
    <tableColumn id="28" name="claims_notes"/>
    <tableColumn id="29" name="annotator"/>
  </tableColumns>
  <tableStyleInfo name="2024_Dec-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displayName="IMWUT_Paper_2025_Sep_4" ref="A1:AC61">
  <tableColumns count="29">
    <tableColumn id="1" name="title"/>
    <tableColumn id="2" name="article_number"/>
    <tableColumn id="3" name="pdf_file"/>
    <tableColumn id="4" name="citation"/>
    <tableColumn id="5" name="date"/>
    <tableColumn id="6" name="year"/>
    <tableColumn id="7" name="issue"/>
    <tableColumn id="8" name="paper_id"/>
    <tableColumn id="9" name="doi_url"/>
    <tableColumn id="10" name="length_pages"/>
    <tableColumn id="11" name="paper_type"/>
    <tableColumn id="12" name="is_dataset_paper"/>
    <tableColumn id="13" name="open_access"/>
    <tableColumn id="14" name="code_required"/>
    <tableColumn id="15" name="code_available"/>
    <tableColumn id="16" name="code_url"/>
    <tableColumn id="17" name="code_notes"/>
    <tableColumn id="18" name="data_required"/>
    <tableColumn id="19" name="data_available"/>
    <tableColumn id="20" name="data_url"/>
    <tableColumn id="21" name="data_notes"/>
    <tableColumn id="22" name="hardware_required"/>
    <tableColumn id="23" name="hardware_notes"/>
    <tableColumn id="24" name="software_required"/>
    <tableColumn id="25" name="software_notes"/>
    <tableColumn id="26" name="instructions_present"/>
    <tableColumn id="27" name="instructions_notes"/>
    <tableColumn id="28" name="claims_notes"/>
    <tableColumn id="29" name="annotator"/>
  </tableColumns>
  <tableStyleInfo name="2024_Sep-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displayName="IMWUT_Paper_2025_Sep_7" ref="A1:AC47">
  <tableColumns count="29">
    <tableColumn id="1" name="title"/>
    <tableColumn id="2" name="article_number"/>
    <tableColumn id="3" name="pdf_file"/>
    <tableColumn id="4" name="citation"/>
    <tableColumn id="5" name="date"/>
    <tableColumn id="6" name="year"/>
    <tableColumn id="7" name="issue"/>
    <tableColumn id="8" name="paper_id"/>
    <tableColumn id="9" name="doi_url"/>
    <tableColumn id="10" name="length_pages"/>
    <tableColumn id="11" name="paper_type"/>
    <tableColumn id="12" name="is_dataset_paper"/>
    <tableColumn id="13" name="open_access"/>
    <tableColumn id="14" name="code_required"/>
    <tableColumn id="15" name="code_available"/>
    <tableColumn id="16" name="code_url"/>
    <tableColumn id="17" name="code_notes"/>
    <tableColumn id="18" name="data_required"/>
    <tableColumn id="19" name="data_available"/>
    <tableColumn id="20" name="data_url"/>
    <tableColumn id="21" name="data_notes"/>
    <tableColumn id="22" name="hardware_required"/>
    <tableColumn id="23" name="hardware_notes"/>
    <tableColumn id="24" name="software_required"/>
    <tableColumn id="25" name="software_notes"/>
    <tableColumn id="26" name="instructions_present"/>
    <tableColumn id="27" name="instructions_notes"/>
    <tableColumn id="28" name="claims_notes"/>
    <tableColumn id="29" name="annotator"/>
  </tableColumns>
  <tableStyleInfo name="2024_Jun-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displayName="IMWUT_Paper_2025_Sep_8" ref="A1:AC42">
  <tableColumns count="29">
    <tableColumn id="1" name="title"/>
    <tableColumn id="2" name="article_number"/>
    <tableColumn id="3" name="pdf_file"/>
    <tableColumn id="4" name="citation"/>
    <tableColumn id="5" name="date"/>
    <tableColumn id="6" name="year"/>
    <tableColumn id="7" name="issue"/>
    <tableColumn id="8" name="paper_id"/>
    <tableColumn id="9" name="doi_url"/>
    <tableColumn id="10" name="length_pages"/>
    <tableColumn id="11" name="paper_type"/>
    <tableColumn id="12" name="is_dataset_paper"/>
    <tableColumn id="13" name="open_access"/>
    <tableColumn id="14" name="code_required"/>
    <tableColumn id="15" name="code_available"/>
    <tableColumn id="16" name="code_url"/>
    <tableColumn id="17" name="code_notes"/>
    <tableColumn id="18" name="data_required"/>
    <tableColumn id="19" name="data_available"/>
    <tableColumn id="20" name="data_url"/>
    <tableColumn id="21" name="data_notes"/>
    <tableColumn id="22" name="hardware_required"/>
    <tableColumn id="23" name="hardware_notes"/>
    <tableColumn id="24" name="software_required"/>
    <tableColumn id="25" name="software_notes"/>
    <tableColumn id="26" name="instructions_present"/>
    <tableColumn id="27" name="instructions_notes"/>
    <tableColumn id="28" name="claims_notes"/>
    <tableColumn id="29" name="annotator"/>
  </tableColumns>
  <tableStyleInfo name="2024_Mar-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displayName="IMWUT_Paper_2023_Dec" ref="A1:AC61">
  <tableColumns count="29">
    <tableColumn id="1" name="title"/>
    <tableColumn id="2" name="article_number"/>
    <tableColumn id="3" name="pdf_file"/>
    <tableColumn id="4" name="citation"/>
    <tableColumn id="5" name="date"/>
    <tableColumn id="6" name="year"/>
    <tableColumn id="7" name="issue"/>
    <tableColumn id="8" name="paper_id"/>
    <tableColumn id="9" name="doi_url"/>
    <tableColumn id="10" name="length_pages"/>
    <tableColumn id="11" name="paper_type"/>
    <tableColumn id="12" name="is_dataset_paper"/>
    <tableColumn id="13" name="open_access"/>
    <tableColumn id="14" name="code_required"/>
    <tableColumn id="15" name="code_available"/>
    <tableColumn id="16" name="code_url"/>
    <tableColumn id="17" name="code_notes"/>
    <tableColumn id="18" name="data_required"/>
    <tableColumn id="19" name="data_available"/>
    <tableColumn id="20" name="data_url"/>
    <tableColumn id="21" name="data_notes"/>
    <tableColumn id="22" name="hardware_required"/>
    <tableColumn id="23" name="hardware_notes"/>
    <tableColumn id="24" name="software_required"/>
    <tableColumn id="25" name="software_notes"/>
    <tableColumn id="26" name="instructions_present"/>
    <tableColumn id="27" name="instructions_notes"/>
    <tableColumn id="28" name="claims_notes"/>
    <tableColumn id="29" name="annotator"/>
  </tableColumns>
  <tableStyleInfo name="2023_Dec-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displayName="IMWUT_Paper_2025_Sep_9" ref="A1:AC64">
  <tableColumns count="29">
    <tableColumn id="1" name="title"/>
    <tableColumn id="2" name="article_number"/>
    <tableColumn id="3" name="pdf_file"/>
    <tableColumn id="4" name="citation"/>
    <tableColumn id="5" name="date"/>
    <tableColumn id="6" name="year"/>
    <tableColumn id="7" name="issue"/>
    <tableColumn id="8" name="paper_id"/>
    <tableColumn id="9" name="doi_url"/>
    <tableColumn id="10" name="length_pages"/>
    <tableColumn id="11" name="paper_type"/>
    <tableColumn id="12" name="is_dataset_paper"/>
    <tableColumn id="13" name="open_access"/>
    <tableColumn id="14" name="code_required"/>
    <tableColumn id="15" name="code_available"/>
    <tableColumn id="16" name="code_url"/>
    <tableColumn id="17" name="code_notes"/>
    <tableColumn id="18" name="data_required"/>
    <tableColumn id="19" name="data_available"/>
    <tableColumn id="20" name="data_url"/>
    <tableColumn id="21" name="data_notes"/>
    <tableColumn id="22" name="hardware_required"/>
    <tableColumn id="23" name="hardware_notes"/>
    <tableColumn id="24" name="software_required"/>
    <tableColumn id="25" name="software_notes"/>
    <tableColumn id="26" name="instructions_present"/>
    <tableColumn id="27" name="instructions_notes"/>
    <tableColumn id="28" name="claims_notes"/>
    <tableColumn id="29" name="annotator"/>
  </tableColumns>
  <tableStyleInfo name="2023_Sep-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displayName="IMWUT_Paper_2025_Sep_10" ref="A1:AC38">
  <tableColumns count="29">
    <tableColumn id="1" name="title"/>
    <tableColumn id="2" name="article_number"/>
    <tableColumn id="3" name="pdf_file"/>
    <tableColumn id="4" name="citation"/>
    <tableColumn id="5" name="date"/>
    <tableColumn id="6" name="year"/>
    <tableColumn id="7" name="issue"/>
    <tableColumn id="8" name="paper_id"/>
    <tableColumn id="9" name="doi_url"/>
    <tableColumn id="10" name="length_pages"/>
    <tableColumn id="11" name="paper_type"/>
    <tableColumn id="12" name="is_dataset_paper"/>
    <tableColumn id="13" name="open_access"/>
    <tableColumn id="14" name="code_required"/>
    <tableColumn id="15" name="code_available"/>
    <tableColumn id="16" name="code_url"/>
    <tableColumn id="17" name="code_notes"/>
    <tableColumn id="18" name="data_required"/>
    <tableColumn id="19" name="data_available"/>
    <tableColumn id="20" name="data_url"/>
    <tableColumn id="21" name="data_notes"/>
    <tableColumn id="22" name="hardware_required"/>
    <tableColumn id="23" name="hardware_notes"/>
    <tableColumn id="24" name="software_required"/>
    <tableColumn id="25" name="software_notes"/>
    <tableColumn id="26" name="instructions_present"/>
    <tableColumn id="27" name="instructions_notes"/>
    <tableColumn id="28" name="claims_notes"/>
    <tableColumn id="29" name="annotator"/>
  </tableColumns>
  <tableStyleInfo name="2023_Jun-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displayName="IMWUT_Paper_2025_Sep_11" ref="A1:AC46">
  <tableColumns count="29">
    <tableColumn id="1" name="title"/>
    <tableColumn id="2" name="article_number"/>
    <tableColumn id="3" name="pdf_file"/>
    <tableColumn id="4" name="citation"/>
    <tableColumn id="5" name="date"/>
    <tableColumn id="6" name="year"/>
    <tableColumn id="7" name="issue"/>
    <tableColumn id="8" name="paper_id"/>
    <tableColumn id="9" name="doi_url"/>
    <tableColumn id="10" name="length_pages"/>
    <tableColumn id="11" name="paper_type"/>
    <tableColumn id="12" name="is_dataset_paper"/>
    <tableColumn id="13" name="open_access"/>
    <tableColumn id="14" name="code_required"/>
    <tableColumn id="15" name="code_available"/>
    <tableColumn id="16" name="code_url"/>
    <tableColumn id="17" name="code_notes"/>
    <tableColumn id="18" name="data_required"/>
    <tableColumn id="19" name="data_available"/>
    <tableColumn id="20" name="data_url"/>
    <tableColumn id="21" name="data_notes"/>
    <tableColumn id="22" name="hardware_required"/>
    <tableColumn id="23" name="hardware_notes"/>
    <tableColumn id="24" name="software_required"/>
    <tableColumn id="25" name="software_notes"/>
    <tableColumn id="26" name="instructions_present"/>
    <tableColumn id="27" name="instructions_notes"/>
    <tableColumn id="28" name="claims_notes"/>
    <tableColumn id="29" name="annotator"/>
  </tableColumns>
  <tableStyleInfo name="2023_Mar-style" showFirstColumn="1" showLastColumn="1"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R17" dT="2026-04-05T15:40:55.00Z" personId="{3EF1E920-3902-0B7A-1CB8-5691CB03F384}" id="{90AE34BF-07FA-4286-956F-B4805AD1CE76}" done="1">
    <text xml:space="preserve">@mike.specht@student.uni-siegen.de Könntest du hier mal schauen? Es ist nichts ausgewählt. Danke!
mike.specht@student.uni-siegen.de zugewiesen
</text>
  </threadedComment>
</ThreadedComments>
</file>

<file path=xl/threadedComments/threadedComment2.xml><?xml version="1.0" encoding="utf-8"?>
<ThreadedComments xmlns="http://schemas.microsoft.com/office/spreadsheetml/2018/threadedcomments" xmlns:x="http://schemas.openxmlformats.org/spreadsheetml/2006/main">
  <threadedComment ref="L24" dT="2026-04-05T16:02:20.00Z" personId="{3EF1E920-3902-0B7A-1CB8-5691CB03F384}" id="{BC20E036-0059-466D-8DD6-CC1E0A79F632}" done="1">
    <text xml:space="preserve">False Positive - Manuell auf No setzen nötig?
</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6-03-17T12:46:15.00Z" personId="{3EF1E920-3902-0B7A-1CB8-5691CB03F384}" id="{0C79381D-53D5-4F5E-8B76-3E9884303E61}" done="1">
    <text xml:space="preserve">Hier bitte title statt 20 draus machen ;) da ist wohl etwas verrutscht.
</text>
  </threadedComment>
</ThreadedComments>
</file>

<file path=xl/threadedComments/threadedComment4.xml><?xml version="1.0" encoding="utf-8"?>
<ThreadedComments xmlns="http://schemas.microsoft.com/office/spreadsheetml/2018/threadedcomments" xmlns:x="http://schemas.openxmlformats.org/spreadsheetml/2006/main">
  <threadedComment ref="Q25" dT="2026-04-05T15:56:01.00Z" personId="{3EF1E920-3902-0B7A-1CB8-5691CB03F384}" id="{14A1A813-9DEA-4079-93FB-1E5E61D33576}" done="1">
    <text xml:space="preserve">Das hier ist besonders für ein Dataset Paper, sollten wir nochmal ansehen.
</text>
  </threadedComment>
</ThreadedComments>
</file>

<file path=xl/worksheets/_rels/sheet1.xml.rels><?xml version="1.0" encoding="UTF-8" standalone="yes"?><Relationships xmlns="http://schemas.openxmlformats.org/package/2006/relationships"><Relationship  Id="rId1" Type="http://schemas.openxmlformats.org/officeDocument/2006/relationships/hyperlink" Target="https://drive.google.com/open?id=1DNk8Wae0hV62SE_HH5MsfDo_axEFYfkg" TargetMode="External"/><Relationship  Id="rId10" Type="http://schemas.openxmlformats.org/officeDocument/2006/relationships/hyperlink" Target="https://github.com/thrudgelmir/EER" TargetMode="External"/><Relationship  Id="rId100" Type="http://schemas.openxmlformats.org/officeDocument/2006/relationships/hyperlink" Target="https://drive.google.com/open?id=16N3jsDhrAXTHPyBzMWXoxWDg7oSPIdU9" TargetMode="External"/><Relationship  Id="rId101" Type="http://schemas.openxmlformats.org/officeDocument/2006/relationships/hyperlink" Target="https://dash-gidea.github.io/" TargetMode="External"/><Relationship  Id="rId102" Type="http://schemas.openxmlformats.org/officeDocument/2006/relationships/hyperlink" Target="https://drive.google.com/open?id=1amKPS-drmd4uFayYUA_poAxUYk4PSvXQ" TargetMode="External"/><Relationship  Id="rId103" Type="http://schemas.openxmlformats.org/officeDocument/2006/relationships/hyperlink" Target="https://github.com/DASHLab/LanHAR" TargetMode="External"/><Relationship  Id="rId104" Type="http://schemas.openxmlformats.org/officeDocument/2006/relationships/hyperlink" Target="https://drive.google.com/open?id=1T_at11yyQjoG4FdeXQMaLOR-47uoi9k0" TargetMode="External"/><Relationship  Id="rId105" Type="http://schemas.openxmlformats.org/officeDocument/2006/relationships/hyperlink" Target="https://github.com/aclguard/ACLGuard" TargetMode="External"/><Relationship  Id="rId106" Type="http://schemas.openxmlformats.org/officeDocument/2006/relationships/hyperlink" Target="https://drive.google.com/open?id=14x5jsosgDTly5IFZm0wWwpoBZZblHyR3" TargetMode="External"/><Relationship  Id="rId107" Type="http://schemas.openxmlformats.org/officeDocument/2006/relationships/hyperlink" Target="https://drive.google.com/open?id=1Ih3GMlQiSqZv47aYGKp8NINwoUbf2TeD" TargetMode="External"/><Relationship  Id="rId108" Type="http://schemas.openxmlformats.org/officeDocument/2006/relationships/hyperlink" Target="https://github.com/location-competition/indoor-location-competition-20" TargetMode="External"/><Relationship  Id="rId109" Type="http://schemas.openxmlformats.org/officeDocument/2006/relationships/hyperlink" Target="https://drive.google.com/open?id=1c0ORqjbLB6RBOys4_AJjJZx2hz4DK0b6" TargetMode="External"/><Relationship  Id="rId11" Type="http://schemas.openxmlformats.org/officeDocument/2006/relationships/hyperlink" Target="https://drive.google.com/open?id=1oLytfuizJQyZy59Ri8HnazBte0Q_bfzN" TargetMode="External"/><Relationship  Id="rId110" Type="http://schemas.openxmlformats.org/officeDocument/2006/relationships/hyperlink" Target="https://www.microsoft.com/en-us/research/publication/geolife-gps-trajectory-dataset-user-guide/" TargetMode="External"/><Relationship  Id="rId111" Type="http://schemas.openxmlformats.org/officeDocument/2006/relationships/hyperlink" Target="https://drive.google.com/open?id=19GM_3pmMM6DrlbWCq63g7-S4Q_PM4dYi" TargetMode="External"/><Relationship  Id="rId112" Type="http://schemas.openxmlformats.org/officeDocument/2006/relationships/hyperlink" Target="https://drive.google.com/open?id=1S6EvYqcztO_ZGiK3xp6EWAe4xMwEoEcq" TargetMode="External"/><Relationship  Id="rId113" Type="http://schemas.openxmlformats.org/officeDocument/2006/relationships/hyperlink" Target="https://github.com/BarnesLab/Endocrine-Therapy-Adherence-in-Breast-Cancer-Survivor" TargetMode="External"/><Relationship  Id="rId114" Type="http://schemas.openxmlformats.org/officeDocument/2006/relationships/hyperlink" Target="https://drive.google.com/open?id=11llILoRY7PO71GiAPw4FSiBRHoVpXZ9O" TargetMode="External"/><Relationship  Id="rId115" Type="http://schemas.openxmlformats.org/officeDocument/2006/relationships/hyperlink" Target="https://drive.google.com/open?id=13ciBriNGcjpkx3S-l2roovFccm4wz8K4" TargetMode="External"/><Relationship  Id="rId116" Type="http://schemas.openxmlformats.org/officeDocument/2006/relationships/hyperlink" Target="https://drive.google.com/open?id=1MZHybNkkC34WM4NHxcyN-99my5KGbG6v" TargetMode="External"/><Relationship  Id="rId117" Type="http://schemas.openxmlformats.org/officeDocument/2006/relationships/hyperlink" Target="https://drive.google.com/open?id=1pZZd_qFJzco-Syw-yqTiXHTzg6y48NbE" TargetMode="External"/><Relationship  Id="rId118" Type="http://schemas.openxmlformats.org/officeDocument/2006/relationships/hyperlink" Target="https://drive.google.com/open?id=1eKERFk4HbZhhz26pQWr3t9u1d5m7UHHy" TargetMode="External"/><Relationship  Id="rId119" Type="http://schemas.openxmlformats.org/officeDocument/2006/relationships/hyperlink" Target="https://github.com/HAI-lab-UVA/Human-Rhythms-Dataset" TargetMode="External"/><Relationship  Id="rId12" Type="http://schemas.openxmlformats.org/officeDocument/2006/relationships/hyperlink" Target="https://drive.google.com/open?id=11dAUAff4TV1C5nLM1931vyYh9yfF44Ju" TargetMode="External"/><Relationship  Id="rId120" Type="http://schemas.openxmlformats.org/officeDocument/2006/relationships/hyperlink" Target="https://drive.google.com/open?id=1xzacKX-uHJZ-oynmHd8b-mpwUgQrPFq0" TargetMode="External"/><Relationship  Id="rId121" Type="http://schemas.openxmlformats.org/officeDocument/2006/relationships/hyperlink" Target="https://drive.google.com/open?id=18qXOHXkipZ5v_2wg29VwrM3CFUMAN9sy" TargetMode="External"/><Relationship  Id="rId122" Type="http://schemas.openxmlformats.org/officeDocument/2006/relationships/table" Target="../tables/table1.xml"/><Relationship  Id="rId13" Type="http://schemas.openxmlformats.org/officeDocument/2006/relationships/hyperlink" Target="https://www.kaggle.com/datasets/bigtortoise/selfdenoiser-dataset/" TargetMode="External"/><Relationship  Id="rId14" Type="http://schemas.openxmlformats.org/officeDocument/2006/relationships/hyperlink" Target="https://drive.google.com/open?id=1thU0_bxmP-tIdHXAWNLWMOO-gn_TeA90" TargetMode="External"/><Relationship  Id="rId15" Type="http://schemas.openxmlformats.org/officeDocument/2006/relationships/hyperlink" Target="https://drive.google.com/open?id=1sFpSmJHjSV3OQXuIARuo1LKhqDhZogPK" TargetMode="External"/><Relationship  Id="rId16" Type="http://schemas.openxmlformats.org/officeDocument/2006/relationships/hyperlink" Target="https://github.com/UbiWell/imputation-matters" TargetMode="External"/><Relationship  Id="rId17" Type="http://schemas.openxmlformats.org/officeDocument/2006/relationships/hyperlink" Target="https://drive.google.com/open?id=1QiPmiD8G-9PdU4H6qdqEKcHqTP4B9eb7" TargetMode="External"/><Relationship  Id="rId18" Type="http://schemas.openxmlformats.org/officeDocument/2006/relationships/hyperlink" Target="https://drive.google.com/open?id=1x88VIWcWJqccYkQu9vAJCkgQ_TY28YZ3" TargetMode="External"/><Relationship  Id="rId19" Type="http://schemas.openxmlformats.org/officeDocument/2006/relationships/hyperlink" Target="https://anonymous.4open.science/r/REVIT-Partial-B747/" TargetMode="External"/><Relationship  Id="rId2" Type="http://schemas.openxmlformats.org/officeDocument/2006/relationships/hyperlink" Target="https://drive.google.com/open?id=1zOpm_1KbS_wSJBVJAL6ZWucZwuUlLZT9" TargetMode="External"/><Relationship  Id="rId20" Type="http://schemas.openxmlformats.org/officeDocument/2006/relationships/hyperlink" Target="https://drive.google.com/open?id=1jX3pFG4MprE8COVNzKIsBG8VNxUiu_se" TargetMode="External"/><Relationship  Id="rId21" Type="http://schemas.openxmlformats.org/officeDocument/2006/relationships/hyperlink" Target="https://drive.google.com/open?id=1xOs2n6zd7JZMxgWukfqRC7FcYR5gyCGC" TargetMode="External"/><Relationship  Id="rId22" Type="http://schemas.openxmlformats.org/officeDocument/2006/relationships/hyperlink" Target="https://drive.google.com/open?id=1JexGXNA6vAi8H757iRhPbFkYZbEcMt6S" TargetMode="External"/><Relationship  Id="rId23" Type="http://schemas.openxmlformats.org/officeDocument/2006/relationships/hyperlink" Target="https://drive.google.com/open?id=1mFo2DfOBvldaQUQ6Ua60hotoxCELRRDv" TargetMode="External"/><Relationship  Id="rId24" Type="http://schemas.openxmlformats.org/officeDocument/2006/relationships/hyperlink" Target="https://drive.google.com/open?id=1cw2F98LLKjC-3lkekNxxDTfonkjtiBex" TargetMode="External"/><Relationship  Id="rId25" Type="http://schemas.openxmlformats.org/officeDocument/2006/relationships/hyperlink" Target="https://doi.org/10.5281/zenodo.14723896" TargetMode="External"/><Relationship  Id="rId26" Type="http://schemas.openxmlformats.org/officeDocument/2006/relationships/hyperlink" Target="https://drive.google.com/open?id=1mYR2yzxzvs5rUrPgn-spKAd736AXJEwo" TargetMode="External"/><Relationship  Id="rId27" Type="http://schemas.openxmlformats.org/officeDocument/2006/relationships/hyperlink" Target="https://drive.google.com/open?id=19vq7TEOqTTxhtRh4zR9ONu7OOK5-TuMa" TargetMode="External"/><Relationship  Id="rId28" Type="http://schemas.openxmlformats.org/officeDocument/2006/relationships/hyperlink" Target="https://drive.google.com/open?id=1WmXKip9GkG0uW0ZhnJYeumdzAoRX1kul" TargetMode="External"/><Relationship  Id="rId29" Type="http://schemas.openxmlformats.org/officeDocument/2006/relationships/hyperlink" Target="https://drive.google.com/open?id=1XQG_zmEWm_Fts89IOy5GkhzLCb59P4pZ" TargetMode="External"/><Relationship  Id="rId3" Type="http://schemas.openxmlformats.org/officeDocument/2006/relationships/hyperlink" Target="https://drive.google.com/open?id=1J16Gy30ScD-RF2uev7qJp5XPAqFIa7Kj" TargetMode="External"/><Relationship  Id="rId30" Type="http://schemas.openxmlformats.org/officeDocument/2006/relationships/hyperlink" Target="https://drive.google.com/open?id=1vJx9-qPiYBPxKBknYAAQ2QRmQSmJZ4UF" TargetMode="External"/><Relationship  Id="rId31" Type="http://schemas.openxmlformats.org/officeDocument/2006/relationships/hyperlink" Target="https://github.com/CocaColaZero/Collaborative-Scheduling-of-Time-dependent-Agent" TargetMode="External"/><Relationship  Id="rId32" Type="http://schemas.openxmlformats.org/officeDocument/2006/relationships/hyperlink" Target="https://drive.google.com/open?id=1OVbOo7UMsQLCBFK3yxROEb98osJcZqRr" TargetMode="External"/><Relationship  Id="rId33" Type="http://schemas.openxmlformats.org/officeDocument/2006/relationships/hyperlink" Target="https://github.com/hj5202/CornerSense.git" TargetMode="External"/><Relationship  Id="rId34" Type="http://schemas.openxmlformats.org/officeDocument/2006/relationships/hyperlink" Target="https://drive.google.com/open?id=1dRcx1YSRh-ToHuXXq4KtjGEGexOD8uWj" TargetMode="External"/><Relationship  Id="rId35" Type="http://schemas.openxmlformats.org/officeDocument/2006/relationships/hyperlink" Target="https://drive.google.com/open?id=10hDWTwTVtXnECd5U3BzLHzpBDPbczeaw" TargetMode="External"/><Relationship  Id="rId36" Type="http://schemas.openxmlformats.org/officeDocument/2006/relationships/hyperlink" Target="https://drive.google.com/open?id=1SRj_QZrzz0VNiH5QRXfCWO01XvNF2iv7" TargetMode="External"/><Relationship  Id="rId37" Type="http://schemas.openxmlformats.org/officeDocument/2006/relationships/hyperlink" Target="https://drive.google.com/open?id=1Ex6hF2-RqgU5Is83VVeoXBAWkq7GFUCD" TargetMode="External"/><Relationship  Id="rId38" Type="http://schemas.openxmlformats.org/officeDocument/2006/relationships/hyperlink" Target="https://drive.google.com/open?id=1hpoT7nFMXEobVrSz5XPfx9wi-mCBdi91" TargetMode="External"/><Relationship  Id="rId39" Type="http://schemas.openxmlformats.org/officeDocument/2006/relationships/hyperlink" Target="https://drive.google.com/open?id=11exbjCTXVW7adE7CzMZIsB6pOUJyEGCP" TargetMode="External"/><Relationship  Id="rId4" Type="http://schemas.openxmlformats.org/officeDocument/2006/relationships/hyperlink" Target="https://anonymous.4open.science/r/ECSense-System/" TargetMode="External"/><Relationship  Id="rId40" Type="http://schemas.openxmlformats.org/officeDocument/2006/relationships/hyperlink" Target="https://drive.google.com/open?id=1akzsEmUoOKu0kXwMa0ylIUqnvTMo9l-R" TargetMode="External"/><Relationship  Id="rId41" Type="http://schemas.openxmlformats.org/officeDocument/2006/relationships/hyperlink" Target="https://drive.google.com/open?id=1g6BhibWX_ptebfTgk5zNUgp0ps0PXqFN" TargetMode="External"/><Relationship  Id="rId42" Type="http://schemas.openxmlformats.org/officeDocument/2006/relationships/hyperlink" Target="https://drive.google.com/open?id=1BnhCdDDFiaObZg0Tc-7mBVuTDfWbRG4e" TargetMode="External"/><Relationship  Id="rId43" Type="http://schemas.openxmlformats.org/officeDocument/2006/relationships/hyperlink" Target="https://drive.google.com/open?id=1_c_g5qQzXLQ0ty_UNoq9qxLMKdZHox8f" TargetMode="External"/><Relationship  Id="rId44" Type="http://schemas.openxmlformats.org/officeDocument/2006/relationships/hyperlink" Target="https://drive.google.com/open?id=1MSK_pap5gzlu6hqtpFmVGxxT9V_f2Hwl" TargetMode="External"/><Relationship  Id="rId45" Type="http://schemas.openxmlformats.org/officeDocument/2006/relationships/hyperlink" Target="https://github.com/FuSenseRing/FuSenseRing_Beta." TargetMode="External"/><Relationship  Id="rId46" Type="http://schemas.openxmlformats.org/officeDocument/2006/relationships/hyperlink" Target="https://drive.google.com/open?id=1H5G7_MkaG_jzI0Qnupn3knM4eNB6IhFq" TargetMode="External"/><Relationship  Id="rId47" Type="http://schemas.openxmlformats.org/officeDocument/2006/relationships/hyperlink" Target="https://evans-lx.github.io/Gestura/." TargetMode="External"/><Relationship  Id="rId48" Type="http://schemas.openxmlformats.org/officeDocument/2006/relationships/hyperlink" Target="https://drive.google.com/open?id=12tVEDD68zpYuViSOMwxjF9qRPFWyeyBD" TargetMode="External"/><Relationship  Id="rId49" Type="http://schemas.openxmlformats.org/officeDocument/2006/relationships/hyperlink" Target="https://drive.google.com/open?id=1nBPq0flw2RscvnfQSEBsOFcuUtLPsH0D" TargetMode="External"/><Relationship  Id="rId5" Type="http://schemas.openxmlformats.org/officeDocument/2006/relationships/hyperlink" Target="https://drive.google.com/open?id=1YoGAZcFMJc4k2r1kdLZUjL0HiRIKNiF2" TargetMode="External"/><Relationship  Id="rId50" Type="http://schemas.openxmlformats.org/officeDocument/2006/relationships/hyperlink" Target="https://drive.google.com/open?id=1bWHA1XaJ5OQeYCjNCrD0d3FTYRwc5HrS" TargetMode="External"/><Relationship  Id="rId51" Type="http://schemas.openxmlformats.org/officeDocument/2006/relationships/hyperlink" Target="https://drive.google.com/open?id=1FhjpWrFQdvGKwUcLsER_GxLRHFe0Riuj" TargetMode="External"/><Relationship  Id="rId52" Type="http://schemas.openxmlformats.org/officeDocument/2006/relationships/hyperlink" Target="https://drive.google.com/open?id=1RK3kmRn0kJznLZKLKAoiTAVNno_HA4T4" TargetMode="External"/><Relationship  Id="rId53" Type="http://schemas.openxmlformats.org/officeDocument/2006/relationships/hyperlink" Target="https://drive.google.com/open?id=1_hXlbs5IWO8irC16EfEHndZgghnRgQJb" TargetMode="External"/><Relationship  Id="rId54" Type="http://schemas.openxmlformats.org/officeDocument/2006/relationships/hyperlink" Target="https://github.com/Con-or-McCarthy/Hi_OSCAR" TargetMode="External"/><Relationship  Id="rId55" Type="http://schemas.openxmlformats.org/officeDocument/2006/relationships/hyperlink" Target="https://github.com/Con-or-McCarthy/Hi_OSCAR." TargetMode="External"/><Relationship  Id="rId56" Type="http://schemas.openxmlformats.org/officeDocument/2006/relationships/hyperlink" Target="https://drive.google.com/open?id=1zZYkbUDb_flJYb866B463GJZe0Qkdvry" TargetMode="External"/><Relationship  Id="rId57" Type="http://schemas.openxmlformats.org/officeDocument/2006/relationships/hyperlink" Target="https://drive.google.com/open?id=1HXQBbERTEFQ97GClIUR5mB-ZgsYNzcR_" TargetMode="External"/><Relationship  Id="rId58" Type="http://schemas.openxmlformats.org/officeDocument/2006/relationships/hyperlink" Target="https://github.com/chercode/mobilyzer-imwut25" TargetMode="External"/><Relationship  Id="rId59" Type="http://schemas.openxmlformats.org/officeDocument/2006/relationships/hyperlink" Target="https://drive.google.com/open?id=1yZWE2mJvMPDZiPBSbw-m61-5nSaGqmdv" TargetMode="External"/><Relationship  Id="rId6" Type="http://schemas.openxmlformats.org/officeDocument/2006/relationships/hyperlink" Target="https://github.com/USI-PCC/LIFETRACE" TargetMode="External"/><Relationship  Id="rId60" Type="http://schemas.openxmlformats.org/officeDocument/2006/relationships/hyperlink" Target="https://drive.google.com/open?id=1do6RfQn8AL5pvCxf5HAs9eAljjCEnrQ7" TargetMode="External"/><Relationship  Id="rId61" Type="http://schemas.openxmlformats.org/officeDocument/2006/relationships/hyperlink" Target="https://github.com/synergylabs/OrganicHAR?tab=readme-ov-file" TargetMode="External"/><Relationship  Id="rId62" Type="http://schemas.openxmlformats.org/officeDocument/2006/relationships/hyperlink" Target="https://drive.google.com/open?id=1i7KtAk28GZmumvAQzImbmo8nogZTWj77" TargetMode="External"/><Relationship  Id="rId63" Type="http://schemas.openxmlformats.org/officeDocument/2006/relationships/hyperlink" Target="https://github.com/mHealth-Research-Group/paaws-benchmarking" TargetMode="External"/><Relationship  Id="rId64" Type="http://schemas.openxmlformats.org/officeDocument/2006/relationships/hyperlink" Target="https://repository.library.northeastern.edu/collections/neu:cn69m462g" TargetMode="External"/><Relationship  Id="rId65" Type="http://schemas.openxmlformats.org/officeDocument/2006/relationships/hyperlink" Target="https://drive.google.com/open?id=1EB3lNlf2NfYJzPoWAF4RUqdgA2widWVF" TargetMode="External"/><Relationship  Id="rId66" Type="http://schemas.openxmlformats.org/officeDocument/2006/relationships/hyperlink" Target="https://drive.google.com/open?id=1nvNmg5lA3OrMHAVkIRB03pgsY8J6VFII" TargetMode="External"/><Relationship  Id="rId67" Type="http://schemas.openxmlformats.org/officeDocument/2006/relationships/hyperlink" Target="https://huggingface.co/datasets/SIR-Lab/MAD-Multimodal_Physiological_and_Self-Reported_Dataset_for_Anxiety_Research" TargetMode="External"/><Relationship  Id="rId68" Type="http://schemas.openxmlformats.org/officeDocument/2006/relationships/hyperlink" Target="https://drive.google.com/open?id=1BLF_EXbe1ri5kGMcxpV49NTAii4CUd0G" TargetMode="External"/><Relationship  Id="rId69" Type="http://schemas.openxmlformats.org/officeDocument/2006/relationships/hyperlink" Target="https://drive.google.com/open?id=1KGxvFCjI3rcavGqgLjhnkE1q09kEgtlh" TargetMode="External"/><Relationship  Id="rId7" Type="http://schemas.openxmlformats.org/officeDocument/2006/relationships/hyperlink" Target="https://doi.org/10.5281/zenodo.17249917" TargetMode="External"/><Relationship  Id="rId70" Type="http://schemas.openxmlformats.org/officeDocument/2006/relationships/hyperlink" Target="https://drive.google.com/open?id=1J0dzawU2DyS99jOWdeDnk9dCsx4dErr9" TargetMode="External"/><Relationship  Id="rId71" Type="http://schemas.openxmlformats.org/officeDocument/2006/relationships/hyperlink" Target="https://drive.google.com/open?id=15QMgqrGRDpePsYgHsT5qknAdJHVVFmEn" TargetMode="External"/><Relationship  Id="rId72" Type="http://schemas.openxmlformats.org/officeDocument/2006/relationships/hyperlink" Target="https://drive.google.com/open?id=1nj4QGXdwcGlGMJ6_Po8BpeNCuixootox" TargetMode="External"/><Relationship  Id="rId73" Type="http://schemas.openxmlformats.org/officeDocument/2006/relationships/hyperlink" Target="https://github.com/Was-Lab/IMUZero" TargetMode="External"/><Relationship  Id="rId74" Type="http://schemas.openxmlformats.org/officeDocument/2006/relationships/hyperlink" Target="https://drive.google.com/open?id=1JZYaSkvyj6tbxYgfy8g4tgJQBTZg42rB" TargetMode="External"/><Relationship  Id="rId75" Type="http://schemas.openxmlformats.org/officeDocument/2006/relationships/hyperlink" Target="https://drive.google.com/open?id=13C3DZDwrnUug1FEbURaF2JPlFy3SsX0J" TargetMode="External"/><Relationship  Id="rId76" Type="http://schemas.openxmlformats.org/officeDocument/2006/relationships/hyperlink" Target="https://doi.org/10.1145/3770640" TargetMode="External"/><Relationship  Id="rId77" Type="http://schemas.openxmlformats.org/officeDocument/2006/relationships/hyperlink" Target="https://github.com/byron123t/chatbot-ads" TargetMode="External"/><Relationship  Id="rId78" Type="http://schemas.openxmlformats.org/officeDocument/2006/relationships/hyperlink" Target="https://chatbotumich.com/de" TargetMode="External"/><Relationship  Id="rId79" Type="http://schemas.openxmlformats.org/officeDocument/2006/relationships/hyperlink" Target="https://drive.google.com/open?id=1KtyN44-bwlI4-8kk7kedyr9pWe2QE_8n" TargetMode="External"/><Relationship  Id="rId8" Type="http://schemas.openxmlformats.org/officeDocument/2006/relationships/hyperlink" Target="https://drive.google.com/open?id=1Oijflj8SdisiOzmMvLyGK5awcOXa8bXL" TargetMode="External"/><Relationship  Id="rId80" Type="http://schemas.openxmlformats.org/officeDocument/2006/relationships/hyperlink" Target="https://doi.org/10.1145/3770706" TargetMode="External"/><Relationship  Id="rId81" Type="http://schemas.openxmlformats.org/officeDocument/2006/relationships/hyperlink" Target="https://drive.google.com/open?id=1x-kaSJri_nyPdDmY6bQDUdDrJEscYTQB" TargetMode="External"/><Relationship  Id="rId82" Type="http://schemas.openxmlformats.org/officeDocument/2006/relationships/hyperlink" Target="https://osf.io/k25tn/" TargetMode="External"/><Relationship  Id="rId83" Type="http://schemas.openxmlformats.org/officeDocument/2006/relationships/hyperlink" Target="https://drive.google.com/open?id=1JwxwaEW9W7ziMLQXATeSnP_M7B2PebSr" TargetMode="External"/><Relationship  Id="rId84" Type="http://schemas.openxmlformats.org/officeDocument/2006/relationships/hyperlink" Target="https://drive.google.com/open?id=1WszxcdOgqArjyUt4KnM7M9xca8BY93T8" TargetMode="External"/><Relationship  Id="rId85" Type="http://schemas.openxmlformats.org/officeDocument/2006/relationships/hyperlink" Target="https://drive.google.com/open?id=1Am9E2fBVnokPVxSgDE_MCnkM5ey3Rseu" TargetMode="External"/><Relationship  Id="rId86" Type="http://schemas.openxmlformats.org/officeDocument/2006/relationships/hyperlink" Target="https://drive.google.com/open?id=1XLgQrnPEhzVRMNF7xINx-y5RTy8LNsIh" TargetMode="External"/><Relationship  Id="rId87" Type="http://schemas.openxmlformats.org/officeDocument/2006/relationships/hyperlink" Target="https://drive.google.com/open?id=1E8HrnTIxycCsTx28J94L2t-9SBoEWu2L" TargetMode="External"/><Relationship  Id="rId88" Type="http://schemas.openxmlformats.org/officeDocument/2006/relationships/hyperlink" Target="https://drive.google.com/open?id=1M-p2sHidRWgOIzaPnfhYM6A8qoSthYQ0" TargetMode="External"/><Relationship  Id="rId89" Type="http://schemas.openxmlformats.org/officeDocument/2006/relationships/hyperlink" Target="https://drive.google.com/open?id=1e9p9K1Ya6fcVhWAjwfH5Fr5lwbYNvrCD" TargetMode="External"/><Relationship  Id="rId9" Type="http://schemas.openxmlformats.org/officeDocument/2006/relationships/hyperlink" Target="https://drive.google.com/open?id=1FizXugxXt6WbGN_eHHVSHUAU7R6x6pMJ" TargetMode="External"/><Relationship  Id="rId90" Type="http://schemas.openxmlformats.org/officeDocument/2006/relationships/hyperlink" Target="https://drive.google.com/open?id=1HZGkWkjmGerzKyocXkL-ewtvS5lIVMMb" TargetMode="External"/><Relationship  Id="rId91" Type="http://schemas.openxmlformats.org/officeDocument/2006/relationships/hyperlink" Target="https://drive.google.com/open?id=1067-ymrVde8FZRgM9ba_Zrq_lXb16iXu" TargetMode="External"/><Relationship  Id="rId92" Type="http://schemas.openxmlformats.org/officeDocument/2006/relationships/hyperlink" Target="https://drive.google.com/open?id=1qwKtKHR6ydJzsQXD2AamitcfoHroeAhq" TargetMode="External"/><Relationship  Id="rId93" Type="http://schemas.openxmlformats.org/officeDocument/2006/relationships/hyperlink" Target="http://github.com/gxxu0120/MENV_HRV_Dataset" TargetMode="External"/><Relationship  Id="rId94" Type="http://schemas.openxmlformats.org/officeDocument/2006/relationships/hyperlink" Target="https://drive.google.com/open?id=1vBPxgO_RWnQ1jc9QZwbM6SDsLOYFth4n" TargetMode="External"/><Relationship  Id="rId95" Type="http://schemas.openxmlformats.org/officeDocument/2006/relationships/hyperlink" Target="https://github.com/WANDS-HKUST/AutoLife" TargetMode="External"/><Relationship  Id="rId96" Type="http://schemas.openxmlformats.org/officeDocument/2006/relationships/hyperlink" Target="https://drive.google.com/open?id=16j9ltym3l6AQC0d6KEXHS3GRwDZ18kPh" TargetMode="External"/><Relationship  Id="rId97" Type="http://schemas.openxmlformats.org/officeDocument/2006/relationships/hyperlink" Target="https://doi.org/10.1145/3770677" TargetMode="External"/><Relationship  Id="rId98" Type="http://schemas.openxmlformats.org/officeDocument/2006/relationships/hyperlink" Target="https://drive.google.com/open?id=1PE1n2sqN759aCKjA_4saTGVpMYC89Mty" TargetMode="External"/><Relationship  Id="rId99" Type="http://schemas.openxmlformats.org/officeDocument/2006/relationships/hyperlink" Target="https://doi.org/10.1145/3770641"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drive.google.com/open?id=1WmH9_nHcPeLHY3UChgthecTpUeaGVRFf" TargetMode="External"/><Relationship  Id="rId10" Type="http://schemas.openxmlformats.org/officeDocument/2006/relationships/hyperlink" Target="https://doi.org/10.1145/3749514" TargetMode="External"/><Relationship  Id="rId100" Type="http://schemas.openxmlformats.org/officeDocument/2006/relationships/hyperlink" Target="https://github.com/bibom108/CertiAPT" TargetMode="External"/><Relationship  Id="rId101" Type="http://schemas.openxmlformats.org/officeDocument/2006/relationships/hyperlink" Target="https://drive.google.com/open?id=1ZWurdIy2qXgYxkJKAKNZOohj5kfY0qQ8" TargetMode="External"/><Relationship  Id="rId102" Type="http://schemas.openxmlformats.org/officeDocument/2006/relationships/hyperlink" Target="https://github.com/re-plicate/DynaGraph" TargetMode="External"/><Relationship  Id="rId103" Type="http://schemas.openxmlformats.org/officeDocument/2006/relationships/hyperlink" Target="https://drive.google.com/open?id=1_F5gPiweFNelvzFc-QhAPM13SJO_WHyy" TargetMode="External"/><Relationship  Id="rId104" Type="http://schemas.openxmlformats.org/officeDocument/2006/relationships/hyperlink" Target="https://drive.google.com/open?id=1nsC5ne7lxUOMRfGqx37rDO5czdZI1aUW" TargetMode="External"/><Relationship  Id="rId105" Type="http://schemas.openxmlformats.org/officeDocument/2006/relationships/hyperlink" Target="https://github.com/qmhsam/HAR-FM" TargetMode="External"/><Relationship  Id="rId106" Type="http://schemas.openxmlformats.org/officeDocument/2006/relationships/hyperlink" Target="https://drive.google.com/drive/folders/1j1-3OJHWqi7TkrKC43BByXaG0MR6QXCB" TargetMode="External"/><Relationship  Id="rId107" Type="http://schemas.openxmlformats.org/officeDocument/2006/relationships/hyperlink" Target="https://drive.google.com/open?id=1MHr5m5q4eclaWRrut1FNV_RVvWxe8Euq" TargetMode="External"/><Relationship  Id="rId108" Type="http://schemas.openxmlformats.org/officeDocument/2006/relationships/hyperlink" Target="https://dl.acm.org/doi/10.1145/3749493" TargetMode="External"/><Relationship  Id="rId109" Type="http://schemas.openxmlformats.org/officeDocument/2006/relationships/hyperlink" Target="https://doi.org/10.1109/CVPR.2017.591" TargetMode="External"/><Relationship  Id="rId11" Type="http://schemas.openxmlformats.org/officeDocument/2006/relationships/hyperlink" Target="https://drive.google.com/open?id=17-nBfku3pqv2OX449wn4fFwlcdpw__x6" TargetMode="External"/><Relationship  Id="rId110" Type="http://schemas.openxmlformats.org/officeDocument/2006/relationships/hyperlink" Target="https://drive.google.com/open?id=1waNVvV2Yjdl_a-qnJO64FiMO9RNlrsOz" TargetMode="External"/><Relationship  Id="rId111" Type="http://schemas.openxmlformats.org/officeDocument/2006/relationships/hyperlink" Target="https://drive.google.com/open?id=1jh_FKF0JqUb5ayPv0csS1EmNZxK1Gj6B" TargetMode="External"/><Relationship  Id="rId112" Type="http://schemas.openxmlformats.org/officeDocument/2006/relationships/hyperlink" Target="https://drive.google.com/open?id=1stuUQ2N68IBShFRu7cRvTxhb56ZQe_zJ" TargetMode="External"/><Relationship  Id="rId113" Type="http://schemas.openxmlformats.org/officeDocument/2006/relationships/hyperlink" Target="https://github.com/maxxu05/pulseppg." TargetMode="External"/><Relationship  Id="rId114" Type="http://schemas.openxmlformats.org/officeDocument/2006/relationships/hyperlink" Target="https://drive.google.com/open?id=1Wv6Pajsy8X_jJmRWN83vOKIU5SNTTkq9" TargetMode="External"/><Relationship  Id="rId115" Type="http://schemas.openxmlformats.org/officeDocument/2006/relationships/hyperlink" Target="https://zenodo.org/records/15316373." TargetMode="External"/><Relationship  Id="rId116" Type="http://schemas.openxmlformats.org/officeDocument/2006/relationships/hyperlink" Target="https://drive.google.com/open?id=1L6EOCPK9eXZW0k0d83XJJDnK0fOSJePS" TargetMode="External"/><Relationship  Id="rId117" Type="http://schemas.openxmlformats.org/officeDocument/2006/relationships/hyperlink" Target="https://drive.google.com/open?id=19_Z8L9r2-VXBxx1oEME1cRyOul-VnOR6" TargetMode="External"/><Relationship  Id="rId118" Type="http://schemas.openxmlformats.org/officeDocument/2006/relationships/hyperlink" Target="https://github.com/FIGLAB/Hapt-Aids." TargetMode="External"/><Relationship  Id="rId119" Type="http://schemas.openxmlformats.org/officeDocument/2006/relationships/hyperlink" Target="https://drive.google.com/open?id=10eV5JDyCyhHIbWLxWJurZA9aN1Yxo-h5" TargetMode="External"/><Relationship  Id="rId12" Type="http://schemas.openxmlformats.org/officeDocument/2006/relationships/hyperlink" Target="https://doi.org/10.1145/3749547" TargetMode="External"/><Relationship  Id="rId120" Type="http://schemas.openxmlformats.org/officeDocument/2006/relationships/hyperlink" Target="https://drive.google.com/open?id=1nqu3y5vUKBfed1GktdNnSYkOCnySvRGe" TargetMode="External"/><Relationship  Id="rId121" Type="http://schemas.openxmlformats.org/officeDocument/2006/relationships/hyperlink" Target="https://drive.google.com/open?id=1ZZLca6wgIXXGANT9N_Q8sv4Y6S8bThUJ" TargetMode="External"/><Relationship  Id="rId122" Type="http://schemas.openxmlformats.org/officeDocument/2006/relationships/hyperlink" Target="https://drive.google.com/open?id=1ML7DTw2F4zvsR_5UsSPO508e2PO3NZKD" TargetMode="External"/><Relationship  Id="rId123" Type="http://schemas.openxmlformats.org/officeDocument/2006/relationships/hyperlink" Target="https://drive.google.com/open?id=17BgUUFgDFDlR9h6CPTaRSL4Tko44CHQP" TargetMode="External"/><Relationship  Id="rId124" Type="http://schemas.openxmlformats.org/officeDocument/2006/relationships/hyperlink" Target="https://drive.google.com/open?id=1p6EDDHTOAUehH0VuAjAJNoCdLcYjTV4h" TargetMode="External"/><Relationship  Id="rId125" Type="http://schemas.openxmlformats.org/officeDocument/2006/relationships/hyperlink" Target="https://drive.google.com/open?id=1zfoOCRVM6qcDTuA-usKbZqn9Qs6wXeVF" TargetMode="External"/><Relationship  Id="rId126" Type="http://schemas.openxmlformats.org/officeDocument/2006/relationships/hyperlink" Target="https://github.com/QiWangXPY/FASL" TargetMode="External"/><Relationship  Id="rId127" Type="http://schemas.openxmlformats.org/officeDocument/2006/relationships/hyperlink" Target="https://drive.google.com/open?id=1txQxrXnIo-9iAgkldVuY_f8vBw8P0Udg" TargetMode="External"/><Relationship  Id="rId128" Type="http://schemas.openxmlformats.org/officeDocument/2006/relationships/hyperlink" Target="https://drive.google.com/open?id=13n4em0gPt8tViyqZkzWxNjTcryb18YUO" TargetMode="External"/><Relationship  Id="rId129" Type="http://schemas.openxmlformats.org/officeDocument/2006/relationships/hyperlink" Target="https://doi.org/10.1145/3749495" TargetMode="External"/><Relationship  Id="rId13" Type="http://schemas.openxmlformats.org/officeDocument/2006/relationships/hyperlink" Target="https://drive.google.com/open?id=1n8I-PHOrsEY-CcwwYVUB7GLBqZ6MrqDr" TargetMode="External"/><Relationship  Id="rId130" Type="http://schemas.openxmlformats.org/officeDocument/2006/relationships/hyperlink" Target="https://drive.google.com/open?id=15svG67bi_iFYKRbH_9ECj_AaiDvGnHgC" TargetMode="External"/><Relationship  Id="rId131" Type="http://schemas.openxmlformats.org/officeDocument/2006/relationships/hyperlink" Target="https://doi.org/10.1145/3749509" TargetMode="External"/><Relationship  Id="rId132" Type="http://schemas.openxmlformats.org/officeDocument/2006/relationships/hyperlink" Target="https://github.com/ZJU-wqx-2025/uniHAR" TargetMode="External"/><Relationship  Id="rId133" Type="http://schemas.openxmlformats.org/officeDocument/2006/relationships/hyperlink" Target="https://drive.google.com/open?id=1szuDiUHOwcxGn1tCcbdCxZV77ed175tb" TargetMode="External"/><Relationship  Id="rId134" Type="http://schemas.openxmlformats.org/officeDocument/2006/relationships/hyperlink" Target="https://doi.org/10.1145/3749478" TargetMode="External"/><Relationship  Id="rId135" Type="http://schemas.openxmlformats.org/officeDocument/2006/relationships/hyperlink" Target="https://drive.google.com/open?id=1nvwJTiPpk_jwuWHJPUXQkz_a2Uss1-gL" TargetMode="External"/><Relationship  Id="rId136" Type="http://schemas.openxmlformats.org/officeDocument/2006/relationships/hyperlink" Target="https://doi.org/10.1145/3749539" TargetMode="External"/><Relationship  Id="rId137" Type="http://schemas.openxmlformats.org/officeDocument/2006/relationships/hyperlink" Target="https://drive.google.com/open?id=1Zbobab-qfS8x3Zc8_WUO0uKPWi5-_aAm" TargetMode="External"/><Relationship  Id="rId138" Type="http://schemas.openxmlformats.org/officeDocument/2006/relationships/hyperlink" Target="https://doi.org/10.1145/3749465" TargetMode="External"/><Relationship  Id="rId139" Type="http://schemas.openxmlformats.org/officeDocument/2006/relationships/hyperlink" Target="https://github.com/asalekin-ubiquitouslab/HHISS_IMWUT" TargetMode="External"/><Relationship  Id="rId14" Type="http://schemas.openxmlformats.org/officeDocument/2006/relationships/hyperlink" Target="https://doi.org/10.1145/3749459" TargetMode="External"/><Relationship  Id="rId140" Type="http://schemas.openxmlformats.org/officeDocument/2006/relationships/hyperlink" Target="https://github.com/asalekin-ubiquitouslab/HHISS_IMWUT?tab=readme-ov-file" TargetMode="External"/><Relationship  Id="rId141" Type="http://schemas.openxmlformats.org/officeDocument/2006/relationships/hyperlink" Target="https://drive.google.com/open?id=1akIO0bUN1NeM_tA4CBCfBJ4x9PNvg5PR" TargetMode="External"/><Relationship  Id="rId142" Type="http://schemas.openxmlformats.org/officeDocument/2006/relationships/hyperlink" Target="https://doi.org/10.1145/3749545" TargetMode="External"/><Relationship  Id="rId143" Type="http://schemas.openxmlformats.org/officeDocument/2006/relationships/hyperlink" Target="https://github.com/MultiRepEyeVR/Through-the-Eyes-of-Emotion" TargetMode="External"/><Relationship  Id="rId144" Type="http://schemas.openxmlformats.org/officeDocument/2006/relationships/hyperlink" Target="https://drive.google.com/open?id=1jMQpX3Ic3gbMxu2I7qbJAMZ8oVog_lEp" TargetMode="External"/><Relationship  Id="rId145" Type="http://schemas.openxmlformats.org/officeDocument/2006/relationships/hyperlink" Target="https://doi.org/10.1145/3749512" TargetMode="External"/><Relationship  Id="rId146" Type="http://schemas.openxmlformats.org/officeDocument/2006/relationships/hyperlink" Target="https://drive.google.com/open?id=1iQTazRfZOJH7Sr5V1e6CVom4USPwX_Ma" TargetMode="External"/><Relationship  Id="rId147" Type="http://schemas.openxmlformats.org/officeDocument/2006/relationships/hyperlink" Target="https://doi.org/10.1145/3749551" TargetMode="External"/><Relationship  Id="rId148" Type="http://schemas.openxmlformats.org/officeDocument/2006/relationships/hyperlink" Target="https://github.com/GaigeY/FoRM" TargetMode="External"/><Relationship  Id="rId149" Type="http://schemas.openxmlformats.org/officeDocument/2006/relationships/hyperlink" Target="https://drive.google.com/open?id=1XKOiyly6YqB7D5dxmNyCxF_5AgOGZIz4" TargetMode="External"/><Relationship  Id="rId15" Type="http://schemas.openxmlformats.org/officeDocument/2006/relationships/hyperlink" Target="https://datashare.is.ed.ac.uk/handle/10283/3443" TargetMode="External"/><Relationship  Id="rId150" Type="http://schemas.openxmlformats.org/officeDocument/2006/relationships/hyperlink" Target="https://doi.org/10.1145/3749455" TargetMode="External"/><Relationship  Id="rId151" Type="http://schemas.openxmlformats.org/officeDocument/2006/relationships/hyperlink" Target="https://drive.google.com/open?id=15zt6OfAL_M6vhGC__ZmbKL89R6hK5zO7" TargetMode="External"/><Relationship  Id="rId152" Type="http://schemas.openxmlformats.org/officeDocument/2006/relationships/hyperlink" Target="https://drive.google.com/open?id=1Ybhg2MnNAEi0Doy4cLxAp52RzXshrIlm" TargetMode="External"/><Relationship  Id="rId153" Type="http://schemas.openxmlformats.org/officeDocument/2006/relationships/hyperlink" Target="https://doi.org/10.1145/3749496" TargetMode="External"/><Relationship  Id="rId154" Type="http://schemas.openxmlformats.org/officeDocument/2006/relationships/hyperlink" Target="https://github.com/Orienfish/SensorChat" TargetMode="External"/><Relationship  Id="rId155" Type="http://schemas.openxmlformats.org/officeDocument/2006/relationships/hyperlink" Target="https://github.com/benjamin-reichman/SensorQA" TargetMode="External"/><Relationship  Id="rId156" Type="http://schemas.openxmlformats.org/officeDocument/2006/relationships/hyperlink" Target="https://drive.google.com/open?id=1w2M1W0WXZED0Zjsjo-nUbqutpPzK2cSR" TargetMode="External"/><Relationship  Id="rId157" Type="http://schemas.openxmlformats.org/officeDocument/2006/relationships/hyperlink" Target="https://doi.org/10.1145/3749466" TargetMode="External"/><Relationship  Id="rId158" Type="http://schemas.openxmlformats.org/officeDocument/2006/relationships/hyperlink" Target="https://drive.google.com/open?id=18QGtHkjkH-gA9yJNozgVDx80s1sezuDA" TargetMode="External"/><Relationship  Id="rId159" Type="http://schemas.openxmlformats.org/officeDocument/2006/relationships/hyperlink" Target="https://doi.org/10.1145/3749510" TargetMode="External"/><Relationship  Id="rId16" Type="http://schemas.openxmlformats.org/officeDocument/2006/relationships/hyperlink" Target="https://drive.google.com/open?id=1NY-PwpNYXI5TvG2JP11wMToHHeMys6Ws" TargetMode="External"/><Relationship  Id="rId160" Type="http://schemas.openxmlformats.org/officeDocument/2006/relationships/hyperlink" Target="https://drive.google.com/open?id=1Rxs3edQ8uvDX8F1DWAe1dFtBb215Hwdh" TargetMode="External"/><Relationship  Id="rId161" Type="http://schemas.openxmlformats.org/officeDocument/2006/relationships/hyperlink" Target="https://doi.org/10.1145/3749462" TargetMode="External"/><Relationship  Id="rId162" Type="http://schemas.openxmlformats.org/officeDocument/2006/relationships/hyperlink" Target="https://github.com/HCC-ActiSense/KineticsSense-Dataset" TargetMode="External"/><Relationship  Id="rId163" Type="http://schemas.openxmlformats.org/officeDocument/2006/relationships/hyperlink" Target="https://drive.google.com/open?id=1rrCaPmM_yi47wt-fdpAGAoVojoY0vHpk" TargetMode="External"/><Relationship  Id="rId164" Type="http://schemas.openxmlformats.org/officeDocument/2006/relationships/hyperlink" Target="https://doi.org/10.1145/3749531" TargetMode="External"/><Relationship  Id="rId165" Type="http://schemas.openxmlformats.org/officeDocument/2006/relationships/hyperlink" Target="https://github.com/Synteraction-Lab/WSCoach?tab=readme-ov-file" TargetMode="External"/><Relationship  Id="rId166" Type="http://schemas.openxmlformats.org/officeDocument/2006/relationships/hyperlink" Target="https://osf.io/6vhwn/overview?view_only=489498d3ac2d4703a17475fc6ca65dfa" TargetMode="External"/><Relationship  Id="rId167" Type="http://schemas.openxmlformats.org/officeDocument/2006/relationships/hyperlink" Target="https://drive.google.com/open?id=12gqI2IEP2ZRaTJ_dpAxhY1te1xeQyhUa" TargetMode="External"/><Relationship  Id="rId168" Type="http://schemas.openxmlformats.org/officeDocument/2006/relationships/hyperlink" Target="https://doi.org/10.1145/3749488" TargetMode="External"/><Relationship  Id="rId169" Type="http://schemas.openxmlformats.org/officeDocument/2006/relationships/hyperlink" Target="https://www.climatiq.io/" TargetMode="External"/><Relationship  Id="rId17" Type="http://schemas.openxmlformats.org/officeDocument/2006/relationships/hyperlink" Target="https://doi.org/10.1145/3749503" TargetMode="External"/><Relationship  Id="rId170" Type="http://schemas.openxmlformats.org/officeDocument/2006/relationships/hyperlink" Target="https://drive.google.com/open?id=1q3rx7qcGWfBPojZNhEKAH-cBltoWcuGg" TargetMode="External"/><Relationship  Id="rId171" Type="http://schemas.openxmlformats.org/officeDocument/2006/relationships/hyperlink" Target="https://doi.org/10.1145/3749535" TargetMode="External"/><Relationship  Id="rId172" Type="http://schemas.openxmlformats.org/officeDocument/2006/relationships/hyperlink" Target="https://github.com/cake-lab/CleAR" TargetMode="External"/><Relationship  Id="rId173" Type="http://schemas.openxmlformats.org/officeDocument/2006/relationships/hyperlink" Target="https://drive.google.com/open?id=1Gcl1AinKeFoeCKzOqnKhlQmoXP62lx2A" TargetMode="External"/><Relationship  Id="rId174" Type="http://schemas.openxmlformats.org/officeDocument/2006/relationships/hyperlink" Target="https://doi.org/10.1145/3749507" TargetMode="External"/><Relationship  Id="rId175" Type="http://schemas.openxmlformats.org/officeDocument/2006/relationships/hyperlink" Target="https://github.com/jzheng23/Timer" TargetMode="External"/><Relationship  Id="rId176" Type="http://schemas.openxmlformats.org/officeDocument/2006/relationships/hyperlink" Target="https://osf.io/5fr9e" TargetMode="External"/><Relationship  Id="rId177" Type="http://schemas.openxmlformats.org/officeDocument/2006/relationships/hyperlink" Target="https://drive.google.com/open?id=1ecmC85c_6lwjgWR1_Ebuch0_jUSv9qHr" TargetMode="External"/><Relationship  Id="rId178" Type="http://schemas.openxmlformats.org/officeDocument/2006/relationships/hyperlink" Target="https://doi.org/10.1145/3749492" TargetMode="External"/><Relationship  Id="rId179" Type="http://schemas.openxmlformats.org/officeDocument/2006/relationships/hyperlink" Target="https://drive.google.com/open?id=1S_JV_SbPDr3JnYY7f93Y6Ymm1P77yb8F" TargetMode="External"/><Relationship  Id="rId18" Type="http://schemas.openxmlformats.org/officeDocument/2006/relationships/hyperlink" Target="https://drive.google.com/open?id=18wqUFCZNtThpiX9nZDTWrXEG2mKisQjy" TargetMode="External"/><Relationship  Id="rId180" Type="http://schemas.openxmlformats.org/officeDocument/2006/relationships/hyperlink" Target="https://doi.org/10.1145/3749511" TargetMode="External"/><Relationship  Id="rId181" Type="http://schemas.openxmlformats.org/officeDocument/2006/relationships/hyperlink" Target="https://github.com/m70040005/MASTER-A-Multi-modal-Foundation-Model-For-Human-Activity-Recognition" TargetMode="External"/><Relationship  Id="rId182" Type="http://schemas.openxmlformats.org/officeDocument/2006/relationships/hyperlink" Target="https://osf.io/fbmxy" TargetMode="External"/><Relationship  Id="rId183" Type="http://schemas.openxmlformats.org/officeDocument/2006/relationships/table" Target="../tables/table2.xml"/><Relationship  Id="rId19" Type="http://schemas.openxmlformats.org/officeDocument/2006/relationships/hyperlink" Target="https://doi.org/10.1145/3749474" TargetMode="External"/><Relationship  Id="rId2" Type="http://schemas.openxmlformats.org/officeDocument/2006/relationships/hyperlink" Target="https://doi.org/10.1145/3749490" TargetMode="External"/><Relationship  Id="rId20" Type="http://schemas.openxmlformats.org/officeDocument/2006/relationships/hyperlink" Target="https://github.com/UbiWell/GLOSS" TargetMode="External"/><Relationship  Id="rId21" Type="http://schemas.openxmlformats.org/officeDocument/2006/relationships/hyperlink" Target="https://drive.google.com/open?id=1ldeNNRkGEuYPIJPwNQF5lWMLkb4ETtZE" TargetMode="External"/><Relationship  Id="rId22" Type="http://schemas.openxmlformats.org/officeDocument/2006/relationships/hyperlink" Target="https://doi.org/10.1145/3749502" TargetMode="External"/><Relationship  Id="rId23" Type="http://schemas.openxmlformats.org/officeDocument/2006/relationships/hyperlink" Target="https://drive.google.com/open?id=1l3HuulSjgoB_RcjAdqXW6wR-tfOPe4O7" TargetMode="External"/><Relationship  Id="rId24" Type="http://schemas.openxmlformats.org/officeDocument/2006/relationships/hyperlink" Target="https://doi.org/10.1145/3749467" TargetMode="External"/><Relationship  Id="rId25" Type="http://schemas.openxmlformats.org/officeDocument/2006/relationships/hyperlink" Target="https://archive.ics.uci.edu/dataset/240/human+activity+recognition+using+smartphones" TargetMode="External"/><Relationship  Id="rId26" Type="http://schemas.openxmlformats.org/officeDocument/2006/relationships/hyperlink" Target="https://drive.google.com/open?id=1A5gnxFTrIjrgpz7zDp7oART1kEOXrftr" TargetMode="External"/><Relationship  Id="rId27" Type="http://schemas.openxmlformats.org/officeDocument/2006/relationships/hyperlink" Target="https://doi.org/10.1145/3749489" TargetMode="External"/><Relationship  Id="rId28" Type="http://schemas.openxmlformats.org/officeDocument/2006/relationships/hyperlink" Target="https://drive.google.com/open?id=1x4yNuU3jQIs4dfDHTD_V9CN9cKFmSoWr" TargetMode="External"/><Relationship  Id="rId29" Type="http://schemas.openxmlformats.org/officeDocument/2006/relationships/hyperlink" Target="https://doi.org/10.1145/3749517" TargetMode="External"/><Relationship  Id="rId3" Type="http://schemas.openxmlformats.org/officeDocument/2006/relationships/hyperlink" Target="https://drive.google.com/open?id=16ppfrtNWTYZQiGmVq01g1547vTHwG6u1" TargetMode="External"/><Relationship  Id="rId30" Type="http://schemas.openxmlformats.org/officeDocument/2006/relationships/hyperlink" Target="https://drive.google.com/open?id=1SRGDRk78uCOs3T_UOQ_5QIlR9b2gb0vS" TargetMode="External"/><Relationship  Id="rId31" Type="http://schemas.openxmlformats.org/officeDocument/2006/relationships/hyperlink" Target="https://doi.org/10.1145/3749504" TargetMode="External"/><Relationship  Id="rId32" Type="http://schemas.openxmlformats.org/officeDocument/2006/relationships/hyperlink" Target="http://1www.kaggle.com/datasets/mmpencil/mmpencil-dataset" TargetMode="External"/><Relationship  Id="rId33" Type="http://schemas.openxmlformats.org/officeDocument/2006/relationships/hyperlink" Target="https://drive.google.com/open?id=1zn4jRfHciLIf98uSHnQOttwGlcZOT18o" TargetMode="External"/><Relationship  Id="rId34" Type="http://schemas.openxmlformats.org/officeDocument/2006/relationships/hyperlink" Target="https://doi.org/10.1145/3749457" TargetMode="External"/><Relationship  Id="rId35" Type="http://schemas.openxmlformats.org/officeDocument/2006/relationships/hyperlink" Target="https://drive.google.com/open?id=1w0Cq_J6ae2f7_PQKseXgieZWGLwjL6Gj" TargetMode="External"/><Relationship  Id="rId36" Type="http://schemas.openxmlformats.org/officeDocument/2006/relationships/hyperlink" Target="https://doi.org/10.1145/3749552" TargetMode="External"/><Relationship  Id="rId37" Type="http://schemas.openxmlformats.org/officeDocument/2006/relationships/hyperlink" Target="https://huggingface.co/RouteLLM-Dataset" TargetMode="External"/><Relationship  Id="rId38" Type="http://schemas.openxmlformats.org/officeDocument/2006/relationships/hyperlink" Target="https://drive.google.com/open?id=1g2VXUz6rL1hw8PN4HGwyazOW4hpJxbpB" TargetMode="External"/><Relationship  Id="rId39" Type="http://schemas.openxmlformats.org/officeDocument/2006/relationships/hyperlink" Target="https://doi.org/10.1145/3749477" TargetMode="External"/><Relationship  Id="rId4" Type="http://schemas.openxmlformats.org/officeDocument/2006/relationships/hyperlink" Target="https://doi.org/10.1145/3749458" TargetMode="External"/><Relationship  Id="rId40" Type="http://schemas.openxmlformats.org/officeDocument/2006/relationships/hyperlink" Target="https://drive.google.com/open?id=1NoZj6M4bVuNWL07O7FFAWaoJ6PT5cKmY" TargetMode="External"/><Relationship  Id="rId41" Type="http://schemas.openxmlformats.org/officeDocument/2006/relationships/hyperlink" Target="https://doi.org/10.1145/3749980" TargetMode="External"/><Relationship  Id="rId42" Type="http://schemas.openxmlformats.org/officeDocument/2006/relationships/hyperlink" Target="https://anonymous.4open.science/r/HT-OpenSource-10C3/" TargetMode="External"/><Relationship  Id="rId43" Type="http://schemas.openxmlformats.org/officeDocument/2006/relationships/hyperlink" Target="https://www.kaggle.com/datasets/miracle0723/ht-dataset" TargetMode="External"/><Relationship  Id="rId44" Type="http://schemas.openxmlformats.org/officeDocument/2006/relationships/hyperlink" Target="https://drive.google.com/open?id=1cvQ6Bmwv8acIlh-QZ6U83FSoVcWgtGJp" TargetMode="External"/><Relationship  Id="rId45" Type="http://schemas.openxmlformats.org/officeDocument/2006/relationships/hyperlink" Target="https://doi.org/10.1145/3749470" TargetMode="External"/><Relationship  Id="rId46" Type="http://schemas.openxmlformats.org/officeDocument/2006/relationships/hyperlink" Target="https://drive.google.com/drive/folders/1jJQgOuB_yFYtod44AE5TEXKQXsivVbmj?usp=sharing." TargetMode="External"/><Relationship  Id="rId47" Type="http://schemas.openxmlformats.org/officeDocument/2006/relationships/hyperlink" Target="https://drive.google.com/open?id=1kNN_w6mymi20pqEvMjSA1BpEDu0qgzV-" TargetMode="External"/><Relationship  Id="rId48" Type="http://schemas.openxmlformats.org/officeDocument/2006/relationships/hyperlink" Target="https://doi.org/10.1145/3749957" TargetMode="External"/><Relationship  Id="rId49" Type="http://schemas.openxmlformats.org/officeDocument/2006/relationships/hyperlink" Target="https://drive.google.com/open?id=1rwqi7uTlKjK8RZC-CVuMnFrEeUCBdPKf" TargetMode="External"/><Relationship  Id="rId5" Type="http://schemas.openxmlformats.org/officeDocument/2006/relationships/hyperlink" Target="https://drive.google.com/open?id=1MBGrKsHbttcfIckSnfiyqIqc7iyXuY6F" TargetMode="External"/><Relationship  Id="rId50" Type="http://schemas.openxmlformats.org/officeDocument/2006/relationships/hyperlink" Target="https://github.com/OpenGVLab/vinci" TargetMode="External"/><Relationship  Id="rId51" Type="http://schemas.openxmlformats.org/officeDocument/2006/relationships/hyperlink" Target="https://drive.google.com/open?id=1HC8YacSAWt4zPLsgZyscLngehtNk5CB2" TargetMode="External"/><Relationship  Id="rId52" Type="http://schemas.openxmlformats.org/officeDocument/2006/relationships/hyperlink" Target="https://drive.google.com/open?id=1A72pOh3yZB3gr5xMre7AwsdIOtelPx0L" TargetMode="External"/><Relationship  Id="rId53" Type="http://schemas.openxmlformats.org/officeDocument/2006/relationships/hyperlink" Target="https://doi.org/10.1145/3749540" TargetMode="External"/><Relationship  Id="rId54" Type="http://schemas.openxmlformats.org/officeDocument/2006/relationships/hyperlink" Target="https://drive.google.com/open?id=1fWbV__ytyyHafxwHOzHvYaPXm6wYmu7b" TargetMode="External"/><Relationship  Id="rId55" Type="http://schemas.openxmlformats.org/officeDocument/2006/relationships/hyperlink" Target="https://doi.org/10.1145/3749518" TargetMode="External"/><Relationship  Id="rId56" Type="http://schemas.openxmlformats.org/officeDocument/2006/relationships/hyperlink" Target="https://drive.google.com/open?id=17lKDy3zTbtt91kJEwdFfwcLSvV27vs-a" TargetMode="External"/><Relationship  Id="rId57" Type="http://schemas.openxmlformats.org/officeDocument/2006/relationships/hyperlink" Target="https://doi.org/10.1145/3749501" TargetMode="External"/><Relationship  Id="rId58" Type="http://schemas.openxmlformats.org/officeDocument/2006/relationships/hyperlink" Target="https://github.com/ADMSCentre/SenseSeek-Dataset-code" TargetMode="External"/><Relationship  Id="rId59" Type="http://schemas.openxmlformats.org/officeDocument/2006/relationships/hyperlink" Target="https://osf.io/waunb/?view_only=94756f9d2c7a49e094ae42d494c9516a" TargetMode="External"/><Relationship  Id="rId6" Type="http://schemas.openxmlformats.org/officeDocument/2006/relationships/hyperlink" Target="https://doi.org/10.1145/3749533" TargetMode="External"/><Relationship  Id="rId60" Type="http://schemas.openxmlformats.org/officeDocument/2006/relationships/hyperlink" Target="https://drive.google.com/open?id=1u5M8BqiG6uhb8IMVwHUsIc-itYcWruD8" TargetMode="External"/><Relationship  Id="rId61" Type="http://schemas.openxmlformats.org/officeDocument/2006/relationships/hyperlink" Target="https://doi.org/10.1145/3749548" TargetMode="External"/><Relationship  Id="rId62" Type="http://schemas.openxmlformats.org/officeDocument/2006/relationships/hyperlink" Target="https://drive.google.com/open?id=1xOGyCTLlYVg3lbZ2U2dB7ZVhfdMOgGJE" TargetMode="External"/><Relationship  Id="rId63" Type="http://schemas.openxmlformats.org/officeDocument/2006/relationships/hyperlink" Target="https://doi.org/10.1145/3749473" TargetMode="External"/><Relationship  Id="rId64" Type="http://schemas.openxmlformats.org/officeDocument/2006/relationships/hyperlink" Target="https://drive.google.com/open?id=15WLeEkljursVqgopFma9cFbjPXCfTxtS" TargetMode="External"/><Relationship  Id="rId65" Type="http://schemas.openxmlformats.org/officeDocument/2006/relationships/hyperlink" Target="https://doi.org/10.1145/3749498" TargetMode="External"/><Relationship  Id="rId66" Type="http://schemas.openxmlformats.org/officeDocument/2006/relationships/hyperlink" Target="https://bashlab.github.io/meditite_project/" TargetMode="External"/><Relationship  Id="rId67" Type="http://schemas.openxmlformats.org/officeDocument/2006/relationships/hyperlink" Target="https://drive.google.com/open?id=1_nt7lmsBpj-KJmvyDvnAxLQ27k_wLzob" TargetMode="External"/><Relationship  Id="rId68" Type="http://schemas.openxmlformats.org/officeDocument/2006/relationships/hyperlink" Target="https://doi.org/10.1145/3749485" TargetMode="External"/><Relationship  Id="rId69" Type="http://schemas.openxmlformats.org/officeDocument/2006/relationships/hyperlink" Target="https://drive.google.com/open?id=1ARTBhBYi0ZG3DoIRPffKoi1dDnRzYJ8c" TargetMode="External"/><Relationship  Id="rId7" Type="http://schemas.openxmlformats.org/officeDocument/2006/relationships/hyperlink" Target="https://drive.google.com/open?id=15dI1vwSwrkxZU30Fr3gzfiaUY5eiBBRa" TargetMode="External"/><Relationship  Id="rId70" Type="http://schemas.openxmlformats.org/officeDocument/2006/relationships/hyperlink" Target="https://doi.org/10.1145/3749464" TargetMode="External"/><Relationship  Id="rId71" Type="http://schemas.openxmlformats.org/officeDocument/2006/relationships/hyperlink" Target="https://drive.google.com/open?id=112wVfi33iguQHIqx60kR0hOHfBJ-e0Zm" TargetMode="External"/><Relationship  Id="rId72" Type="http://schemas.openxmlformats.org/officeDocument/2006/relationships/hyperlink" Target="https://github.com/aiotgroup/XRFV2" TargetMode="External"/><Relationship  Id="rId73" Type="http://schemas.openxmlformats.org/officeDocument/2006/relationships/hyperlink" Target="https://drive.google.com/open?id=1UEL7_H6ZP09GlFM6SluCj6tcrHotf7oS" TargetMode="External"/><Relationship  Id="rId74" Type="http://schemas.openxmlformats.org/officeDocument/2006/relationships/hyperlink" Target="https://github.com/cjlisalee/Grab-n-Go_Data;https://doi.org/10.7298/7kbd-vv75" TargetMode="External"/><Relationship  Id="rId75" Type="http://schemas.openxmlformats.org/officeDocument/2006/relationships/hyperlink" Target="https://drive.google.com/open?id=1nctWUynx0tN7z2-GRo0MZxgDNEEpnBh7" TargetMode="External"/><Relationship  Id="rId76" Type="http://schemas.openxmlformats.org/officeDocument/2006/relationships/hyperlink" Target="https://drive.google.com/open?id=1id4bIwTrRX1nLF56tU_qfk2MaoZDeBEt" TargetMode="External"/><Relationship  Id="rId77" Type="http://schemas.openxmlformats.org/officeDocument/2006/relationships/hyperlink" Target="https://doi.org/10.1145/3749508" TargetMode="External"/><Relationship  Id="rId78" Type="http://schemas.openxmlformats.org/officeDocument/2006/relationships/hyperlink" Target="https://github.com/UbiWell/vital-insight-public-repo" TargetMode="External"/><Relationship  Id="rId79" Type="http://schemas.openxmlformats.org/officeDocument/2006/relationships/hyperlink" Target="https://drive.google.com/open?id=1mT206SvZh-540Hy404PICqAoGaVV0lQj" TargetMode="External"/><Relationship  Id="rId8" Type="http://schemas.openxmlformats.org/officeDocument/2006/relationships/hyperlink" Target="https://doi.org/10.1145/3749538" TargetMode="External"/><Relationship  Id="rId80" Type="http://schemas.openxmlformats.org/officeDocument/2006/relationships/hyperlink" Target="https://drive.google.com/open?id=1FtpQzVM5Ax_0MfwL-Wuczu1uT3QyzvEH" TargetMode="External"/><Relationship  Id="rId81" Type="http://schemas.openxmlformats.org/officeDocument/2006/relationships/hyperlink" Target="https://drive.google.com/open?id=1HVpVzu-RM8CFe1X9K52xS6VmRI8xFMsZ" TargetMode="External"/><Relationship  Id="rId82" Type="http://schemas.openxmlformats.org/officeDocument/2006/relationships/hyperlink" Target="https://drive.google.com/open?id=1AF_HF1oOG_iSiF0bqtMGYfZVwfK21ddR" TargetMode="External"/><Relationship  Id="rId83" Type="http://schemas.openxmlformats.org/officeDocument/2006/relationships/hyperlink" Target="https://osf.io/g2457/?view_only=5212f234d975428693a8f0b74ad847ab" TargetMode="External"/><Relationship  Id="rId84" Type="http://schemas.openxmlformats.org/officeDocument/2006/relationships/hyperlink" Target="https://drive.google.com/open?id=1yXY4rXW3BRkUrAAPgd-Z6ylqAJIxFkwv" TargetMode="External"/><Relationship  Id="rId85" Type="http://schemas.openxmlformats.org/officeDocument/2006/relationships/hyperlink" Target="https://drive.google.com/open?id=1WJ2MdENrJTYTLhh2gOASw5pZ73_WzMfC" TargetMode="External"/><Relationship  Id="rId86" Type="http://schemas.openxmlformats.org/officeDocument/2006/relationships/hyperlink" Target="https://drive.google.com/open?id=1CNWCgKJpoapm5aA4XN0DWTThgKyGWsMb" TargetMode="External"/><Relationship  Id="rId87" Type="http://schemas.openxmlformats.org/officeDocument/2006/relationships/hyperlink" Target="https://drive.google.com/open?id=1mJymXeFa85UJB4bkbJzFSFJBIyXMtrX2" TargetMode="External"/><Relationship  Id="rId88" Type="http://schemas.openxmlformats.org/officeDocument/2006/relationships/hyperlink" Target="https://drive.google.com/open?id=1SZu8vvaA7pRbgoh68u-jpoijXmtHJrLh" TargetMode="External"/><Relationship  Id="rId89" Type="http://schemas.openxmlformats.org/officeDocument/2006/relationships/hyperlink" Target="https://drive.google.com/open?id=10zdJEHRC0WUX_bQYdllHP0MX4-sRu3Id" TargetMode="External"/><Relationship  Id="rId9" Type="http://schemas.openxmlformats.org/officeDocument/2006/relationships/hyperlink" Target="https://drive.google.com/open?id=1frLTHWi0svwEj2cj28pjYCQ41FfNb6WO" TargetMode="External"/><Relationship  Id="rId90" Type="http://schemas.openxmlformats.org/officeDocument/2006/relationships/hyperlink" Target="https://drive.google.com/open?id=17lhQeF0MfI7kn6ZyXysWLG8En4diluvL" TargetMode="External"/><Relationship  Id="rId91" Type="http://schemas.openxmlformats.org/officeDocument/2006/relationships/hyperlink" Target="https://drive.google.com/open?id=1kGcqwKEu1RYJYZ3J18yjog3apsIB3Kvt" TargetMode="External"/><Relationship  Id="rId92" Type="http://schemas.openxmlformats.org/officeDocument/2006/relationships/hyperlink" Target="https://drive.google.com/open?id=1kqFaPYcEtui07CJCh3YH2xYCNFU4nEYH" TargetMode="External"/><Relationship  Id="rId93" Type="http://schemas.openxmlformats.org/officeDocument/2006/relationships/hyperlink" Target="https://drive.google.com/open?id=1yCVK1QZtDs4nqpWXvx7PJNORhCH84pKc" TargetMode="External"/><Relationship  Id="rId94" Type="http://schemas.openxmlformats.org/officeDocument/2006/relationships/hyperlink" Target="https://github.com/aiot-lab/ASE" TargetMode="External"/><Relationship  Id="rId95" Type="http://schemas.openxmlformats.org/officeDocument/2006/relationships/hyperlink" Target="https://drive.google.com/open?id=1_NG80XujfmsCu6tuiOqwogIA-CbIWLNX" TargetMode="External"/><Relationship  Id="rId96" Type="http://schemas.openxmlformats.org/officeDocument/2006/relationships/hyperlink" Target="https://drive.google.com/open?id=1YFsrkJPtnQ-bp6tsDDuS5JWDgpeeMh3e" TargetMode="External"/><Relationship  Id="rId97" Type="http://schemas.openxmlformats.org/officeDocument/2006/relationships/hyperlink" Target="https://anonymous.4open.science/r/NavGraph-6C86" TargetMode="External"/><Relationship  Id="rId98" Type="http://schemas.openxmlformats.org/officeDocument/2006/relationships/hyperlink" Target="https://drive.google.com/open?id=1TMFAMtjoIHzYwu6FLGg3RavKvYCaVQh8" TargetMode="External"/><Relationship  Id="rId99" Type="http://schemas.openxmlformats.org/officeDocument/2006/relationships/hyperlink" Target="https://drive.google.com/open?id=1vTL1KNPDWp32Xh9ZZh0hJY3dc9YWeOOx" TargetMode="External"/></Relationships>
</file>

<file path=xl/worksheets/_rels/sheet3.xml.rels><?xml version="1.0" encoding="UTF-8" standalone="yes"?><Relationships xmlns="http://schemas.openxmlformats.org/package/2006/relationships"><Relationship  Id="rId1" Type="http://schemas.openxmlformats.org/officeDocument/2006/relationships/hyperlink" Target="https://drive.google.com/open?id=1DleJffGsJKlyNFgLO_HCNrZC1KERiYBq" TargetMode="External"/><Relationship  Id="rId10" Type="http://schemas.openxmlformats.org/officeDocument/2006/relationships/hyperlink" Target="https://www.kaggle.com/datasets/hanyoufang/dcsnn-semg-datasets" TargetMode="External"/><Relationship  Id="rId11" Type="http://schemas.openxmlformats.org/officeDocument/2006/relationships/hyperlink" Target="https://drive.google.com/open?id=1pZ1tBa9fW4S1b-MQo3RNKN1CSCbCue9W" TargetMode="External"/><Relationship  Id="rId12" Type="http://schemas.openxmlformats.org/officeDocument/2006/relationships/hyperlink" Target="https://drive.google.com/open?id=1lGcU0UVRbyMu4ZEk7WFHVmEJJdh-QU2H" TargetMode="External"/><Relationship  Id="rId13" Type="http://schemas.openxmlformats.org/officeDocument/2006/relationships/hyperlink" Target="https://raspberryshake.org/data-center/" TargetMode="External"/><Relationship  Id="rId14" Type="http://schemas.openxmlformats.org/officeDocument/2006/relationships/hyperlink" Target="https://drive.google.com/open?id=1dJeQ6hjQz_cBaYdYqenCvGpBLt_HU78t" TargetMode="External"/><Relationship  Id="rId15" Type="http://schemas.openxmlformats.org/officeDocument/2006/relationships/hyperlink" Target="https://github.com/ubiquit0us/h2opulse" TargetMode="External"/><Relationship  Id="rId16" Type="http://schemas.openxmlformats.org/officeDocument/2006/relationships/hyperlink" Target="https://drive.google.com/open?id=1AutMg31nCX2aDD0cHk9I1dR41KmuurrN" TargetMode="External"/><Relationship  Id="rId17" Type="http://schemas.openxmlformats.org/officeDocument/2006/relationships/hyperlink" Target="https://github.com/Sawinder-Kaur/CRoP_IMWUT" TargetMode="External"/><Relationship  Id="rId18" Type="http://schemas.openxmlformats.org/officeDocument/2006/relationships/hyperlink" Target="https://drive.google.com/open?id=1gz4oiklwvBC8FkjcApzxO1dUpy9Yo6_5" TargetMode="External"/><Relationship  Id="rId19" Type="http://schemas.openxmlformats.org/officeDocument/2006/relationships/hyperlink" Target="https://drive.google.com/open?id=12tEemHvjZhLhCLwKyml4qBjPiTOyzc2W" TargetMode="External"/><Relationship  Id="rId2" Type="http://schemas.openxmlformats.org/officeDocument/2006/relationships/hyperlink" Target="https://github.com/weiserlab/AudioCast" TargetMode="External"/><Relationship  Id="rId20" Type="http://schemas.openxmlformats.org/officeDocument/2006/relationships/hyperlink" Target="https://drive.google.com/open?id=1qLyTVrUqTgv5cRaKZXqBy0MLAbhKEQcx" TargetMode="External"/><Relationship  Id="rId21" Type="http://schemas.openxmlformats.org/officeDocument/2006/relationships/hyperlink" Target="https://github.com/IMWUT-LEGO/LEGO" TargetMode="External"/><Relationship  Id="rId22" Type="http://schemas.openxmlformats.org/officeDocument/2006/relationships/hyperlink" Target="https://drive.google.com/open?id=13hqqKw2e36W9j3L-QJvrgbESm9E7aBoR" TargetMode="External"/><Relationship  Id="rId23" Type="http://schemas.openxmlformats.org/officeDocument/2006/relationships/hyperlink" Target="https://drive.google.com/open?id=1KO6EHFVrrMM6dR1nN_qKQcGL0RJn0qSA" TargetMode="External"/><Relationship  Id="rId24" Type="http://schemas.openxmlformats.org/officeDocument/2006/relationships/hyperlink" Target="https://github.com/Columbia-ICSL/SoundTrackDB." TargetMode="External"/><Relationship  Id="rId25" Type="http://schemas.openxmlformats.org/officeDocument/2006/relationships/hyperlink" Target="https://drive.google.com/open?id=1zkTeQLS1Ahb-g1DfG9KTf0MfKo8J3RS5" TargetMode="External"/><Relationship  Id="rId26" Type="http://schemas.openxmlformats.org/officeDocument/2006/relationships/hyperlink" Target="https://drive.google.com/open?id=1lPl8xahHnyGrrHRDCUpVFgOqGUlob8R-" TargetMode="External"/><Relationship  Id="rId27" Type="http://schemas.openxmlformats.org/officeDocument/2006/relationships/hyperlink" Target="https://drive.google.com/open?id=10-zBGAeXXY_UbbUox2g5r8lgT7ewyjS1" TargetMode="External"/><Relationship  Id="rId28" Type="http://schemas.openxmlformats.org/officeDocument/2006/relationships/hyperlink" Target="https://github.com/microsoft/BYOeB" TargetMode="External"/><Relationship  Id="rId29" Type="http://schemas.openxmlformats.org/officeDocument/2006/relationships/hyperlink" Target="https://drive.google.com/open?id=1KwXFJh0devJG293SSClYeo2xXSqX1pN2" TargetMode="External"/><Relationship  Id="rId3" Type="http://schemas.openxmlformats.org/officeDocument/2006/relationships/hyperlink" Target="https://drive.google.com/open?id=1UrrdW4igYcUx6UD5f4ofMW5b3OmghWNX" TargetMode="External"/><Relationship  Id="rId30" Type="http://schemas.openxmlformats.org/officeDocument/2006/relationships/hyperlink" Target="https://github.com/lalasray/TxP" TargetMode="External"/><Relationship  Id="rId31" Type="http://schemas.openxmlformats.org/officeDocument/2006/relationships/hyperlink" Target="https://drive.google.com/open?id=17IJa1pPzBKSfzXKYrB_cpXn3jETdaOcT" TargetMode="External"/><Relationship  Id="rId32" Type="http://schemas.openxmlformats.org/officeDocument/2006/relationships/hyperlink" Target="https://drive.google.com/open?id=1cLZpSXjO6nY-As3maGG50EsEM0akp8YQ" TargetMode="External"/><Relationship  Id="rId33" Type="http://schemas.openxmlformats.org/officeDocument/2006/relationships/hyperlink" Target="https://drive.google.com/open?id=1pGQgz4fimzq7c1hKSa6nwu8lyGOVs41L" TargetMode="External"/><Relationship  Id="rId34" Type="http://schemas.openxmlformats.org/officeDocument/2006/relationships/hyperlink" Target="https://drive.google.com/open?id=1E1rbkr20YPsgYT7skcBFpix1DP-ZDNV0" TargetMode="External"/><Relationship  Id="rId35" Type="http://schemas.openxmlformats.org/officeDocument/2006/relationships/hyperlink" Target="https://github.com/BenSouchet/barcode-datasets," TargetMode="External"/><Relationship  Id="rId36" Type="http://schemas.openxmlformats.org/officeDocument/2006/relationships/hyperlink" Target="https://drive.google.com/open?id=13XJILWRzl6Gy7zVG4OvfQe-3O9wQfZZR" TargetMode="External"/><Relationship  Id="rId37" Type="http://schemas.openxmlformats.org/officeDocument/2006/relationships/hyperlink" Target="https://proceedings.neurips.cc/paper_files/paper/2019/file/f63f65b503e22cb970527f23c9ad7db1-Paper.pdf" TargetMode="External"/><Relationship  Id="rId38" Type="http://schemas.openxmlformats.org/officeDocument/2006/relationships/hyperlink" Target="https://drive.google.com/open?id=11f46qUkH_Y-6SWgC6D3r-lA3LDPptVHK" TargetMode="External"/><Relationship  Id="rId39" Type="http://schemas.openxmlformats.org/officeDocument/2006/relationships/hyperlink" Target="https://drive.google.com/open?id=1TdosMPHx8oPCYsE0e2RUnSj_v_TcLcRa" TargetMode="External"/><Relationship  Id="rId4" Type="http://schemas.openxmlformats.org/officeDocument/2006/relationships/hyperlink" Target="https://drive.google.com/open?id=1IkNeGycU4m6MBpXSF0mINkiSpXVeSxt5" TargetMode="External"/><Relationship  Id="rId40" Type="http://schemas.openxmlformats.org/officeDocument/2006/relationships/hyperlink" Target="https://drive.google.com/open?id=190JlxHuGQb8FCXPQvu8q1ZVwQdb8FZ-R" TargetMode="External"/><Relationship  Id="rId41" Type="http://schemas.openxmlformats.org/officeDocument/2006/relationships/hyperlink" Target="https://drive.google.com/open?id=1rqGqtBPYO2AVdlRckLAqKtmOQKVG9Mwg" TargetMode="External"/><Relationship  Id="rId42" Type="http://schemas.openxmlformats.org/officeDocument/2006/relationships/hyperlink" Target="https://drive.google.com/open?id=1TtiMCH9hsB3mu2X_gW9s7xKvf0cLPfpE" TargetMode="External"/><Relationship  Id="rId43" Type="http://schemas.openxmlformats.org/officeDocument/2006/relationships/hyperlink" Target="https://drive.google.com/open?id=1kut0L7eI3WWyCTlwGp1ddycoo053LcOl" TargetMode="External"/><Relationship  Id="rId44" Type="http://schemas.openxmlformats.org/officeDocument/2006/relationships/hyperlink" Target="https://doi.org/10.1145/3729491" TargetMode="External"/><Relationship  Id="rId45" Type="http://schemas.openxmlformats.org/officeDocument/2006/relationships/hyperlink" Target="https://drive.google.com/open?id=15iIjLuDujtILo28pz1kcdo5AUArV7KFW" TargetMode="External"/><Relationship  Id="rId46" Type="http://schemas.openxmlformats.org/officeDocument/2006/relationships/hyperlink" Target="https://doi.org/10.1145/3729488" TargetMode="External"/><Relationship  Id="rId47" Type="http://schemas.openxmlformats.org/officeDocument/2006/relationships/hyperlink" Target="https://drive.google.com/open?id=1tByArVYT961AJreHG_fRHs7V7aQKA0Sh" TargetMode="External"/><Relationship  Id="rId48" Type="http://schemas.openxmlformats.org/officeDocument/2006/relationships/hyperlink" Target="https://doi.org/10.1145/3729465" TargetMode="External"/><Relationship  Id="rId49" Type="http://schemas.openxmlformats.org/officeDocument/2006/relationships/hyperlink" Target="https://drive.google.com/open?id=1qZXCgd7HZIL06dGq1jRRrQ-SBiU4vOT4" TargetMode="External"/><Relationship  Id="rId5" Type="http://schemas.openxmlformats.org/officeDocument/2006/relationships/hyperlink" Target="https://drive.google.com/open?id=1u1xX5pr9l5htbKiEbybRrczbFttC3I4U" TargetMode="External"/><Relationship  Id="rId50" Type="http://schemas.openxmlformats.org/officeDocument/2006/relationships/hyperlink" Target="https://doi.org/10.1145/3729462" TargetMode="External"/><Relationship  Id="rId51" Type="http://schemas.openxmlformats.org/officeDocument/2006/relationships/hyperlink" Target="https://github.com/aiot-lab/USpeech/" TargetMode="External"/><Relationship  Id="rId52" Type="http://schemas.openxmlformats.org/officeDocument/2006/relationships/hyperlink" Target="https://keithito.com/LJ-Speech-Dataset/" TargetMode="External"/><Relationship  Id="rId53" Type="http://schemas.openxmlformats.org/officeDocument/2006/relationships/hyperlink" Target="https://drive.google.com/open?id=1mq7YRbyIuFXDWK3Y11ezu2ooLKxRzPfV" TargetMode="External"/><Relationship  Id="rId54" Type="http://schemas.openxmlformats.org/officeDocument/2006/relationships/hyperlink" Target="https://doi.org/10.1145/3729469" TargetMode="External"/><Relationship  Id="rId55" Type="http://schemas.openxmlformats.org/officeDocument/2006/relationships/hyperlink" Target="https://github.com/kuangyuan-cmu/WindDancer" TargetMode="External"/><Relationship  Id="rId56" Type="http://schemas.openxmlformats.org/officeDocument/2006/relationships/hyperlink" Target="https://drive.google.com/open?id=1QV1mNBAnKihlpWhxscwq-j2YWPvCEdGt" TargetMode="External"/><Relationship  Id="rId57" Type="http://schemas.openxmlformats.org/officeDocument/2006/relationships/hyperlink" Target="https://doi.org/10.1145/3729478" TargetMode="External"/><Relationship  Id="rId58" Type="http://schemas.openxmlformats.org/officeDocument/2006/relationships/hyperlink" Target="https://drive.google.com/open?id=1t8SHmujPJ7lP4Cht5KK_hef_YH4aWDzp" TargetMode="External"/><Relationship  Id="rId59" Type="http://schemas.openxmlformats.org/officeDocument/2006/relationships/hyperlink" Target="https://doi.org/10.1145/3729499" TargetMode="External"/><Relationship  Id="rId6" Type="http://schemas.openxmlformats.org/officeDocument/2006/relationships/hyperlink" Target="https://drive.google.com/open?id=1ZfKpm5dpw6zh_56lV4cUeLmRYeEFJ0Ra" TargetMode="External"/><Relationship  Id="rId60" Type="http://schemas.openxmlformats.org/officeDocument/2006/relationships/hyperlink" Target="https://github.com/aiot-lab/TAPOR" TargetMode="External"/><Relationship  Id="rId61" Type="http://schemas.openxmlformats.org/officeDocument/2006/relationships/hyperlink" Target="https://github.com/aiot-lab/TAPOR." TargetMode="External"/><Relationship  Id="rId62" Type="http://schemas.openxmlformats.org/officeDocument/2006/relationships/hyperlink" Target="https://drive.google.com/open?id=1j_pPRuCfS6EDbVu8mZxRUq2MTHvooZTk" TargetMode="External"/><Relationship  Id="rId63" Type="http://schemas.openxmlformats.org/officeDocument/2006/relationships/hyperlink" Target="https://doi.org/10.1145/3729461" TargetMode="External"/><Relationship  Id="rId64" Type="http://schemas.openxmlformats.org/officeDocument/2006/relationships/hyperlink" Target="https://github.com/lin178-alt/mmMultiDataset" TargetMode="External"/><Relationship  Id="rId65" Type="http://schemas.openxmlformats.org/officeDocument/2006/relationships/hyperlink" Target="https://drive.google.com/open?id=1y15eyKADewM4fpvWHrWk_-tP3FAOs8tJ" TargetMode="External"/><Relationship  Id="rId66" Type="http://schemas.openxmlformats.org/officeDocument/2006/relationships/hyperlink" Target="https://doi.org/10.1145/3731600" TargetMode="External"/><Relationship  Id="rId67" Type="http://schemas.openxmlformats.org/officeDocument/2006/relationships/hyperlink" Target="https://drive.google.com/open?id=1mJPZ7PPW_1HTurdmsmZI9JCqQtAUc7gC" TargetMode="External"/><Relationship  Id="rId68" Type="http://schemas.openxmlformats.org/officeDocument/2006/relationships/hyperlink" Target="https://doi.org/10.1145/3729498" TargetMode="External"/><Relationship  Id="rId69" Type="http://schemas.openxmlformats.org/officeDocument/2006/relationships/hyperlink" Target="https://juderer.github.io/wifiout2in" TargetMode="External"/><Relationship  Id="rId7" Type="http://schemas.openxmlformats.org/officeDocument/2006/relationships/hyperlink" Target="https://drive.google.com/open?id=1-ASaPtQIPa04T4uonAbvxD_uToBt2EII" TargetMode="External"/><Relationship  Id="rId70" Type="http://schemas.openxmlformats.org/officeDocument/2006/relationships/hyperlink" Target="https://drive.google.com/open?id=1MSnFcVzKa5rBsoH2Mcgnp5hVt3h8TWIm" TargetMode="External"/><Relationship  Id="rId71" Type="http://schemas.openxmlformats.org/officeDocument/2006/relationships/hyperlink" Target="https://doi.org/10.1145/3729484" TargetMode="External"/><Relationship  Id="rId72" Type="http://schemas.openxmlformats.org/officeDocument/2006/relationships/hyperlink" Target="https://iscas3dv.github.io/GestureBuilder/" TargetMode="External"/><Relationship  Id="rId73" Type="http://schemas.openxmlformats.org/officeDocument/2006/relationships/table" Target="../tables/table3.xml"/><Relationship  Id="rId8" Type="http://schemas.openxmlformats.org/officeDocument/2006/relationships/hyperlink" Target="https://drive.google.com/open?id=1Mp3I856QP64xeNCMpGhBqW06KOTYpeTp" TargetMode="External"/><Relationship  Id="rId9" Type="http://schemas.openxmlformats.org/officeDocument/2006/relationships/hyperlink" Target="https://github.com/Goertek-AlphaLabs-Wearable/DCSNN-for-sEMG" TargetMode="External"/></Relationships>
</file>

<file path=xl/worksheets/_rels/sheet4.xml.rels><?xml version="1.0" encoding="UTF-8" standalone="yes"?><Relationships xmlns="http://schemas.openxmlformats.org/package/2006/relationships"><Relationship  Id="rId1" Type="http://schemas.openxmlformats.org/officeDocument/2006/relationships/hyperlink" Target="https://drive.google.com/open?id=1r9AObuqdsjT6kCcfrvTukxpHDGBb3kzK" TargetMode="External"/><Relationship  Id="rId10" Type="http://schemas.openxmlformats.org/officeDocument/2006/relationships/hyperlink" Target="https://drive.google.com/open?id=1iWYf6rSotgXSP22jXjrRLXm8wk076zDx" TargetMode="External"/><Relationship  Id="rId11" Type="http://schemas.openxmlformats.org/officeDocument/2006/relationships/hyperlink" Target="https://github.com/kazemikianoosh/RR_Estimation.git" TargetMode="External"/><Relationship  Id="rId12" Type="http://schemas.openxmlformats.org/officeDocument/2006/relationships/hyperlink" Target="https://drive.google.com/open?id=19q7QfRzDOV2QyXwg1yAiYRMNidfrjWM-" TargetMode="External"/><Relationship  Id="rId13" Type="http://schemas.openxmlformats.org/officeDocument/2006/relationships/hyperlink" Target="https://github.com/HiruniNuwanthika/Electric-Scooter-Riders-Multi-Modal-Data-Analysis.git" TargetMode="External"/><Relationship  Id="rId14" Type="http://schemas.openxmlformats.org/officeDocument/2006/relationships/hyperlink" Target="https://drive.google.com/open?id=1zxLY1Z8gfwL6SY6Ds9aXjeFn--YbeDyu" TargetMode="External"/><Relationship  Id="rId15" Type="http://schemas.openxmlformats.org/officeDocument/2006/relationships/hyperlink" Target="https://drive.google.com/open?id=1rO88VhMjHoF-fA97Te5J1Cdg7fKxUGgu" TargetMode="External"/><Relationship  Id="rId16" Type="http://schemas.openxmlformats.org/officeDocument/2006/relationships/hyperlink" Target="https://drive.google.com/open?id=1eJJ2BVTpj7sle5UsGoLkXhE9E9J87Jxs" TargetMode="External"/><Relationship  Id="rId17" Type="http://schemas.openxmlformats.org/officeDocument/2006/relationships/hyperlink" Target="https://drive.google.com/open?id=1KGt_m18rdqDPjoqOFsWrsx5pXDh2pTE2" TargetMode="External"/><Relationship  Id="rId18" Type="http://schemas.openxmlformats.org/officeDocument/2006/relationships/hyperlink" Target="https://drive.google.com/open?id=1zYaN3lZR-BoAXad6-wAvcFDsE0SkwjQZ" TargetMode="External"/><Relationship  Id="rId19" Type="http://schemas.openxmlformats.org/officeDocument/2006/relationships/hyperlink" Target="https://drive.google.com/open?id=1kcc47e3VhgNt-L93BRcDRr_Fm_yyaAF8" TargetMode="External"/><Relationship  Id="rId2" Type="http://schemas.openxmlformats.org/officeDocument/2006/relationships/hyperlink" Target="https://doi.org/10.1145/3712289" TargetMode="External"/><Relationship  Id="rId20" Type="http://schemas.openxmlformats.org/officeDocument/2006/relationships/hyperlink" Target="https://drive.google.com/open?id=1N3JcLPWfhOQHu0mrVZKrc0BMmR1ZJj6d" TargetMode="External"/><Relationship  Id="rId21" Type="http://schemas.openxmlformats.org/officeDocument/2006/relationships/hyperlink" Target="https://drive.google.com/open?id=1sAilzhm_BjRiHrVmpRmaAL8lKjwgb3Kf" TargetMode="External"/><Relationship  Id="rId22" Type="http://schemas.openxmlformats.org/officeDocument/2006/relationships/hyperlink" Target="https://github.com/OpenEarable/open-earable-2" TargetMode="External"/><Relationship  Id="rId23" Type="http://schemas.openxmlformats.org/officeDocument/2006/relationships/hyperlink" Target="https://openearable.com/" TargetMode="External"/><Relationship  Id="rId24" Type="http://schemas.openxmlformats.org/officeDocument/2006/relationships/hyperlink" Target="https://drive.google.com/open?id=1GSsSG9eDD3JkTjjLR7XSXDjNi0cozvh0" TargetMode="External"/><Relationship  Id="rId25" Type="http://schemas.openxmlformats.org/officeDocument/2006/relationships/hyperlink" Target="https://github.com/vijay13feb/SLIM-SENSE" TargetMode="External"/><Relationship  Id="rId26" Type="http://schemas.openxmlformats.org/officeDocument/2006/relationships/hyperlink" Target="https://drive.google.com/open?id=1u_qzvd--aZpSTTgAJaJrxO-LlTYy6Agh" TargetMode="External"/><Relationship  Id="rId27" Type="http://schemas.openxmlformats.org/officeDocument/2006/relationships/hyperlink" Target="https://drive.google.com/open?id=1TFzZ-mJd16weiNbYITsJSkh4xM3jJwV5" TargetMode="External"/><Relationship  Id="rId28" Type="http://schemas.openxmlformats.org/officeDocument/2006/relationships/hyperlink" Target="https://drive.google.com/open?id=1imr-cionDjMMAVuO55MgSQVSCv_FI1S5" TargetMode="External"/><Relationship  Id="rId29" Type="http://schemas.openxmlformats.org/officeDocument/2006/relationships/hyperlink" Target="https://drive.google.com/open?id=1dAGKEflr96s7wlnngvwLH3Z-0cjag13G" TargetMode="External"/><Relationship  Id="rId3" Type="http://schemas.openxmlformats.org/officeDocument/2006/relationships/hyperlink" Target="https://livepeople.disi.unitn.it/" TargetMode="External"/><Relationship  Id="rId30" Type="http://schemas.openxmlformats.org/officeDocument/2006/relationships/hyperlink" Target="https://drive.google.com/open?id=1NMg77Wxy_loOZ9MR0BD5kNb1LCYBFmTS" TargetMode="External"/><Relationship  Id="rId31" Type="http://schemas.openxmlformats.org/officeDocument/2006/relationships/hyperlink" Target="https://github.com/xmyun/Phar" TargetMode="External"/><Relationship  Id="rId32" Type="http://schemas.openxmlformats.org/officeDocument/2006/relationships/hyperlink" Target="https://drive.google.com/open?id=1QZOdvknzcHMN1OGCVLjTS_Nh2jZ_xLPf" TargetMode="External"/><Relationship  Id="rId33" Type="http://schemas.openxmlformats.org/officeDocument/2006/relationships/hyperlink" Target="https://drive.google.com/open?id=1fTGcUGCWH5YXAvrys2xl1lejUm5uzM4I" TargetMode="External"/><Relationship  Id="rId34" Type="http://schemas.openxmlformats.org/officeDocument/2006/relationships/hyperlink" Target="https://drive.google.com/open?id=1ots275JbeGyCvWBcYXpbPGNMBfCvwOLd" TargetMode="External"/><Relationship  Id="rId35" Type="http://schemas.openxmlformats.org/officeDocument/2006/relationships/hyperlink" Target="https://github.com/WearSE/wearse.github.io" TargetMode="External"/><Relationship  Id="rId36" Type="http://schemas.openxmlformats.org/officeDocument/2006/relationships/hyperlink" Target="https://drive.google.com/open?id=1NFTqu6AEVLQrjKhs1xKvWz3Y32_BNxqt" TargetMode="External"/><Relationship  Id="rId37" Type="http://schemas.openxmlformats.org/officeDocument/2006/relationships/hyperlink" Target="https://github.com/hangzhaosbu/Ubicomp2025-Modeling-Mouse-based-Pointing-and-Steering-Tasks-for-People-with-Parkinsons-Disease" TargetMode="External"/><Relationship  Id="rId38" Type="http://schemas.microsoft.com/office/2017/10/relationships/threadedComment" Target="../threadedComments/threadedComment1.xml"/><Relationship  Id="rId39" Type="http://schemas.openxmlformats.org/officeDocument/2006/relationships/comments" Target="../comments1.xml"/><Relationship  Id="rId4" Type="http://schemas.openxmlformats.org/officeDocument/2006/relationships/hyperlink" Target="https://drive.google.com/open?id=1SrIOmghNhzIkcteY1u7odGYaYe4QhtDn" TargetMode="External"/><Relationship  Id="rId40" Type="http://schemas.openxmlformats.org/officeDocument/2006/relationships/vmlDrawing" Target="../drawings/vmlDrawing1.vml"/><Relationship  Id="rId41" Type="http://schemas.openxmlformats.org/officeDocument/2006/relationships/table" Target="../tables/table4.xml"/><Relationship  Id="rId5" Type="http://schemas.openxmlformats.org/officeDocument/2006/relationships/hyperlink" Target="https://drive.google.com/open?id=1IM5-94iexD-viIGy754HfkrdGtlUJad9" TargetMode="External"/><Relationship  Id="rId6" Type="http://schemas.openxmlformats.org/officeDocument/2006/relationships/hyperlink" Target="https://github.com/khchiuac/GUFU" TargetMode="External"/><Relationship  Id="rId7" Type="http://schemas.openxmlformats.org/officeDocument/2006/relationships/hyperlink" Target="https://drive.google.com/open?id=1IUrLIWBka9nb56JL3eOogZbLoGCXgach" TargetMode="External"/><Relationship  Id="rId8" Type="http://schemas.openxmlformats.org/officeDocument/2006/relationships/hyperlink" Target="https://drive.google.com/open?id=1u4av0gFDwmO21zXmE866iSzxshwmB6Ii" TargetMode="External"/><Relationship  Id="rId9" Type="http://schemas.openxmlformats.org/officeDocument/2006/relationships/hyperlink" Target="https://drive.google.com/open?id=1VTAZmEjJ-H7kDEloXSfQGQtWaNxev3_P" TargetMode="External"/></Relationships>
</file>

<file path=xl/worksheets/_rels/sheet5.xml.rels><?xml version="1.0" encoding="UTF-8" standalone="yes"?><Relationships xmlns="http://schemas.openxmlformats.org/package/2006/relationships"><Relationship  Id="rId1" Type="http://schemas.openxmlformats.org/officeDocument/2006/relationships/hyperlink" Target="https://drive.google.com/open?id=1PH91ooSM5lJOPJ8ldWz8VVo2FnoZelq3" TargetMode="External"/><Relationship  Id="rId10" Type="http://schemas.openxmlformats.org/officeDocument/2006/relationships/hyperlink" Target="https://drive.google.com/open?id=1ldZV3kcMipex4-3KdyxwD8eG35ZtKxnl" TargetMode="External"/><Relationship  Id="rId11" Type="http://schemas.openxmlformats.org/officeDocument/2006/relationships/hyperlink" Target="https://drive.google.com/open?id=1Up7b6997wz0pf3ZJItR3TC3rezctNSn-" TargetMode="External"/><Relationship  Id="rId12" Type="http://schemas.openxmlformats.org/officeDocument/2006/relationships/hyperlink" Target="https://drive.google.com/open?id=13LeNHKhsaWhPNG68VqNmSo-4gmbYNxEh" TargetMode="External"/><Relationship  Id="rId13" Type="http://schemas.openxmlformats.org/officeDocument/2006/relationships/hyperlink" Target="https://drive.google.com/open?id=1ypFwq0dU6uLeOouh7-j7wxvqn-so6Ffv" TargetMode="External"/><Relationship  Id="rId14" Type="http://schemas.openxmlformats.org/officeDocument/2006/relationships/hyperlink" Target="https://drive.google.com/open?id=1Bk_Sqkn779o_v7TuL4hkht614repXosd" TargetMode="External"/><Relationship  Id="rId15" Type="http://schemas.openxmlformats.org/officeDocument/2006/relationships/hyperlink" Target="https://doi.org/10.1145/3699751" TargetMode="External"/><Relationship  Id="rId16" Type="http://schemas.openxmlformats.org/officeDocument/2006/relationships/hyperlink" Target="https://drive.google.com/open?id=14LRtZq1-HdBjTynZCtdxwD761GF29_2S" TargetMode="External"/><Relationship  Id="rId17" Type="http://schemas.openxmlformats.org/officeDocument/2006/relationships/hyperlink" Target="https://drive.google.com/open?id=1JLJY6SlVTZ97lyTcB3otmwg9nfqKiBKu" TargetMode="External"/><Relationship  Id="rId18" Type="http://schemas.openxmlformats.org/officeDocument/2006/relationships/hyperlink" Target="https://github.com/Cui-Zhao/SENSO." TargetMode="External"/><Relationship  Id="rId19" Type="http://schemas.openxmlformats.org/officeDocument/2006/relationships/hyperlink" Target="https://drive.google.com/open?id=1ZQzktbASBKBxtZjG_dFfa66CqjOzeQJ2" TargetMode="External"/><Relationship  Id="rId2" Type="http://schemas.openxmlformats.org/officeDocument/2006/relationships/hyperlink" Target="https://github.com/wbzhangslab/sars-main" TargetMode="External"/><Relationship  Id="rId20" Type="http://schemas.openxmlformats.org/officeDocument/2006/relationships/hyperlink" Target="https://drive.google.com/open?id=1V4kGinIiqTaX32dtPdl2u4IiZ41ZBofs" TargetMode="External"/><Relationship  Id="rId21" Type="http://schemas.openxmlformats.org/officeDocument/2006/relationships/hyperlink" Target="https://drive.google.com/open?id=1R3TiZz5WjgojUgsBiPyTO0PEbHqyaEiq" TargetMode="External"/><Relationship  Id="rId22" Type="http://schemas.openxmlformats.org/officeDocument/2006/relationships/hyperlink" Target="https://github.com/MaginaDai/ContrastSense-Public" TargetMode="External"/><Relationship  Id="rId23" Type="http://schemas.openxmlformats.org/officeDocument/2006/relationships/hyperlink" Target="https://drive.google.com/open?id=1II1UonkgaCpG4pAk3OoUr8b8fL8ZH6rC" TargetMode="External"/><Relationship  Id="rId24" Type="http://schemas.openxmlformats.org/officeDocument/2006/relationships/hyperlink" Target="https://drive.google.com/open?id=1DYEltQCHtO2cgNu0vFmVVhqj1ZThKaOM" TargetMode="External"/><Relationship  Id="rId25" Type="http://schemas.openxmlformats.org/officeDocument/2006/relationships/hyperlink" Target="https://drive.google.com/open?id=1woOP2LCrPzTRC_xNDPe6B9LAkKYg5PjJ" TargetMode="External"/><Relationship  Id="rId26" Type="http://schemas.openxmlformats.org/officeDocument/2006/relationships/hyperlink" Target="https://drive.google.com/open?id=1hYZHA4x-VnIpqo8e_u31aGsEH2MuCm65" TargetMode="External"/><Relationship  Id="rId27" Type="http://schemas.openxmlformats.org/officeDocument/2006/relationships/hyperlink" Target="https://drive.google.com/open?id=1rReBJbH7uu2-efU6Q7R-EYJAA-UF6psm" TargetMode="External"/><Relationship  Id="rId28" Type="http://schemas.openxmlformats.org/officeDocument/2006/relationships/hyperlink" Target="https://drive.google.com/open?id=1bmLCYmPNpeCadbbttrgc-rlHX1HkuodG" TargetMode="External"/><Relationship  Id="rId29" Type="http://schemas.openxmlformats.org/officeDocument/2006/relationships/hyperlink" Target="https://drive.google.com/open?id=1SDYkBL-T3c0N2HPxYyHdZ4ZrM3ywjkG4" TargetMode="External"/><Relationship  Id="rId3" Type="http://schemas.openxmlformats.org/officeDocument/2006/relationships/hyperlink" Target="https://drive.google.com/open?id=1SDdZNgb2z04rrOjlLiigLPzKaqzvagLc" TargetMode="External"/><Relationship  Id="rId30" Type="http://schemas.openxmlformats.org/officeDocument/2006/relationships/hyperlink" Target="https://drive.google.com/open?id=1JlhIi-qq1Ww6k5sLHZL2Kg13pQ-QDTMg" TargetMode="External"/><Relationship  Id="rId31" Type="http://schemas.openxmlformats.org/officeDocument/2006/relationships/hyperlink" Target="https://drive.google.com/open?id=1Of9dhXUBD6zkkb7kTh2eqIxlbXrXCSW3" TargetMode="External"/><Relationship  Id="rId32" Type="http://schemas.openxmlformats.org/officeDocument/2006/relationships/hyperlink" Target="https://github.com/luoyumei1-a/mmSpyVR/" TargetMode="External"/><Relationship  Id="rId33" Type="http://schemas.openxmlformats.org/officeDocument/2006/relationships/hyperlink" Target="https://drive.google.com/open?id=1Y8FlNSzXhkWCKjciqPMfotlMpCNIOyN0" TargetMode="External"/><Relationship  Id="rId34" Type="http://schemas.openxmlformats.org/officeDocument/2006/relationships/hyperlink" Target="https://huggingface.co/datasets/playlogue/playlogue-v1." TargetMode="External"/><Relationship  Id="rId35" Type="http://schemas.openxmlformats.org/officeDocument/2006/relationships/hyperlink" Target="https://huggingface.co/datasets/playlogue/playlogue-v1" TargetMode="External"/><Relationship  Id="rId36" Type="http://schemas.openxmlformats.org/officeDocument/2006/relationships/hyperlink" Target="https://drive.google.com/open?id=12fXcHWUQtHMegKHS_fb6kIAk79AmkS3d" TargetMode="External"/><Relationship  Id="rId37" Type="http://schemas.openxmlformats.org/officeDocument/2006/relationships/hyperlink" Target="https://github.com/mariusbock/tal_for_har" TargetMode="External"/><Relationship  Id="rId38" Type="http://schemas.openxmlformats.org/officeDocument/2006/relationships/hyperlink" Target="https://drive.google.com/open?id=1ApRwrR1zH9nHDGUxg41_mjdRp2rADvga" TargetMode="External"/><Relationship  Id="rId39" Type="http://schemas.openxmlformats.org/officeDocument/2006/relationships/hyperlink" Target="http://mariusbock.github.io/wear/" TargetMode="External"/><Relationship  Id="rId4" Type="http://schemas.openxmlformats.org/officeDocument/2006/relationships/hyperlink" Target="https://drive.google.com/open?id=1CzGo_WDh7RXx_M546UlXv87hDTF4fCOG" TargetMode="External"/><Relationship  Id="rId40" Type="http://schemas.openxmlformats.org/officeDocument/2006/relationships/hyperlink" Target="http://mariusbock.github.io/wear/." TargetMode="External"/><Relationship  Id="rId41" Type="http://schemas.openxmlformats.org/officeDocument/2006/relationships/hyperlink" Target="https://drive.google.com/open?id=1BOQqeVqr6CFeCnDNzrU4FDJmQDZWEghh" TargetMode="External"/><Relationship  Id="rId42" Type="http://schemas.openxmlformats.org/officeDocument/2006/relationships/hyperlink" Target="https://github.com/M-Colley/longitudinal_usa_germany_eHMI_comparison" TargetMode="External"/><Relationship  Id="rId43" Type="http://schemas.openxmlformats.org/officeDocument/2006/relationships/hyperlink" Target="https://drive.google.com/open?id=1V7oRAz9DayegqACnJYMoTjanENjwaqkO" TargetMode="External"/><Relationship  Id="rId44" Type="http://schemas.openxmlformats.org/officeDocument/2006/relationships/hyperlink" Target="https://drive.google.com/open?id=1MJfYazaSRzcSHvblLeBNaoOKEWfK9m-P" TargetMode="External"/><Relationship  Id="rId45" Type="http://schemas.openxmlformats.org/officeDocument/2006/relationships/hyperlink" Target="https://anonymous.4open.science/r/WaveBP-BBE8/README.md" TargetMode="External"/><Relationship  Id="rId46" Type="http://schemas.openxmlformats.org/officeDocument/2006/relationships/hyperlink" Target="https://drive.google.com/open?id=1La7mOdvESCa6UUWKIpolhLOkbFvCLvf7" TargetMode="External"/><Relationship  Id="rId47" Type="http://schemas.openxmlformats.org/officeDocument/2006/relationships/hyperlink" Target="https://huggingface.co/datasets/philschmid/sharegpt-raw." TargetMode="External"/><Relationship  Id="rId48" Type="http://schemas.openxmlformats.org/officeDocument/2006/relationships/hyperlink" Target="https://drive.google.com/open?id=1zTOl8dPOtLYSYQcM1JGuaThVoofYChI-" TargetMode="External"/><Relationship  Id="rId49" Type="http://schemas.openxmlformats.org/officeDocument/2006/relationships/hyperlink" Target="https://github.com/cmusmashlab/prism." TargetMode="External"/><Relationship  Id="rId5" Type="http://schemas.openxmlformats.org/officeDocument/2006/relationships/hyperlink" Target="https://github.com/arghasen10/EyeTrAES" TargetMode="External"/><Relationship  Id="rId50" Type="http://schemas.openxmlformats.org/officeDocument/2006/relationships/hyperlink" Target="https://drive.google.com/open?id=1X50CJU_KAlddUMcmjCv1gBRWjCv0VfCR" TargetMode="External"/><Relationship  Id="rId51" Type="http://schemas.openxmlformats.org/officeDocument/2006/relationships/hyperlink" Target="https://drive.google.com/open?id=1rGc-BWR3sbivRqmk6hnlXe4z0K8yjTxK" TargetMode="External"/><Relationship  Id="rId52" Type="http://schemas.openxmlformats.org/officeDocument/2006/relationships/hyperlink" Target="https://drive.google.com/open?id=1RrTE02mJaUUyTAbld8lZE8j_F2yrqVKU" TargetMode="External"/><Relationship  Id="rId53" Type="http://schemas.openxmlformats.org/officeDocument/2006/relationships/hyperlink" Target="https://drive.google.com/open?id=1WjhhFbTvWSgj3Vo5lYTHcbfcUBR0fCqB" TargetMode="External"/><Relationship  Id="rId54" Type="http://schemas.openxmlformats.org/officeDocument/2006/relationships/hyperlink" Target="https://github.com/wdkhuans/GOAT" TargetMode="External"/><Relationship  Id="rId55" Type="http://schemas.openxmlformats.org/officeDocument/2006/relationships/hyperlink" Target="https://drive.google.com/open?id=1SHtUEcKzco63LMujjWSEIHqU9WSask39" TargetMode="External"/><Relationship  Id="rId56" Type="http://schemas.openxmlformats.org/officeDocument/2006/relationships/hyperlink" Target="https://github.com/nealchen2003/IMWUT2024-SleepNetZero" TargetMode="External"/><Relationship  Id="rId57" Type="http://schemas.openxmlformats.org/officeDocument/2006/relationships/hyperlink" Target="https://drive.google.com/open?id=148DRksefhKc9nrlHIduPUfVCecQ3v5Aq" TargetMode="External"/><Relationship  Id="rId58" Type="http://schemas.openxmlformats.org/officeDocument/2006/relationships/hyperlink" Target="https://drive.google.com/open?id=1gqdX5ayIhlvqhBKCtdJBigOE7nzkILoK" TargetMode="External"/><Relationship  Id="rId59" Type="http://schemas.openxmlformats.org/officeDocument/2006/relationships/hyperlink" Target="https://github.com/tangemicioglu/phl-portal" TargetMode="External"/><Relationship  Id="rId6" Type="http://schemas.openxmlformats.org/officeDocument/2006/relationships/hyperlink" Target="https://drive.google.com/open?id=1clODBJes9b87DD_Cql_3gn5w4MkZQQdj" TargetMode="External"/><Relationship  Id="rId60" Type="http://schemas.openxmlformats.org/officeDocument/2006/relationships/hyperlink" Target="https://drive.google.com/open?id=1q2IGM5JMO64Oxucxwga9FuAP8D9CZYXq" TargetMode="External"/><Relationship  Id="rId61" Type="http://schemas.openxmlformats.org/officeDocument/2006/relationships/hyperlink" Target="https://drive.google.com/open?id=1jixzMFzVjkzfFjiDm89FqxT2mIbPkk0v" TargetMode="External"/><Relationship  Id="rId62" Type="http://schemas.openxmlformats.org/officeDocument/2006/relationships/hyperlink" Target="https://drive.google.com/open?id=1o5DkckfQiWGHzcDQz8Neu_5Vft-KvSrM" TargetMode="External"/><Relationship  Id="rId63" Type="http://schemas.openxmlformats.org/officeDocument/2006/relationships/hyperlink" Target="https://doi.org/10.1145/3699742" TargetMode="External"/><Relationship  Id="rId64" Type="http://schemas.openxmlformats.org/officeDocument/2006/relationships/hyperlink" Target="https://github.com/microsoft/DEDector" TargetMode="External"/><Relationship  Id="rId65" Type="http://schemas.openxmlformats.org/officeDocument/2006/relationships/hyperlink" Target="https://drive.google.com/open?id=1_Z8lC8F6uffSp00oj_ZB6RgyeeiiUDCb" TargetMode="External"/><Relationship  Id="rId66" Type="http://schemas.openxmlformats.org/officeDocument/2006/relationships/hyperlink" Target="https://github.com/TUDSSL/Densor" TargetMode="External"/><Relationship  Id="rId67" Type="http://schemas.openxmlformats.org/officeDocument/2006/relationships/hyperlink" Target="https://drive.google.com/open?id=1GNjPLTQJoXMhi4nWZ-OW3oO3V26gGJCT" TargetMode="External"/><Relationship  Id="rId68" Type="http://schemas.openxmlformats.org/officeDocument/2006/relationships/hyperlink" Target="https://action-sense.csail.mit.edu/" TargetMode="External"/><Relationship  Id="rId69" Type="http://schemas.openxmlformats.org/officeDocument/2006/relationships/hyperlink" Target="https://drive.google.com/open?id=11UtD4b5SHEQPv19JTbVz6MvwibuSFyZw" TargetMode="External"/><Relationship  Id="rId7" Type="http://schemas.openxmlformats.org/officeDocument/2006/relationships/hyperlink" Target="https://github.com/KneeGuard/KneeGuard" TargetMode="External"/><Relationship  Id="rId70" Type="http://schemas.openxmlformats.org/officeDocument/2006/relationships/hyperlink" Target="https://drive.google.com/open?id=15oFNFGS8NhPMph0fpGgoSr6eY-83N_eU" TargetMode="External"/><Relationship  Id="rId71" Type="http://schemas.openxmlformats.org/officeDocument/2006/relationships/hyperlink" Target="https://github.com/shar-pen/ESATED" TargetMode="External"/><Relationship  Id="rId72" Type="http://schemas.openxmlformats.org/officeDocument/2006/relationships/hyperlink" Target="https://drive.google.com/open?id=1UDwSmRWL5x-7w5lBneQH54dSNhxvObYz" TargetMode="External"/><Relationship  Id="rId73" Type="http://schemas.openxmlformats.org/officeDocument/2006/relationships/hyperlink" Target="https://www.timeanddate.com/weather/china/shanghai" TargetMode="External"/><Relationship  Id="rId74" Type="http://schemas.openxmlformats.org/officeDocument/2006/relationships/hyperlink" Target="https://drive.google.com/open?id=1txZas2ua2KXs5dvGEyC3UrS4-ni2p1EW" TargetMode="External"/><Relationship  Id="rId75" Type="http://schemas.openxmlformats.org/officeDocument/2006/relationships/hyperlink" Target="https://drive.google.com/open?id=16GEJbqKf5dyBwrqOzkoD4nVYQJZxEmek" TargetMode="External"/><Relationship  Id="rId76" Type="http://schemas.openxmlformats.org/officeDocument/2006/relationships/hyperlink" Target="https://drive.google.com/open?id=12Quuu6up71dew64M0rhFr6457FxdsbOj" TargetMode="External"/><Relationship  Id="rId77" Type="http://schemas.openxmlformats.org/officeDocument/2006/relationships/hyperlink" Target="https://github.com/SJTU-RTEAS/SemiCMT" TargetMode="External"/><Relationship  Id="rId78" Type="http://schemas.openxmlformats.org/officeDocument/2006/relationships/hyperlink" Target="https://drive.google.com/open?id=1mnhYomKJmvPYJTfz_qGPxmCHe85jizG9" TargetMode="External"/><Relationship  Id="rId79" Type="http://schemas.openxmlformats.org/officeDocument/2006/relationships/hyperlink" Target="https://drive.google.com/open?id=105Cy-HpOCdJO4wn3HeEQ9JLNpYs8QEoc" TargetMode="External"/><Relationship  Id="rId8" Type="http://schemas.openxmlformats.org/officeDocument/2006/relationships/hyperlink" Target="https://drive.google.com/open?id=1Tt-2MP7yVSwfw_WRZN78wTVEzEJrmNvG" TargetMode="External"/><Relationship  Id="rId80" Type="http://schemas.openxmlformats.org/officeDocument/2006/relationships/hyperlink" Target="https://drive.google.com/open?id=1EMpchMRh9oqhmBcijo1U4uSwfAR1NibB" TargetMode="External"/><Relationship  Id="rId81" Type="http://schemas.openxmlformats.org/officeDocument/2006/relationships/hyperlink" Target="https://drive.google.com/open?id=1cbvnEJi1z6VDjFL6zMHQilmiLLykW19-" TargetMode="External"/><Relationship  Id="rId82" Type="http://schemas.openxmlformats.org/officeDocument/2006/relationships/hyperlink" Target="https://bit.ly/40b7R1C" TargetMode="External"/><Relationship  Id="rId83" Type="http://schemas.openxmlformats.org/officeDocument/2006/relationships/hyperlink" Target="https://bit.ly/45OZ1aT" TargetMode="External"/><Relationship  Id="rId84" Type="http://schemas.openxmlformats.org/officeDocument/2006/relationships/hyperlink" Target="https://drive.google.com/open?id=1C2uukGyJ9lBzs0Zll5S-2R8_Xp_wWbPs" TargetMode="External"/><Relationship  Id="rId85" Type="http://schemas.openxmlformats.org/officeDocument/2006/relationships/hyperlink" Target="https://drive.google.com/open?id=1TbD1zVyvheVIKhRi020LcHFBDH3iwktg" TargetMode="External"/><Relationship  Id="rId86" Type="http://schemas.openxmlformats.org/officeDocument/2006/relationships/hyperlink" Target="https://drive.google.com/open?id=1Jr3sNhedyMyVo0dNBMpderfi2QlDrm7p" TargetMode="External"/><Relationship  Id="rId87" Type="http://schemas.openxmlformats.org/officeDocument/2006/relationships/hyperlink" Target="https://imec-northwestern.github.io/TRAMBAPage/" TargetMode="External"/><Relationship  Id="rId88" Type="http://schemas.openxmlformats.org/officeDocument/2006/relationships/hyperlink" Target="https://drive.google.com/open?id=1_lDHA2C0ZP2XvL8A1ZFSG8lG0fWbbrha" TargetMode="External"/><Relationship  Id="rId89" Type="http://schemas.openxmlformats.org/officeDocument/2006/relationships/hyperlink" Target="https://github.com/Kaist-ICLab/Personalized_Affective_Computing.git" TargetMode="External"/><Relationship  Id="rId9" Type="http://schemas.openxmlformats.org/officeDocument/2006/relationships/hyperlink" Target="https://github.com/SLEEPYBQ/Simultaneious-Flow-Dataset" TargetMode="External"/><Relationship  Id="rId90" Type="http://schemas.openxmlformats.org/officeDocument/2006/relationships/hyperlink" Target="https://drive.google.com/open?id=11LN53nrFuEYiYl_3zRKj3W_3hEeMYYKS" TargetMode="External"/><Relationship  Id="rId91" Type="http://schemas.openxmlformats.org/officeDocument/2006/relationships/hyperlink" Target="https://drive.google.com/open?id=1sVhimzBA1ghjQi70YaYYISlas-6e6h3Y" TargetMode="External"/><Relationship  Id="rId92" Type="http://schemas.openxmlformats.org/officeDocument/2006/relationships/hyperlink" Target="https://anonymous.4open.science/r/HCR-Auth-D43B/" TargetMode="External"/><Relationship  Id="rId93" Type="http://schemas.openxmlformats.org/officeDocument/2006/relationships/hyperlink" Target="https://drive.google.com/open?id=1Y6zdVYZj0alP3rDuyh6qZtJtEwBaBpl5" TargetMode="External"/><Relationship  Id="rId94" Type="http://schemas.openxmlformats.org/officeDocument/2006/relationships/table" Target="../tables/table5.xml"/></Relationships>
</file>

<file path=xl/worksheets/_rels/sheet6.xml.rels><?xml version="1.0" encoding="UTF-8" standalone="yes"?><Relationships xmlns="http://schemas.openxmlformats.org/package/2006/relationships"><Relationship  Id="rId1" Type="http://schemas.openxmlformats.org/officeDocument/2006/relationships/hyperlink" Target="https://drive.google.com/open?id=1f4SRb4mgYpEygl987wLJDGvzJhXecC45" TargetMode="External"/><Relationship  Id="rId10" Type="http://schemas.openxmlformats.org/officeDocument/2006/relationships/hyperlink" Target="https://drive.google.com/open?id=1lfAiOZUWYLLmPNfw4O4_7rCo2LS-Xqay" TargetMode="External"/><Relationship  Id="rId11" Type="http://schemas.openxmlformats.org/officeDocument/2006/relationships/hyperlink" Target="https://drive.google.com/open?id=1bz34T6Spol2CmHp_GNs1bI886UHSEg3r" TargetMode="External"/><Relationship  Id="rId12" Type="http://schemas.openxmlformats.org/officeDocument/2006/relationships/hyperlink" Target="https://drive.google.com/open?id=1qroVMRYd811GbHb7LBABLXtCG2gJFtWI" TargetMode="External"/><Relationship  Id="rId13" Type="http://schemas.openxmlformats.org/officeDocument/2006/relationships/hyperlink" Target="https://github.com/az16/thermal-comfort-classification" TargetMode="External"/><Relationship  Id="rId14" Type="http://schemas.openxmlformats.org/officeDocument/2006/relationships/hyperlink" Target="https://huggingface.co/datasets/kopetri/AutoTherm" TargetMode="External"/><Relationship  Id="rId15" Type="http://schemas.openxmlformats.org/officeDocument/2006/relationships/hyperlink" Target="https://drive.google.com/open?id=1waMUaJg-1Exr2bMu_RNtDH_w8GHhKxt1" TargetMode="External"/><Relationship  Id="rId16" Type="http://schemas.openxmlformats.org/officeDocument/2006/relationships/hyperlink" Target="https://github.com/Asadullah-Dal17/Eyes-Position-Estimator-Mediapipe" TargetMode="External"/><Relationship  Id="rId17" Type="http://schemas.openxmlformats.org/officeDocument/2006/relationships/hyperlink" Target="https://drive.google.com/open?id=1WvWiLWzUAD81KPuR2aLE9AS5ySYy7pK4" TargetMode="External"/><Relationship  Id="rId18" Type="http://schemas.openxmlformats.org/officeDocument/2006/relationships/hyperlink" Target="https://drive.google.com/open?id=1ZqoGBHyGJqQDbHO0r6aCEOR9awI6_8pL" TargetMode="External"/><Relationship  Id="rId19" Type="http://schemas.openxmlformats.org/officeDocument/2006/relationships/hyperlink" Target="https://github.com/LingyuDu/PrivateGaze" TargetMode="External"/><Relationship  Id="rId2" Type="http://schemas.openxmlformats.org/officeDocument/2006/relationships/hyperlink" Target="https://drive.google.com/open?id=1HSOEurt-NsTFcDnHkyuru_AvPKZrkVE4" TargetMode="External"/><Relationship  Id="rId20" Type="http://schemas.openxmlformats.org/officeDocument/2006/relationships/hyperlink" Target="https://drive.google.com/open?id=13rSdgU7gEg8ZVMFo-DGiRD0tk6Hh1y2s" TargetMode="External"/><Relationship  Id="rId21" Type="http://schemas.openxmlformats.org/officeDocument/2006/relationships/hyperlink" Target="https://drive.google.com/open?id=1cuC4IQQrlrDD9k-XOSS5EtKzgQUfr1xk" TargetMode="External"/><Relationship  Id="rId22" Type="http://schemas.openxmlformats.org/officeDocument/2006/relationships/hyperlink" Target="https://github.com/HAbitsLab/HabitSense" TargetMode="External"/><Relationship  Id="rId23" Type="http://schemas.openxmlformats.org/officeDocument/2006/relationships/hyperlink" Target="https://drive.google.com/open?id=12NcHzsufhwbrdeGcawi5vfgIQDkfJ6l5" TargetMode="External"/><Relationship  Id="rId24" Type="http://schemas.openxmlformats.org/officeDocument/2006/relationships/hyperlink" Target="https://drive.google.com/open?id=1kuMua7ydkQVskzIiHj5WWm_RtZ_ytua6" TargetMode="External"/><Relationship  Id="rId25" Type="http://schemas.openxmlformats.org/officeDocument/2006/relationships/hyperlink" Target="https://drive.google.com/open?id=19pGx5QdXxl2i7NiZ2UG1XB0cX4DDLZQu" TargetMode="External"/><Relationship  Id="rId26" Type="http://schemas.openxmlformats.org/officeDocument/2006/relationships/hyperlink" Target="https://github.com/EarSpeech/earspeech.github.io/tree/main/model" TargetMode="External"/><Relationship  Id="rId27" Type="http://schemas.openxmlformats.org/officeDocument/2006/relationships/hyperlink" Target="https://github.com/EarSpeech/earspeech.github.io/" TargetMode="External"/><Relationship  Id="rId28" Type="http://schemas.openxmlformats.org/officeDocument/2006/relationships/hyperlink" Target="https://drive.google.com/open?id=1J0deuuoqidm70TP4Gul6dpOp2fYKiTkn" TargetMode="External"/><Relationship  Id="rId29" Type="http://schemas.openxmlformats.org/officeDocument/2006/relationships/hyperlink" Target="https://drive.google.com/open?id=1cIz7QS-uIPqtLRkkE0xYFrj956zxmD1m" TargetMode="External"/><Relationship  Id="rId3" Type="http://schemas.openxmlformats.org/officeDocument/2006/relationships/hyperlink" Target="https://github.com/REviewTracker/ReviewTracker" TargetMode="External"/><Relationship  Id="rId30" Type="http://schemas.openxmlformats.org/officeDocument/2006/relationships/hyperlink" Target="https://github.com/Synteraction-Lab/PilotAR" TargetMode="External"/><Relationship  Id="rId31" Type="http://schemas.openxmlformats.org/officeDocument/2006/relationships/hyperlink" Target="https://drive.google.com/open?id=1yfgeCjyp7wJ-3K7ikuEQOmAO3ehKrx6B" TargetMode="External"/><Relationship  Id="rId32" Type="http://schemas.openxmlformats.org/officeDocument/2006/relationships/hyperlink" Target="https://github.com/ExponentiAI/HAIGEN" TargetMode="External"/><Relationship  Id="rId33" Type="http://schemas.openxmlformats.org/officeDocument/2006/relationships/hyperlink" Target="https://drive.google.com/open?id=1iHzpMV3DrcStU-v4weZyJoE0k0_tFR3Z" TargetMode="External"/><Relationship  Id="rId34" Type="http://schemas.openxmlformats.org/officeDocument/2006/relationships/hyperlink" Target="https://drive.google.com/open?id=1cUtc5VYU0Umm-KGiil-5afEcUR0leB7Z" TargetMode="External"/><Relationship  Id="rId35" Type="http://schemas.openxmlformats.org/officeDocument/2006/relationships/hyperlink" Target="https://github.com/GWANGBIN/timelytale" TargetMode="External"/><Relationship  Id="rId36" Type="http://schemas.openxmlformats.org/officeDocument/2006/relationships/hyperlink" Target="https://doi.org/10.7910/DVN/CQ8UB0" TargetMode="External"/><Relationship  Id="rId37" Type="http://schemas.openxmlformats.org/officeDocument/2006/relationships/hyperlink" Target="https://drive.google.com/open?id=1lPAIeLxm6HjffJEH6JVax77LwKT8Fs_v" TargetMode="External"/><Relationship  Id="rId38" Type="http://schemas.openxmlformats.org/officeDocument/2006/relationships/hyperlink" Target="https://drive.google.com/open?id=1izkn1EK9rUvIWJWB68skyo-fjQztOuwL" TargetMode="External"/><Relationship  Id="rId39" Type="http://schemas.openxmlformats.org/officeDocument/2006/relationships/hyperlink" Target="https://drive.google.com/open?id=1tw1m28hyj8CefaAKyY65owRQ9Ey3N0hq" TargetMode="External"/><Relationship  Id="rId4" Type="http://schemas.openxmlformats.org/officeDocument/2006/relationships/hyperlink" Target="https://drive.google.com/open?id=19ouW41oYOYezcAlmJiBTTkXxThutJU6F" TargetMode="External"/><Relationship  Id="rId40" Type="http://schemas.openxmlformats.org/officeDocument/2006/relationships/hyperlink" Target="https://drive.google.com/open?id=1NOQ1cDhJ3fZRzLEcdH85dCoqxpKo7IuY" TargetMode="External"/><Relationship  Id="rId41" Type="http://schemas.openxmlformats.org/officeDocument/2006/relationships/hyperlink" Target="https://drive.google.com/open?id=1nrY9SQJi9_N2FusaIQzBNCxE7Bgdt47S" TargetMode="External"/><Relationship  Id="rId42" Type="http://schemas.openxmlformats.org/officeDocument/2006/relationships/hyperlink" Target="https://drive.google.com/open?id=1XRuElEjjxW6FKnRSpB0mhXbFSz_1gSBL" TargetMode="External"/><Relationship  Id="rId43" Type="http://schemas.openxmlformats.org/officeDocument/2006/relationships/hyperlink" Target="https://drive.google.com/open?id=1PUZtoPfrQyK1zWTixBEHLX3_eEEfFjah" TargetMode="External"/><Relationship  Id="rId44" Type="http://schemas.openxmlformats.org/officeDocument/2006/relationships/hyperlink" Target="https://drive.google.com/open?id=1fZQsoAah0WCCbsegyiR755i7H2TrdyDv" TargetMode="External"/><Relationship  Id="rId45" Type="http://schemas.openxmlformats.org/officeDocument/2006/relationships/hyperlink" Target="https://github.com/Ohesachite/radar-nn-model" TargetMode="External"/><Relationship  Id="rId46" Type="http://schemas.openxmlformats.org/officeDocument/2006/relationships/hyperlink" Target="https://bit.ly/493DXQw" TargetMode="External"/><Relationship  Id="rId47" Type="http://schemas.openxmlformats.org/officeDocument/2006/relationships/hyperlink" Target="https://drive.google.com/open?id=1bWvKJz24AEvsLOe6tzJKvNnPldOCx5XP" TargetMode="External"/><Relationship  Id="rId48" Type="http://schemas.openxmlformats.org/officeDocument/2006/relationships/hyperlink" Target="https://drive.google.com/open?id=1Sz4VUS8URe9ep2EDbjxdSzTQfDe7Yxbm" TargetMode="External"/><Relationship  Id="rId49" Type="http://schemas.openxmlformats.org/officeDocument/2006/relationships/hyperlink" Target="https://drive.google.com/open?id=1Z84uJvoptMATkCP-sI2gN5YNZ3QDNaY-" TargetMode="External"/><Relationship  Id="rId5" Type="http://schemas.openxmlformats.org/officeDocument/2006/relationships/hyperlink" Target="https://gitlab.com/IOTGarage/canella" TargetMode="External"/><Relationship  Id="rId50" Type="http://schemas.openxmlformats.org/officeDocument/2006/relationships/hyperlink" Target="https://drive.google.com/open?id=1_0j7W_lRcohHsiX4Psh3abYfAOLh_0-2" TargetMode="External"/><Relationship  Id="rId51" Type="http://schemas.openxmlformats.org/officeDocument/2006/relationships/hyperlink" Target="https://github.com/timscargill/MoMAR/" TargetMode="External"/><Relationship  Id="rId52" Type="http://schemas.openxmlformats.org/officeDocument/2006/relationships/hyperlink" Target="https://drive.google.com/open?id=18t1X3STNPlfCc2T6I7MM7WUA3GpKh2HB" TargetMode="External"/><Relationship  Id="rId53" Type="http://schemas.openxmlformats.org/officeDocument/2006/relationships/hyperlink" Target="https://drive.google.com/open?id=1F_AVLzmcQ0L2UdWJ9vmFEjVDlO0xYvL6" TargetMode="External"/><Relationship  Id="rId54" Type="http://schemas.openxmlformats.org/officeDocument/2006/relationships/hyperlink" Target="https://stethospeech.github.io/StethoSpeech/" TargetMode="External"/><Relationship  Id="rId55" Type="http://schemas.openxmlformats.org/officeDocument/2006/relationships/hyperlink" Target="https://drive.google.com/open?id=1o3Kay6Fff_hjCx-a9C_4olncXUA3QS_N" TargetMode="External"/><Relationship  Id="rId56" Type="http://schemas.openxmlformats.org/officeDocument/2006/relationships/hyperlink" Target="https://drive.google.com/open?id=13neWE9S_0YoL7MxEoSD7mzC3O3osHyuA" TargetMode="External"/><Relationship  Id="rId57" Type="http://schemas.openxmlformats.org/officeDocument/2006/relationships/hyperlink" Target="https://drive.google.com/open?id=1JV6UXbKgpvOgt0Cka-NMco1p1mhajkk9" TargetMode="External"/><Relationship  Id="rId58" Type="http://schemas.openxmlformats.org/officeDocument/2006/relationships/hyperlink" Target="https://github.com/as116/psychological-conflict-handling-strategies" TargetMode="External"/><Relationship  Id="rId59" Type="http://schemas.openxmlformats.org/officeDocument/2006/relationships/hyperlink" Target="https://drive.google.com/open?id=1YS61mCXBscjsXLh_wpQ28ZmihGznkIo0" TargetMode="External"/><Relationship  Id="rId6" Type="http://schemas.openxmlformats.org/officeDocument/2006/relationships/hyperlink" Target="https://drive.google.com/open?id=1Q80OSBNRc7TEf_3qe0sHEQPwTuaTkjcK" TargetMode="External"/><Relationship  Id="rId60" Type="http://schemas.openxmlformats.org/officeDocument/2006/relationships/hyperlink" Target="https://drive.google.com/open?id=1Wu1ToodoNyCTNXhCPtmidmBsT-iXZpvf" TargetMode="External"/><Relationship  Id="rId61" Type="http://schemas.openxmlformats.org/officeDocument/2006/relationships/hyperlink" Target="https://drive.google.com/open?id=1orbmTUZn4hws2HRUUZXw0Zn9-8MHxPNd" TargetMode="External"/><Relationship  Id="rId62" Type="http://schemas.openxmlformats.org/officeDocument/2006/relationships/hyperlink" Target="https://drive.google.com/open?id=1szXGAxmTnMKb7owC65T-4Tj8No7buU9L" TargetMode="External"/><Relationship  Id="rId63" Type="http://schemas.openxmlformats.org/officeDocument/2006/relationships/hyperlink" Target="https://github.com/minhtramtran/multiped-sim" TargetMode="External"/><Relationship  Id="rId64" Type="http://schemas.openxmlformats.org/officeDocument/2006/relationships/hyperlink" Target="http://otter.ai/" TargetMode="External"/><Relationship  Id="rId65" Type="http://schemas.openxmlformats.org/officeDocument/2006/relationships/hyperlink" Target="https://drive.google.com/open?id=1ksjgQzLODpe_ZTBoR4JmvXuOcUlxAZ0U" TargetMode="External"/><Relationship  Id="rId66" Type="http://schemas.openxmlformats.org/officeDocument/2006/relationships/hyperlink" Target="https://drive.google.com/open?id=1jwbYncRTiNF60MxB1bHmPcUG2RxYz8NO" TargetMode="External"/><Relationship  Id="rId67" Type="http://schemas.openxmlformats.org/officeDocument/2006/relationships/hyperlink" Target="https://github.com/chai-toronto/chromaflash/" TargetMode="External"/><Relationship  Id="rId68" Type="http://schemas.openxmlformats.org/officeDocument/2006/relationships/hyperlink" Target="https://cave.cs.columbia.edu/repository/Multispectral" TargetMode="External"/><Relationship  Id="rId69" Type="http://schemas.openxmlformats.org/officeDocument/2006/relationships/hyperlink" Target="https://repository.kaust.edu.sa/items/12d8306d-8fd9-43e8-a569-dbc364454a36" TargetMode="External"/><Relationship  Id="rId7" Type="http://schemas.openxmlformats.org/officeDocument/2006/relationships/hyperlink" Target="https://doi.org/10.1145/3678569" TargetMode="External"/><Relationship  Id="rId70" Type="http://schemas.openxmlformats.org/officeDocument/2006/relationships/hyperlink" Target="https://drive.google.com/open?id=1esTYnA3lpbu6n3dDj2KMyJtVboXWH1bx" TargetMode="External"/><Relationship  Id="rId71" Type="http://schemas.openxmlformats.org/officeDocument/2006/relationships/hyperlink" Target="https://drive.google.com/open?id=1E7EOzCfrs-6jzRp33gjsBWU3SJFG9CIj" TargetMode="External"/><Relationship  Id="rId72" Type="http://schemas.openxmlformats.org/officeDocument/2006/relationships/hyperlink" Target="https://github.com/DQ-WDQ/RDGait" TargetMode="External"/><Relationship  Id="rId73" Type="http://schemas.openxmlformats.org/officeDocument/2006/relationships/hyperlink" Target="https://drive.google.com/open?id=1IBd91cBkoimR39sCL586oMDl9m2OI25Z" TargetMode="External"/><Relationship  Id="rId74" Type="http://schemas.openxmlformats.org/officeDocument/2006/relationships/hyperlink" Target="https://drive.google.com/open?id=1COjQkHtyWZp8nXz2C-HuX-1cD3imjxwy" TargetMode="External"/><Relationship  Id="rId75" Type="http://schemas.openxmlformats.org/officeDocument/2006/relationships/hyperlink" Target="https://drive.google.com/open?id=1Z_bVR1p-9aSJ6ZmpznHwkuCplE7g-nb6" TargetMode="External"/><Relationship  Id="rId76" Type="http://schemas.openxmlformats.org/officeDocument/2006/relationships/hyperlink" Target="https://drive.google.com/open?id=1zKPX6H9uqP_6KW7BzV9R0q0PLNgOzniU" TargetMode="External"/><Relationship  Id="rId77" Type="http://schemas.openxmlformats.org/officeDocument/2006/relationships/hyperlink" Target="https://github.com/aid-lab-org/IrOnTex-DesignTool" TargetMode="External"/><Relationship  Id="rId78" Type="http://schemas.openxmlformats.org/officeDocument/2006/relationships/hyperlink" Target="https://drive.google.com/open?id=1lBtCw9LdejOVgitnF0WA3lGJAhocrEpL" TargetMode="External"/><Relationship  Id="rId79" Type="http://schemas.openxmlformats.org/officeDocument/2006/relationships/hyperlink" Target="https://drive.google.com/open?id=1z9wnGkbI1dAV-vOAW5bKf4Fc3JwDSlyU" TargetMode="External"/><Relationship  Id="rId8" Type="http://schemas.openxmlformats.org/officeDocument/2006/relationships/hyperlink" Target="https://drive.google.com/open?id=1Zj4p93aqt3xmkzl8BpKsQXu3HHEpsHGA" TargetMode="External"/><Relationship  Id="rId80" Type="http://schemas.openxmlformats.org/officeDocument/2006/relationships/hyperlink" Target="https://drive.google.com/open?id=1oy-S5RMX7Z6Zmfif8gZ8SCSm5jNF1GeI" TargetMode="External"/><Relationship  Id="rId81" Type="http://schemas.openxmlformats.org/officeDocument/2006/relationships/hyperlink" Target="https://drive.google.com/open?id=1z1r_zLR2xCiQBW33wwk_k503KS4KlQ_1" TargetMode="External"/><Relationship  Id="rId82" Type="http://schemas.openxmlformats.org/officeDocument/2006/relationships/hyperlink" Target="https://anonymous.4open.science/r/IndependentReproducibility_MTL-D1BC/" TargetMode="External"/><Relationship  Id="rId83" Type="http://schemas.openxmlformats.org/officeDocument/2006/relationships/hyperlink" Target="https://zenodo.org/records/7606611" TargetMode="External"/><Relationship  Id="rId84" Type="http://schemas.openxmlformats.org/officeDocument/2006/relationships/hyperlink" Target="https://drive.google.com/open?id=1gAs1xVG0uhwe72stl79bG1ZCcaHL916B" TargetMode="External"/><Relationship  Id="rId85" Type="http://schemas.openxmlformats.org/officeDocument/2006/relationships/hyperlink" Target="https://github.com/LangchengZhao/AirECG" TargetMode="External"/><Relationship  Id="rId86" Type="http://schemas.openxmlformats.org/officeDocument/2006/relationships/hyperlink" Target="https://drive.google.com/open?id=11Q4Brhnuj1EFmgguha4Ab67L41rTF1Su" TargetMode="External"/><Relationship  Id="rId87" Type="http://schemas.openxmlformats.org/officeDocument/2006/relationships/hyperlink" Target="https://drive.google.com/open?id=1KthI6LSqNuqqXC_ZXQZ7psjiNa8uQ-hy" TargetMode="External"/><Relationship  Id="rId88" Type="http://schemas.openxmlformats.org/officeDocument/2006/relationships/hyperlink" Target="https://sensemycity.pt/" TargetMode="External"/><Relationship  Id="rId89" Type="http://schemas.openxmlformats.org/officeDocument/2006/relationships/hyperlink" Target="https://drive.google.com/open?id=1tPRckPTwlYp_i1OhZ25wwPMLStPYgCOr" TargetMode="External"/><Relationship  Id="rId9" Type="http://schemas.openxmlformats.org/officeDocument/2006/relationships/hyperlink" Target="https://drive.google.com/open?id=1522zZnq3EI3sIDT7VXIEESp5rqUn6FDR" TargetMode="External"/><Relationship  Id="rId90" Type="http://schemas.openxmlformats.org/officeDocument/2006/relationships/hyperlink" Target="https://drive.google.com/open?id=1vfliRKJGa7fmVdMABpR6cameT2m1oH0k" TargetMode="External"/><Relationship  Id="rId91" Type="http://schemas.openxmlformats.org/officeDocument/2006/relationships/table" Target="../tables/table6.xml"/></Relationships>
</file>

<file path=xl/worksheets/_rels/sheet7.xml.rels><?xml version="1.0" encoding="UTF-8" standalone="yes"?><Relationships xmlns="http://schemas.openxmlformats.org/package/2006/relationships"><Relationship  Id="rId1" Type="http://schemas.openxmlformats.org/officeDocument/2006/relationships/hyperlink" Target="https://drive.google.com/open?id=1uJgNbtnug8-Sggu7K4GciuEad1dddTnZ" TargetMode="External"/><Relationship  Id="rId10" Type="http://schemas.openxmlformats.org/officeDocument/2006/relationships/hyperlink" Target="https://drive.google.com/open?id=1JUOV-VRtcFClDZALTQcNQ8ghss19nRxL" TargetMode="External"/><Relationship  Id="rId11" Type="http://schemas.openxmlformats.org/officeDocument/2006/relationships/hyperlink" Target="https://github.com/umassos/AeroSense" TargetMode="External"/><Relationship  Id="rId12" Type="http://schemas.openxmlformats.org/officeDocument/2006/relationships/hyperlink" Target="https://drive.google.com/open?id=1OgUvrQ63wYiekMpLUAmjnzn4qHLQPLDT" TargetMode="External"/><Relationship  Id="rId13" Type="http://schemas.openxmlformats.org/officeDocument/2006/relationships/hyperlink" Target="https://drive.google.com/open?id=1-1DEHEiLNlWgOmoDHP5dg_33lQ8KE6IN" TargetMode="External"/><Relationship  Id="rId14" Type="http://schemas.openxmlformats.org/officeDocument/2006/relationships/hyperlink" Target="https://drive.google.com/open?id=18Pw_4Vdqvxzq5-vsChFv1pvM5XmxsDqy" TargetMode="External"/><Relationship  Id="rId15" Type="http://schemas.openxmlformats.org/officeDocument/2006/relationships/hyperlink" Target="https://drive.google.com/open?id=1RBl4Z-akhMTD-1ri6-JQch-dn3bfiEof" TargetMode="External"/><Relationship  Id="rId16" Type="http://schemas.openxmlformats.org/officeDocument/2006/relationships/hyperlink" Target="https://drive.google.com/open?id=1dLzplsmLiOB19jlkszvaZLCZaQN32Tv9" TargetMode="External"/><Relationship  Id="rId17" Type="http://schemas.openxmlformats.org/officeDocument/2006/relationships/hyperlink" Target="https://drive.google.com/open?id=1tRohT88n0-spkBmS7FoYa4pj8ThysxYY" TargetMode="External"/><Relationship  Id="rId18" Type="http://schemas.openxmlformats.org/officeDocument/2006/relationships/hyperlink" Target="https://github.com/edusense/ClassID" TargetMode="External"/><Relationship  Id="rId19" Type="http://schemas.openxmlformats.org/officeDocument/2006/relationships/hyperlink" Target="https://drive.google.com/open?id=1cqSX3VK14tMc5bt4pWvsGPtVHO44VqI2" TargetMode="External"/><Relationship  Id="rId2" Type="http://schemas.openxmlformats.org/officeDocument/2006/relationships/hyperlink" Target="https://github.com/dayoung-jeong/PRECYSE.git" TargetMode="External"/><Relationship  Id="rId20" Type="http://schemas.openxmlformats.org/officeDocument/2006/relationships/hyperlink" Target="https://github.com/ubicomplab/classification-to-clinical" TargetMode="External"/><Relationship  Id="rId21" Type="http://schemas.openxmlformats.org/officeDocument/2006/relationships/hyperlink" Target="https://drive.google.com/open?id=1yvFdXdcWYmLfhxym9__JiJqRdgZsl_Zj" TargetMode="External"/><Relationship  Id="rId22" Type="http://schemas.openxmlformats.org/officeDocument/2006/relationships/hyperlink" Target="https://drive.google.com/open?id=1FsGpVt8MiPaFo-V39f1UYW0J7R13dUmC" TargetMode="External"/><Relationship  Id="rId23" Type="http://schemas.openxmlformats.org/officeDocument/2006/relationships/hyperlink" Target="https://github.com/aiot-lab/RFBoost?tab=readme-ov-file" TargetMode="External"/><Relationship  Id="rId24" Type="http://schemas.openxmlformats.org/officeDocument/2006/relationships/hyperlink" Target="https://github.com/aiot-lab/RFBoost." TargetMode="External"/><Relationship  Id="rId25" Type="http://schemas.openxmlformats.org/officeDocument/2006/relationships/hyperlink" Target="https://drive.google.com/open?id=1-d8vn2hgsOiu9t5QMP9lHdZMu4zxNnM6" TargetMode="External"/><Relationship  Id="rId26" Type="http://schemas.openxmlformats.org/officeDocument/2006/relationships/hyperlink" Target="https://drive.google.com/open?id=19mBgg5vJd7LtU57_cy6sDYe5TA7X_O3J" TargetMode="External"/><Relationship  Id="rId27" Type="http://schemas.openxmlformats.org/officeDocument/2006/relationships/hyperlink" Target="https://drive.google.com/open?id=1DsOCFytfuezJ1r2c2q1GP_CALsyGfn0c" TargetMode="External"/><Relationship  Id="rId28" Type="http://schemas.openxmlformats.org/officeDocument/2006/relationships/hyperlink" Target="https://drive.google.com/open?id=1jBOW2JAnZbCTwSwXrjE3IZIDTQNL4nTj" TargetMode="External"/><Relationship  Id="rId29" Type="http://schemas.openxmlformats.org/officeDocument/2006/relationships/hyperlink" Target="https://drive.google.com/open?id=1REtd1p1QwJnS-ffNE0OZB8VK4D-mJVto" TargetMode="External"/><Relationship  Id="rId3" Type="http://schemas.openxmlformats.org/officeDocument/2006/relationships/hyperlink" Target="https://drive.google.com/open?id=1QAbDCsyLDzUiLaBawKW8Imph3UZbs0y6" TargetMode="External"/><Relationship  Id="rId30" Type="http://schemas.openxmlformats.org/officeDocument/2006/relationships/hyperlink" Target="https://youtu.be/5fQi2mSYbwA." TargetMode="External"/><Relationship  Id="rId31" Type="http://schemas.openxmlformats.org/officeDocument/2006/relationships/hyperlink" Target="https://drive.google.com/open?id=1GfMit0iA-CSH-UbdTWzP_xF14WSwG2QW" TargetMode="External"/><Relationship  Id="rId32" Type="http://schemas.openxmlformats.org/officeDocument/2006/relationships/hyperlink" Target="https://archive.ics.uci.edu/dataset/240/human+activity+recognition+using+smartphones" TargetMode="External"/><Relationship  Id="rId33" Type="http://schemas.openxmlformats.org/officeDocument/2006/relationships/hyperlink" Target="https://drive.google.com/open?id=1HPRurDLoSx6INp_i2tiO9C80i7OobiXF" TargetMode="External"/><Relationship  Id="rId34" Type="http://schemas.openxmlformats.org/officeDocument/2006/relationships/hyperlink" Target="https://www.nature.com/articles/s41597-020-00629-5" TargetMode="External"/><Relationship  Id="rId35" Type="http://schemas.openxmlformats.org/officeDocument/2006/relationships/hyperlink" Target="https://drive.google.com/open?id=1y0kaFy3gJveKE5jhpTX-04Dqe-FntZ4f" TargetMode="External"/><Relationship  Id="rId36" Type="http://schemas.openxmlformats.org/officeDocument/2006/relationships/hyperlink" Target="https://drive.google.com/open?id=1asjgls1-guQHCuFStYvCrOANosBUQ0dI" TargetMode="External"/><Relationship  Id="rId37" Type="http://schemas.openxmlformats.org/officeDocument/2006/relationships/hyperlink" Target="https://github.com/luca-maxim/hey_whats_going_on" TargetMode="External"/><Relationship  Id="rId38" Type="http://schemas.openxmlformats.org/officeDocument/2006/relationships/hyperlink" Target="https://drive.google.com/open?id=1sQ_60hdUzCfBXNubs9k48ur7lxzVnrY8" TargetMode="External"/><Relationship  Id="rId39" Type="http://schemas.openxmlformats.org/officeDocument/2006/relationships/hyperlink" Target="https://drive.google.com/open?id=1aSxNgwPLjpksa9gxS5VGtficnSf0vQiT" TargetMode="External"/><Relationship  Id="rId4" Type="http://schemas.openxmlformats.org/officeDocument/2006/relationships/hyperlink" Target="https://drive.google.com/open?id=13BaIH81lVuwgeF_x5ZC06xWDsbGD5u9Z" TargetMode="External"/><Relationship  Id="rId40" Type="http://schemas.openxmlformats.org/officeDocument/2006/relationships/hyperlink" Target="https://drive.google.com/open?id=1Qqek41Rxv2bN7Ah7gt8AbrusUH1scN-W" TargetMode="External"/><Relationship  Id="rId41" Type="http://schemas.openxmlformats.org/officeDocument/2006/relationships/hyperlink" Target="https://drive.google.com/open?id=1cHpaRcDTysUFTh7wsqq-6fT47U9qTbke" TargetMode="External"/><Relationship  Id="rId42" Type="http://schemas.openxmlformats.org/officeDocument/2006/relationships/hyperlink" Target="https://drive.google.com/open?id=1wkNV6gYaBPTPGhuImjlTErprq6r9a2xc" TargetMode="External"/><Relationship  Id="rId43" Type="http://schemas.openxmlformats.org/officeDocument/2006/relationships/hyperlink" Target="https://github.com/StanfordHCI/CareQuestionnaire" TargetMode="External"/><Relationship  Id="rId44" Type="http://schemas.openxmlformats.org/officeDocument/2006/relationships/hyperlink" Target="https://drive.google.com/open?id=1sa1kR5vud5u9JD6BmNC7rjIw2kHfZRo0" TargetMode="External"/><Relationship  Id="rId45" Type="http://schemas.openxmlformats.org/officeDocument/2006/relationships/hyperlink" Target="https://drive.google.com/open?id=17-_Bo7wFoKcH-kjSnGrkxuRxpRX3RiZ1" TargetMode="External"/><Relationship  Id="rId46" Type="http://schemas.openxmlformats.org/officeDocument/2006/relationships/hyperlink" Target="https://github.com/hangzhaosbu/Ubicomp2024-Model-Touch-Pointing-and-Detect-Parkinson-s-Disease-via-a-Mobile-Game" TargetMode="External"/><Relationship  Id="rId47" Type="http://schemas.openxmlformats.org/officeDocument/2006/relationships/hyperlink" Target="https://drive.google.com/open?id=1vsRfh6YnIKmqt5r-zN_jLV7ur2KuSZnx" TargetMode="External"/><Relationship  Id="rId48" Type="http://schemas.openxmlformats.org/officeDocument/2006/relationships/hyperlink" Target="https://drive.google.com/open?id=1rrK_2TFv-0kiJqLlRYkC226Od7jKCbhv" TargetMode="External"/><Relationship  Id="rId49" Type="http://schemas.openxmlformats.org/officeDocument/2006/relationships/hyperlink" Target="https://drive.google.com/open?id=14ouGRu-ELI1Dop8eIYwelYGi72OlwXvv" TargetMode="External"/><Relationship  Id="rId5" Type="http://schemas.openxmlformats.org/officeDocument/2006/relationships/hyperlink" Target="https://drive.google.com/open?id=1oYqUVN3iJnBgLx5wiN_mMhe7IESvi51U" TargetMode="External"/><Relationship  Id="rId50" Type="http://schemas.openxmlformats.org/officeDocument/2006/relationships/hyperlink" Target="https://drive.google.com/open?id=1pOX9BmGOLIl-ibMihJpnLtxjbw44CsYN" TargetMode="External"/><Relationship  Id="rId51" Type="http://schemas.openxmlformats.org/officeDocument/2006/relationships/hyperlink" Target="https://github.com/Sky-Wang326/gvoila.git" TargetMode="External"/><Relationship  Id="rId52" Type="http://schemas.openxmlformats.org/officeDocument/2006/relationships/hyperlink" Target="https://drive.google.com/open?id=1srF27giKwHGXsuF_wOX_PG-PSWrK-eR0" TargetMode="External"/><Relationship  Id="rId53" Type="http://schemas.openxmlformats.org/officeDocument/2006/relationships/hyperlink" Target="https://drive.google.com/open?id=15-Gj6uw_f1eNXg5ahQvn6fco7jN71_d1" TargetMode="External"/><Relationship  Id="rId54" Type="http://schemas.openxmlformats.org/officeDocument/2006/relationships/hyperlink" Target="https://drive.google.com/open?id=1IEwn5G1vSJig_MNZs_LPAMjDaklSeeKe" TargetMode="External"/><Relationship  Id="rId55" Type="http://schemas.openxmlformats.org/officeDocument/2006/relationships/hyperlink" Target="https://drive.google.com/open?id=1DrnlSL5xLFpOdFiWI0vmmcsexDj9fLjC" TargetMode="External"/><Relationship  Id="rId56" Type="http://schemas.openxmlformats.org/officeDocument/2006/relationships/hyperlink" Target="https://github.com/soerenab/AudioMNIST" TargetMode="External"/><Relationship  Id="rId57" Type="http://schemas.openxmlformats.org/officeDocument/2006/relationships/hyperlink" Target="https://drive.google.com/open?id=1AGqL-v-dbw2aMnzvPVJBfMHvkpTXP6ZK" TargetMode="External"/><Relationship  Id="rId58" Type="http://schemas.openxmlformats.org/officeDocument/2006/relationships/hyperlink" Target="https://github.com/THU-CS-PI-LAB/EarSAVAS" TargetMode="External"/><Relationship  Id="rId59" Type="http://schemas.openxmlformats.org/officeDocument/2006/relationships/hyperlink" Target="https://www.kaggle.com/datasets/earsavas/earsavas-dataset" TargetMode="External"/><Relationship  Id="rId6" Type="http://schemas.openxmlformats.org/officeDocument/2006/relationships/hyperlink" Target="https://drive.google.com/open?id=1HoAMLgFqnSlXAsjlsPwoarKJG4KxyWLu" TargetMode="External"/><Relationship  Id="rId60" Type="http://schemas.openxmlformats.org/officeDocument/2006/relationships/hyperlink" Target="https://drive.google.com/open?id=1AZT1J8ogO3p6IvS7ojR_wD9xtIsucfA6" TargetMode="External"/><Relationship  Id="rId61" Type="http://schemas.openxmlformats.org/officeDocument/2006/relationships/hyperlink" Target="https://drive.google.com/open?id=14BXoQa2jMVO5GjTfkv2rS1TRdLjEVrkj" TargetMode="External"/><Relationship  Id="rId62" Type="http://schemas.openxmlformats.org/officeDocument/2006/relationships/hyperlink" Target="https://drive.google.com/open?id=1HI3_GYGPk1O955BGNB_PI-syJNsVn7k6" TargetMode="External"/><Relationship  Id="rId63" Type="http://schemas.openxmlformats.org/officeDocument/2006/relationships/hyperlink" Target="https://github.com/USTCWzy/PIMesh" TargetMode="External"/><Relationship  Id="rId64" Type="http://schemas.openxmlformats.org/officeDocument/2006/relationships/hyperlink" Target="https://drive.google.com/open?id=16FsrhGLhRMupoRMKuG8cS0XBr79WHhzO" TargetMode="External"/><Relationship  Id="rId65" Type="http://schemas.openxmlformats.org/officeDocument/2006/relationships/hyperlink" Target="https://github.com/MemX-Research/OS-1" TargetMode="External"/><Relationship  Id="rId66" Type="http://schemas.microsoft.com/office/2017/10/relationships/threadedComment" Target="../threadedComments/threadedComment2.xml"/><Relationship  Id="rId67" Type="http://schemas.openxmlformats.org/officeDocument/2006/relationships/comments" Target="../comments2.xml"/><Relationship  Id="rId68" Type="http://schemas.openxmlformats.org/officeDocument/2006/relationships/vmlDrawing" Target="../drawings/vmlDrawing2.vml"/><Relationship  Id="rId69" Type="http://schemas.openxmlformats.org/officeDocument/2006/relationships/table" Target="../tables/table7.xml"/><Relationship  Id="rId7" Type="http://schemas.openxmlformats.org/officeDocument/2006/relationships/hyperlink" Target="https://drive.google.com/open?id=1Fk4sd6jnXACheRS8Eg4At1d8H_Vuiudm" TargetMode="External"/><Relationship  Id="rId8" Type="http://schemas.openxmlformats.org/officeDocument/2006/relationships/hyperlink" Target="https://drive.google.com/open?id=10b4evvoZVfNIOfEgJ86fZo4FNTwl-jCg" TargetMode="External"/><Relationship  Id="rId9" Type="http://schemas.openxmlformats.org/officeDocument/2006/relationships/hyperlink" Target="https://github.com/JoeZYX/AutoAugHAR" TargetMode="External"/></Relationships>
</file>

<file path=xl/worksheets/_rels/sheet8.xml.rels><?xml version="1.0" encoding="UTF-8" standalone="yes"?><Relationships xmlns="http://schemas.openxmlformats.org/package/2006/relationships"><Relationship  Id="rId1" Type="http://schemas.openxmlformats.org/officeDocument/2006/relationships/hyperlink" Target="https://drive.google.com/open?id=1rIyobI9mPzz1oRcrdipbPmEyfBzH1Jyl" TargetMode="External"/><Relationship  Id="rId10" Type="http://schemas.openxmlformats.org/officeDocument/2006/relationships/hyperlink" Target="https://github.com/iscas-MMSketch/SpeciFingers" TargetMode="External"/><Relationship  Id="rId11" Type="http://schemas.openxmlformats.org/officeDocument/2006/relationships/hyperlink" Target="https://drive.google.com/open?id=1GMyXAqRMBIRyrKRIbwGT348jq0qDSJCl" TargetMode="External"/><Relationship  Id="rId12" Type="http://schemas.openxmlformats.org/officeDocument/2006/relationships/hyperlink" Target="https://drive.google.com/open?id=1feTrv_gyGcf7t-k29al0i4ip8PWy4_0n" TargetMode="External"/><Relationship  Id="rId13" Type="http://schemas.openxmlformats.org/officeDocument/2006/relationships/hyperlink" Target="https://github.com/cruiseresearchgroup/MAPLE" TargetMode="External"/><Relationship  Id="rId14" Type="http://schemas.openxmlformats.org/officeDocument/2006/relationships/hyperlink" Target="https://drive.google.com/open?id=19gyelboLSDVdyJtWG6GXrOR81FLLEe-k" TargetMode="External"/><Relationship  Id="rId15" Type="http://schemas.openxmlformats.org/officeDocument/2006/relationships/hyperlink" Target="https://drive.google.com/open?id=15NPu7rrlF2unRTZqVN5ymKnzzPW_2nTy" TargetMode="External"/><Relationship  Id="rId16" Type="http://schemas.openxmlformats.org/officeDocument/2006/relationships/hyperlink" Target="https://drive.google.com/open?id=1Tku--HZbfyEJTGRYcCMC98giBnhQOc9r" TargetMode="External"/><Relationship  Id="rId17" Type="http://schemas.openxmlformats.org/officeDocument/2006/relationships/hyperlink" Target="https://drive.google.com/open?id=1e0wEHXCKLDIwJf_opUv8HRy4ICQ1iMJh" TargetMode="External"/><Relationship  Id="rId18" Type="http://schemas.openxmlformats.org/officeDocument/2006/relationships/hyperlink" Target="https://drive.google.com/open?id=1NCCuWdw4ThuW1hZzCUPxaemUp4dFpo5m" TargetMode="External"/><Relationship  Id="rId19" Type="http://schemas.openxmlformats.org/officeDocument/2006/relationships/hyperlink" Target="https://drive.google.com/open?id=10Bmeqti1YCCDS4bsm9874v9efK9sYjHO" TargetMode="External"/><Relationship  Id="rId2" Type="http://schemas.openxmlformats.org/officeDocument/2006/relationships/hyperlink" Target="https://drive.google.com/open?id=1uAD-84eiJvZHt6kZs6LArUpj-zIQovAy" TargetMode="External"/><Relationship  Id="rId20" Type="http://schemas.openxmlformats.org/officeDocument/2006/relationships/hyperlink" Target="https://drive.google.com/open?id=1ywhedBoOosFVsocdiYIVK8VARmnoJSCW" TargetMode="External"/><Relationship  Id="rId21" Type="http://schemas.openxmlformats.org/officeDocument/2006/relationships/hyperlink" Target="https://github.com/Samsonsjarkal/EgoADL" TargetMode="External"/><Relationship  Id="rId22" Type="http://schemas.openxmlformats.org/officeDocument/2006/relationships/hyperlink" Target="https://zenodo.org/records/8248159" TargetMode="External"/><Relationship  Id="rId23" Type="http://schemas.openxmlformats.org/officeDocument/2006/relationships/hyperlink" Target="https://drive.google.com/open?id=1WokKajRZjKDQUL73FD59Zxm3z_9b5m-x" TargetMode="External"/><Relationship  Id="rId24" Type="http://schemas.openxmlformats.org/officeDocument/2006/relationships/hyperlink" Target="https://drive.google.com/open?id=1qe8_rJzUbbn3zaK-Dzom6Zs_oZ2DfeqM" TargetMode="External"/><Relationship  Id="rId25" Type="http://schemas.openxmlformats.org/officeDocument/2006/relationships/hyperlink" Target="https://github.com/mltlachac/SLOTH" TargetMode="External"/><Relationship  Id="rId26" Type="http://schemas.openxmlformats.org/officeDocument/2006/relationships/hyperlink" Target="https://drive.google.com/open?id=1-pIwCEvEr91eYptfwC7OAQd2Byaw1zEz" TargetMode="External"/><Relationship  Id="rId27" Type="http://schemas.openxmlformats.org/officeDocument/2006/relationships/hyperlink" Target="https://github.com/Mvrjustid/ubiphysio/tree/main" TargetMode="External"/><Relationship  Id="rId28" Type="http://schemas.openxmlformats.org/officeDocument/2006/relationships/hyperlink" Target="https://drive.google.com/open?id=1IuRpovqSTnVMsHHmEgexh-Zl8Ozou3H4" TargetMode="External"/><Relationship  Id="rId29" Type="http://schemas.openxmlformats.org/officeDocument/2006/relationships/hyperlink" Target="https://github.com/aiotgroup/XRF55-repo" TargetMode="External"/><Relationship  Id="rId3" Type="http://schemas.openxmlformats.org/officeDocument/2006/relationships/hyperlink" Target="https://github.com/LeonardoAlchieri/LateralizationPhysiologicalWearables" TargetMode="External"/><Relationship  Id="rId30" Type="http://schemas.openxmlformats.org/officeDocument/2006/relationships/hyperlink" Target="https://aiotgroup.github.io/XRF55/" TargetMode="External"/><Relationship  Id="rId31" Type="http://schemas.openxmlformats.org/officeDocument/2006/relationships/hyperlink" Target="https://drive.google.com/open?id=15K70n1Yfm_26UAwV82ovJj1sZrStxmwZ" TargetMode="External"/><Relationship  Id="rId32" Type="http://schemas.openxmlformats.org/officeDocument/2006/relationships/hyperlink" Target="https://doi.org/10.1145/3643546" TargetMode="External"/><Relationship  Id="rId33" Type="http://schemas.openxmlformats.org/officeDocument/2006/relationships/hyperlink" Target="https://github.com/Sulingy/UFace" TargetMode="External"/><Relationship  Id="rId34" Type="http://schemas.openxmlformats.org/officeDocument/2006/relationships/hyperlink" Target="https://drive.google.com/open?id=18ve0EbYqHg1SioumQXQEVGGgt0us1i9d" TargetMode="External"/><Relationship  Id="rId35" Type="http://schemas.openxmlformats.org/officeDocument/2006/relationships/hyperlink" Target="https://drive.google.com/open?id=1MzcDIuKku6Gsf8Ppknvh2oORaaENM7Tz" TargetMode="External"/><Relationship  Id="rId36" Type="http://schemas.openxmlformats.org/officeDocument/2006/relationships/hyperlink" Target="https://drive.google.com/open?id=1lFVPtqvN_vGuSs-Ira9hws-5IgplKEf3" TargetMode="External"/><Relationship  Id="rId37" Type="http://schemas.openxmlformats.org/officeDocument/2006/relationships/hyperlink" Target="https://drive.google.com/open?id=184PPPIXLa2r_jm1o6ccei1IC8DAqctxQ" TargetMode="External"/><Relationship  Id="rId38" Type="http://schemas.openxmlformats.org/officeDocument/2006/relationships/hyperlink" Target="https://github.com/ouc-chao-liu/AFace.git" TargetMode="External"/><Relationship  Id="rId39" Type="http://schemas.openxmlformats.org/officeDocument/2006/relationships/hyperlink" Target="https://drive.google.com/open?id=1khz7NyTcZ_ST7mBXfxtM3ahn-SIjOrRU" TargetMode="External"/><Relationship  Id="rId4" Type="http://schemas.openxmlformats.org/officeDocument/2006/relationships/hyperlink" Target="https://drive.google.com/open?id=1gdgfGEPqTUyYr5LX8RS0mrdix1ebtdBE" TargetMode="External"/><Relationship  Id="rId40" Type="http://schemas.openxmlformats.org/officeDocument/2006/relationships/hyperlink" Target="https://drive.google.com/open?id=1cdsb9WNHhfP4BnlQ94VTnFs8qciodMPm" TargetMode="External"/><Relationship  Id="rId41" Type="http://schemas.openxmlformats.org/officeDocument/2006/relationships/hyperlink" Target="https://github.com/zerlina0106/VLC_RSS" TargetMode="External"/><Relationship  Id="rId42" Type="http://schemas.openxmlformats.org/officeDocument/2006/relationships/hyperlink" Target="https://drive.google.com/open?id=1eXz9y1ktG8o6LxzT0blAP01lpvXNE0E6" TargetMode="External"/><Relationship  Id="rId43" Type="http://schemas.openxmlformats.org/officeDocument/2006/relationships/hyperlink" Target="https://drive.google.com/open?id=1tpTDKxIx-arEZUn7GwsKYRhXLrEUWTlp" TargetMode="External"/><Relationship  Id="rId44" Type="http://schemas.openxmlformats.org/officeDocument/2006/relationships/hyperlink" Target="https://drive.google.com/open?id=1WV-h03oEldzCE93DH95s8nrwRro60Q-w" TargetMode="External"/><Relationship  Id="rId45" Type="http://schemas.openxmlformats.org/officeDocument/2006/relationships/hyperlink" Target="https://github.com/neuhai/Mental-LLM" TargetMode="External"/><Relationship  Id="rId46" Type="http://schemas.openxmlformats.org/officeDocument/2006/relationships/hyperlink" Target="https://drive.google.com/open?id=1iO0A_oX9KmKySrF4rCHRyjZanVQ4hgkZ" TargetMode="External"/><Relationship  Id="rId47" Type="http://schemas.openxmlformats.org/officeDocument/2006/relationships/hyperlink" Target="https://drive.google.com/open?id=1Gw6t-fmeu9S9Mt587yNZLQ9661zx200K" TargetMode="External"/><Relationship  Id="rId48" Type="http://schemas.openxmlformats.org/officeDocument/2006/relationships/hyperlink" Target="https://matcha-ide.github.io/" TargetMode="External"/><Relationship  Id="rId49" Type="http://schemas.openxmlformats.org/officeDocument/2006/relationships/hyperlink" Target="https://drive.google.com/open?id=1aabCoIHtUJ_5OGkvSFBIk8jsaEiRYdf9" TargetMode="External"/><Relationship  Id="rId5" Type="http://schemas.openxmlformats.org/officeDocument/2006/relationships/hyperlink" Target="https://drive.google.com/open?id=1QucvSZODCqNupNr8PkbL2WNfGKuyg95e" TargetMode="External"/><Relationship  Id="rId50" Type="http://schemas.openxmlformats.org/officeDocument/2006/relationships/hyperlink" Target="https://drive.google.com/open?id=1uwT0QSgTr0H-hKkHpAKlqs3qAV0S1hpp" TargetMode="External"/><Relationship  Id="rId51" Type="http://schemas.openxmlformats.org/officeDocument/2006/relationships/hyperlink" Target="https://drive.google.com/open?id=1YmPejEey0dSpRFDDCB39eMrG8GquMmqO" TargetMode="External"/><Relationship  Id="rId52" Type="http://schemas.openxmlformats.org/officeDocument/2006/relationships/hyperlink" Target="http://www.github.com/synergylabs/kirigami" TargetMode="External"/><Relationship  Id="rId53" Type="http://schemas.openxmlformats.org/officeDocument/2006/relationships/hyperlink" Target="https://drive.google.com/open?id=1M0RQg6C10krL5jkBi1ieePwqAJvGC0VQ" TargetMode="External"/><Relationship  Id="rId54" Type="http://schemas.openxmlformats.org/officeDocument/2006/relationships/hyperlink" Target="https://github.com/comp-well-org/SPAND_Dataset.git" TargetMode="External"/><Relationship  Id="rId55" Type="http://schemas.openxmlformats.org/officeDocument/2006/relationships/hyperlink" Target="https://drive.google.com/open?id=19cHWjFTbAOz6FJuPhOvLr2FKBhVB0Fr_" TargetMode="External"/><Relationship  Id="rId56" Type="http://schemas.openxmlformats.org/officeDocument/2006/relationships/hyperlink" Target="https://www.kaggle.com/datasets/subigyanepal/college-experience-dataset" TargetMode="External"/><Relationship  Id="rId57" Type="http://schemas.openxmlformats.org/officeDocument/2006/relationships/hyperlink" Target="https://drive.google.com/open?id=13zkrgvKkxomz7uKjk7EYsaFQYB69bypF" TargetMode="External"/><Relationship  Id="rId58" Type="http://schemas.openxmlformats.org/officeDocument/2006/relationships/hyperlink" Target="https://drive.google.com/open?id=180tf3btoo_Lc-k0akdVolls9sSJfTeT8" TargetMode="External"/><Relationship  Id="rId59" Type="http://schemas.openxmlformats.org/officeDocument/2006/relationships/hyperlink" Target="https://drive.google.com/open?id=1iSjmtLXQGZIvRnwsiPdlqXQ8LFdS8lSV" TargetMode="External"/><Relationship  Id="rId6" Type="http://schemas.openxmlformats.org/officeDocument/2006/relationships/hyperlink" Target="https://drive.google.com/open?id=1LssQwc9VjgELElqsn3H7PdTl7IGU-i3a" TargetMode="External"/><Relationship  Id="rId60" Type="http://schemas.openxmlformats.org/officeDocument/2006/relationships/table" Target="../tables/table8.xml"/><Relationship  Id="rId7" Type="http://schemas.openxmlformats.org/officeDocument/2006/relationships/hyperlink" Target="https://drive.google.com/open?id=14d2XJXoMqDsbpN8eUL14O_4BLtSQGfhZ" TargetMode="External"/><Relationship  Id="rId8" Type="http://schemas.openxmlformats.org/officeDocument/2006/relationships/hyperlink" Target="https://drive.google.com/open?id=1Q9DT7X0ZuoFSKCA8vSWURgtYt-6JgIf_" TargetMode="External"/><Relationship  Id="rId9" Type="http://schemas.openxmlformats.org/officeDocument/2006/relationships/hyperlink" Target="https://drive.google.com/open?id=1Vk2MZ-2HORL9Ws2mxTmzq5Dj_NS1eL5J" TargetMode="External"/></Relationships>
</file>

<file path=xl/worksheets/_rels/sheet9.xml.rels><?xml version="1.0" encoding="UTF-8" standalone="yes"?><Relationships xmlns="http://schemas.openxmlformats.org/package/2006/relationships"><Relationship  Id="rId1" Type="http://schemas.openxmlformats.org/officeDocument/2006/relationships/hyperlink" Target="https://drive.google.com/open?id=1dEP5UFwONfkK64XrwtMOSGvdWaqd8XGc" TargetMode="External"/><Relationship  Id="rId10" Type="http://schemas.openxmlformats.org/officeDocument/2006/relationships/hyperlink" Target="https://drive.google.com/open?id=1FIY2r33b5BgVCLc2-1YkyQyNvllAleE7" TargetMode="External"/><Relationship  Id="rId11" Type="http://schemas.openxmlformats.org/officeDocument/2006/relationships/hyperlink" Target="https://drive.google.com/open?id=1gZYMtnSjO6Gt3xRQU8SBbrWp1ZYLQQnR" TargetMode="External"/><Relationship  Id="rId12" Type="http://schemas.openxmlformats.org/officeDocument/2006/relationships/hyperlink" Target="https://drive.google.com/open?id=1Xl7XbQGPMtlj85KZUdkhrDE4IPL_zr5G" TargetMode="External"/><Relationship  Id="rId13" Type="http://schemas.openxmlformats.org/officeDocument/2006/relationships/hyperlink" Target="https://drive.google.com/open?id=111o2hwFpvRNP4EKzIMgAmaW9v0AgsZp7" TargetMode="External"/><Relationship  Id="rId14" Type="http://schemas.openxmlformats.org/officeDocument/2006/relationships/hyperlink" Target="https://drive.google.com/open?id=1TBLQsI-LSyxHw3u2b5csVUXPEsbkaXj8" TargetMode="External"/><Relationship  Id="rId15" Type="http://schemas.openxmlformats.org/officeDocument/2006/relationships/hyperlink" Target="https://github.com/FL-Bias/ASTRAL" TargetMode="External"/><Relationship  Id="rId16" Type="http://schemas.openxmlformats.org/officeDocument/2006/relationships/hyperlink" Target="https://drive.google.com/open?id=1aeS6FM8-6KyHbZrysYef-cfbbTksdM3X" TargetMode="External"/><Relationship  Id="rId17" Type="http://schemas.openxmlformats.org/officeDocument/2006/relationships/hyperlink" Target="https://drive.google.com/open?id=1-vzjEJ1ZL357jTc7VeIcXdGg2ujyuJoA" TargetMode="External"/><Relationship  Id="rId18" Type="http://schemas.openxmlformats.org/officeDocument/2006/relationships/hyperlink" Target="https://github.com/GMouYes/DHC_HGL" TargetMode="External"/><Relationship  Id="rId19" Type="http://schemas.openxmlformats.org/officeDocument/2006/relationships/hyperlink" Target="https://drive.google.com/open?id=1LjW_6UT9NzRhu0HH2uNlagfIMMgARriN" TargetMode="External"/><Relationship  Id="rId2" Type="http://schemas.openxmlformats.org/officeDocument/2006/relationships/hyperlink" Target="https://github.com/rishi-a/JoulesEye-Release" TargetMode="External"/><Relationship  Id="rId20" Type="http://schemas.openxmlformats.org/officeDocument/2006/relationships/hyperlink" Target="https://drive.google.com/open?id=1Wy7PMbt5bNbthp-55RZnecTpgKI0jE-h" TargetMode="External"/><Relationship  Id="rId21" Type="http://schemas.openxmlformats.org/officeDocument/2006/relationships/hyperlink" Target="https://drive.google.com/open?id=13B8A6B3gahg7qNOuXeWFiao_IPixyyf3" TargetMode="External"/><Relationship  Id="rId22" Type="http://schemas.openxmlformats.org/officeDocument/2006/relationships/hyperlink" Target="https://github.com/UBC-X-Lab/SurfShare" TargetMode="External"/><Relationship  Id="rId23" Type="http://schemas.openxmlformats.org/officeDocument/2006/relationships/hyperlink" Target="https://drive.google.com/open?id=1_I3_ANGShal0Fr9WQL9p7cqM7YTiZmMp" TargetMode="External"/><Relationship  Id="rId24" Type="http://schemas.openxmlformats.org/officeDocument/2006/relationships/hyperlink" Target="https://github.com/Ds-Kang/MIRROR" TargetMode="External"/><Relationship  Id="rId25" Type="http://schemas.openxmlformats.org/officeDocument/2006/relationships/hyperlink" Target="https://drive.google.com/open?id=1DYI_uvQ6rTQTU8BljtAbezY7FLZPvkpH" TargetMode="External"/><Relationship  Id="rId26" Type="http://schemas.openxmlformats.org/officeDocument/2006/relationships/hyperlink" Target="https://drive.google.com/open?id=1fWFV_dTt2GZ6fjcC7j1EbZ0zKY4cBOIt" TargetMode="External"/><Relationship  Id="rId27" Type="http://schemas.openxmlformats.org/officeDocument/2006/relationships/hyperlink" Target="https://drive.google.com/open?id=1B5ImZrvEw1Qw8Pdrv3cMZ5taqhh8y5ep" TargetMode="External"/><Relationship  Id="rId28" Type="http://schemas.openxmlformats.org/officeDocument/2006/relationships/hyperlink" Target="https://drive.google.com/open?id=1ZSGQFH3XdRix9PjOxE1pQmnHhA5uNQQz" TargetMode="External"/><Relationship  Id="rId29" Type="http://schemas.openxmlformats.org/officeDocument/2006/relationships/hyperlink" Target="https://drive.google.com/open?id=1MIyeF4H1L0c5DYxWYuuNbZYYcJjvFWUd" TargetMode="External"/><Relationship  Id="rId3" Type="http://schemas.openxmlformats.org/officeDocument/2006/relationships/hyperlink" Target="https://drive.google.com/open?id=12B_rmseMgHktAqr_m3Wq4AXgKm4iAmrX" TargetMode="External"/><Relationship  Id="rId30" Type="http://schemas.openxmlformats.org/officeDocument/2006/relationships/hyperlink" Target="https://drive.google.com/open?id=1nNYqQ8XNiIuulWMzrf8ndGrsUbvxg75n" TargetMode="External"/><Relationship  Id="rId31" Type="http://schemas.openxmlformats.org/officeDocument/2006/relationships/hyperlink" Target="https://drive.google.com/open?id=1L6V_YnXWyeATSjrP9ru00MVT9MqS6sjv" TargetMode="External"/><Relationship  Id="rId32" Type="http://schemas.openxmlformats.org/officeDocument/2006/relationships/hyperlink" Target="https://drive.google.com/open?id=1lTFt8MBkut00-xGk3IPC4GhrzS9RFS-A" TargetMode="External"/><Relationship  Id="rId33" Type="http://schemas.openxmlformats.org/officeDocument/2006/relationships/hyperlink" Target="https://github.com/MarvinMartin24/ADAShark-Human-Performance/" TargetMode="External"/><Relationship  Id="rId34" Type="http://schemas.openxmlformats.org/officeDocument/2006/relationships/hyperlink" Target="https://drive.google.com/open?id=1KLVYBi9CaXst4z6n7JNpiJZLBTUsVbrx" TargetMode="External"/><Relationship  Id="rId35" Type="http://schemas.openxmlformats.org/officeDocument/2006/relationships/hyperlink" Target="https://github.com/wdkhuans/STMAE" TargetMode="External"/><Relationship  Id="rId36" Type="http://schemas.openxmlformats.org/officeDocument/2006/relationships/hyperlink" Target="https://drive.google.com/file/d/1KLVYBi9CaXst4z6n7JNpiJZLBTUsVbrx/view" TargetMode="External"/><Relationship  Id="rId37" Type="http://schemas.openxmlformats.org/officeDocument/2006/relationships/hyperlink" Target="https://drive.google.com/open?id=1WMy4BuU_U6_CKOv7pMePkhqhHodNXJI3" TargetMode="External"/><Relationship  Id="rId38" Type="http://schemas.openxmlformats.org/officeDocument/2006/relationships/hyperlink" Target="https://drive.google.com/open?id=1wz0NcrjwGeDkN3hK-iJ90I8XFXz5Rip4" TargetMode="External"/><Relationship  Id="rId39" Type="http://schemas.openxmlformats.org/officeDocument/2006/relationships/hyperlink" Target="https://drive.google.com/open?id=1mYW3q_M5_XUqkOli3kp65XqUNZ7eqY-A" TargetMode="External"/><Relationship  Id="rId4" Type="http://schemas.openxmlformats.org/officeDocument/2006/relationships/hyperlink" Target="https://drive.google.com/open?id=18dHxNmY3gZQR9vjIy-JjOiKGB3k5S-Yw" TargetMode="External"/><Relationship  Id="rId40" Type="http://schemas.openxmlformats.org/officeDocument/2006/relationships/hyperlink" Target="https://drive.google.com/open?id=15j8OIiwN_JtJOR25_rdpqSndXyoRHPv1" TargetMode="External"/><Relationship  Id="rId41" Type="http://schemas.openxmlformats.org/officeDocument/2006/relationships/hyperlink" Target="https://drive.google.com/open?id=1BsY2eFZB70YZyYn6P3MQNiz4atVcxHh_" TargetMode="External"/><Relationship  Id="rId42" Type="http://schemas.openxmlformats.org/officeDocument/2006/relationships/hyperlink" Target="https://drive.google.com/open?id=1oCFOhwcGlLzbOc-2BZ1X1bRJERk5kZqc" TargetMode="External"/><Relationship  Id="rId43" Type="http://schemas.openxmlformats.org/officeDocument/2006/relationships/hyperlink" Target="https://drive.google.com/open?id=1MJYrqme2KY4JXnYmuBqUU2u_rY34PlhC" TargetMode="External"/><Relationship  Id="rId44" Type="http://schemas.openxmlformats.org/officeDocument/2006/relationships/hyperlink" Target="https://drive.google.com/open?id=18afKX0F3W4wKoRLxAbFhIjO7puPyiTce" TargetMode="External"/><Relationship  Id="rId45" Type="http://schemas.openxmlformats.org/officeDocument/2006/relationships/hyperlink" Target="https://drive.google.com/open?id=12-D4JS89dNhx_gTkyp0dhsn9MXN3AJRQ" TargetMode="External"/><Relationship  Id="rId46" Type="http://schemas.openxmlformats.org/officeDocument/2006/relationships/hyperlink" Target="https://github.com/hariv/aragorn" TargetMode="External"/><Relationship  Id="rId47" Type="http://schemas.openxmlformats.org/officeDocument/2006/relationships/hyperlink" Target="https://drive.google.com/open?id=164wXq-yt-HYPz3wb7S466qZPU4WW24A3" TargetMode="External"/><Relationship  Id="rId48" Type="http://schemas.openxmlformats.org/officeDocument/2006/relationships/hyperlink" Target="https://drive.google.com/open?id=1zfZwG14bvj35xlVe0fGWovSVHpaL-1zF" TargetMode="External"/><Relationship  Id="rId49" Type="http://schemas.openxmlformats.org/officeDocument/2006/relationships/hyperlink" Target="https://github.com/Claydon-Wang/OFTTA" TargetMode="External"/><Relationship  Id="rId5" Type="http://schemas.openxmlformats.org/officeDocument/2006/relationships/hyperlink" Target="https://drive.google.com/open?id=1kzvLdmyOIZwl6DgVSh5ZjgtWbQ1TAMXJ" TargetMode="External"/><Relationship  Id="rId50" Type="http://schemas.openxmlformats.org/officeDocument/2006/relationships/hyperlink" Target="https://drive.google.com/open?id=1OV0sP_ztuMokpNLiBkHHEJLHDmLxfu95" TargetMode="External"/><Relationship  Id="rId51" Type="http://schemas.openxmlformats.org/officeDocument/2006/relationships/hyperlink" Target="https://drive.google.com/open?id=1MMqJecnP1NmjXhU5QK0o2v0OiFSEy4yE" TargetMode="External"/><Relationship  Id="rId52" Type="http://schemas.openxmlformats.org/officeDocument/2006/relationships/hyperlink" Target="https://drive.google.com/open?id=1fQC_Z0lLuM00wlNXVS4gythIhBX-PzCy" TargetMode="External"/><Relationship  Id="rId53" Type="http://schemas.openxmlformats.org/officeDocument/2006/relationships/hyperlink" Target="https://drive.google.com/open?id=1OeoEZAhc1mBUCK39sxvO_OjpbqRJ8l99" TargetMode="External"/><Relationship  Id="rId54" Type="http://schemas.openxmlformats.org/officeDocument/2006/relationships/hyperlink" Target="https://drive.google.com/open?id=1ISuiaaPr0eBPZvjOOiPMhqBelBgPkR7U" TargetMode="External"/><Relationship  Id="rId55" Type="http://schemas.openxmlformats.org/officeDocument/2006/relationships/hyperlink" Target="https://github.com/XXXiaKang/TS2ACT" TargetMode="External"/><Relationship  Id="rId56" Type="http://schemas.openxmlformats.org/officeDocument/2006/relationships/hyperlink" Target="https://drive.google.com/open?id=1_Puuv0frjb1yM7NpDepYQG6VUK-oYDdt" TargetMode="External"/><Relationship  Id="rId57" Type="http://schemas.openxmlformats.org/officeDocument/2006/relationships/hyperlink" Target="https://drive.google.com/open?id=11gkSYJJ4Pk2b6AmLp8SKdsNS9ZPhUHFF" TargetMode="External"/><Relationship  Id="rId58" Type="http://schemas.openxmlformats.org/officeDocument/2006/relationships/hyperlink" Target="https://drive.google.com/open?id=1daHiB67f4h5JhD0yfYVqBf5kr5dSTQYC" TargetMode="External"/><Relationship  Id="rId59" Type="http://schemas.openxmlformats.org/officeDocument/2006/relationships/hyperlink" Target="https://drive.google.com/open?id=1UF67rg-9zWtJOWU8v-xIghYvd1tjDiKO" TargetMode="External"/><Relationship  Id="rId6" Type="http://schemas.openxmlformats.org/officeDocument/2006/relationships/hyperlink" Target="https://drive.google.com/open?id=1ZjxGje_Jop3An55-53epmp67G8XSh8vv" TargetMode="External"/><Relationship  Id="rId60" Type="http://schemas.openxmlformats.org/officeDocument/2006/relationships/hyperlink" Target="https://anranxu.github.io/DIPA2_VIS/" TargetMode="External"/><Relationship  Id="rId61" Type="http://schemas.openxmlformats.org/officeDocument/2006/relationships/hyperlink" Target="https://drive.google.com/open?id=1ldwEZAM53GU8oDV5DHmGoCdDNWsn5XlD" TargetMode="External"/><Relationship  Id="rId62" Type="http://schemas.openxmlformats.org/officeDocument/2006/relationships/hyperlink" Target="https://drive.google.com/open?id=1uL2JdspIVP4W_yR8VuvTiC_gx6vHYcCW" TargetMode="External"/><Relationship  Id="rId63" Type="http://schemas.openxmlformats.org/officeDocument/2006/relationships/hyperlink" Target="https://drive.google.com/open?id=1pi02bjTekuzqjcAxiGemDps3sl_XDrjo" TargetMode="External"/><Relationship  Id="rId64" Type="http://schemas.openxmlformats.org/officeDocument/2006/relationships/hyperlink" Target="https://drive.google.com/open?id=1hMYs64NnCtLkBu3YjIs9bEg4_8moQK5d" TargetMode="External"/><Relationship  Id="rId65" Type="http://schemas.openxmlformats.org/officeDocument/2006/relationships/hyperlink" Target="https://github.com/ka-moamoa/Practical_SMFC_Design_Guide" TargetMode="External"/><Relationship  Id="rId66" Type="http://schemas.openxmlformats.org/officeDocument/2006/relationships/hyperlink" Target="https://drive.google.com/open?id=1Kr6gLAh05ekzH1jD9iw7EM3O-yVcV83M" TargetMode="External"/><Relationship  Id="rId67" Type="http://schemas.openxmlformats.org/officeDocument/2006/relationships/hyperlink" Target="https://drive.google.com/open?id=1-_eJVwmwxDQxjtq1bhYe3F56ojYpsiQ6" TargetMode="External"/><Relationship  Id="rId68" Type="http://schemas.openxmlformats.org/officeDocument/2006/relationships/hyperlink" Target="https://drive.google.com/open?id=1tQt-l___itZGC_ZGrCYQw9mfX1gUNjSW" TargetMode="External"/><Relationship  Id="rId69" Type="http://schemas.openxmlformats.org/officeDocument/2006/relationships/hyperlink" Target="https://drive.google.com/open?id=1-cjtwnwtQ7RmBNf3YrHAlz9JOl5I7uWO" TargetMode="External"/><Relationship  Id="rId7" Type="http://schemas.openxmlformats.org/officeDocument/2006/relationships/hyperlink" Target="https://drive.google.com/open?id=1Ixhdr30l-vW3lUWs8D3jZGKvw3eg2mmr" TargetMode="External"/><Relationship  Id="rId70" Type="http://schemas.openxmlformats.org/officeDocument/2006/relationships/hyperlink" Target="https://github.com/H-WILD/human_held_device_wifi_indoor_localization_dataset" TargetMode="External"/><Relationship  Id="rId71" Type="http://schemas.openxmlformats.org/officeDocument/2006/relationships/hyperlink" Target="https://drive.google.com/open?id=1qzrcudGMr-cGbEmsd6WUX_g6MmchI3Eu" TargetMode="External"/><Relationship  Id="rId72" Type="http://schemas.openxmlformats.org/officeDocument/2006/relationships/hyperlink" Target="https://drive.google.com/open?id=1tQtZ174VVGIhg-QOyGbwKThqWe3qsyRm" TargetMode="External"/><Relationship  Id="rId73" Type="http://schemas.openxmlformats.org/officeDocument/2006/relationships/hyperlink" Target="https://github.com/qiushi-zhou/Reflected-Reality-HoloLens-Selection" TargetMode="External"/><Relationship  Id="rId74" Type="http://schemas.openxmlformats.org/officeDocument/2006/relationships/hyperlink" Target="https://drive.google.com/open?id=1DDFuhe4IB6zb56jfNZYtcel-dKvRttLP" TargetMode="External"/><Relationship  Id="rId75" Type="http://schemas.openxmlformats.org/officeDocument/2006/relationships/hyperlink" Target="https://drive.google.com/open?id=1MOcRoj9ePXt9F2iMbdFZ2bdGgJ7u5Kxc" TargetMode="External"/><Relationship  Id="rId76" Type="http://schemas.openxmlformats.org/officeDocument/2006/relationships/hyperlink" Target="https://github.com/privacy-federated-learning/pastel" TargetMode="External"/><Relationship  Id="rId77" Type="http://schemas.openxmlformats.org/officeDocument/2006/relationships/hyperlink" Target="https://drive.google.com/open?id=1lsZPLOqRZfI3fvZNPaQeWX1LsGieeFvt" TargetMode="External"/><Relationship  Id="rId78" Type="http://schemas.microsoft.com/office/2017/10/relationships/threadedComment" Target="../threadedComments/threadedComment3.xml"/><Relationship  Id="rId79" Type="http://schemas.openxmlformats.org/officeDocument/2006/relationships/comments" Target="../comments3.xml"/><Relationship  Id="rId8" Type="http://schemas.openxmlformats.org/officeDocument/2006/relationships/hyperlink" Target="https://www.dropbox.com/sh/5l0lm4po64xf6jd/AACuMt_oGy99Beyz_IMeknQ6a?dl=0" TargetMode="External"/><Relationship  Id="rId80" Type="http://schemas.openxmlformats.org/officeDocument/2006/relationships/vmlDrawing" Target="../drawings/vmlDrawing3.vml"/><Relationship  Id="rId81" Type="http://schemas.openxmlformats.org/officeDocument/2006/relationships/table" Target="../tables/table9.xml"/><Relationship  Id="rId9" Type="http://schemas.openxmlformats.org/officeDocument/2006/relationships/hyperlink" Target="https://drive.google.com/open?id=1uriMkvzIbbfQqab5ofA-bGkwOkuKLxOG" TargetMode="External"/></Relationships>
</file>

<file path=xl/worksheets/_rels/sheet10.xml.rels><?xml version="1.0" encoding="UTF-8" standalone="yes"?><Relationships xmlns="http://schemas.openxmlformats.org/package/2006/relationships"><Relationship  Id="rId1" Type="http://schemas.openxmlformats.org/officeDocument/2006/relationships/hyperlink" Target="https://drive.google.com/open?id=1kgxG5dusmBkASzbtiFd7okCFP89JxZFz" TargetMode="External"/><Relationship  Id="rId10" Type="http://schemas.openxmlformats.org/officeDocument/2006/relationships/hyperlink" Target="https://drive.google.com/open?id=16fizvyvrycLw-QcqYs8AHR-uQfqDjK1U" TargetMode="External"/><Relationship  Id="rId11" Type="http://schemas.openxmlformats.org/officeDocument/2006/relationships/hyperlink" Target="https://drive.google.com/open?id=1UV2Q_rRAqN3lmFCtTYWwhlt5RGJTbmkf" TargetMode="External"/><Relationship  Id="rId12" Type="http://schemas.openxmlformats.org/officeDocument/2006/relationships/hyperlink" Target="https://augmented-perception.org/publications/2023-realityreplay" TargetMode="External"/><Relationship  Id="rId13" Type="http://schemas.openxmlformats.org/officeDocument/2006/relationships/hyperlink" Target="https://drive.google.com/open?id=1XVZ6lzAfFYa6en-2LAhPu4O8FP-BcLAp" TargetMode="External"/><Relationship  Id="rId14" Type="http://schemas.openxmlformats.org/officeDocument/2006/relationships/hyperlink" Target="https://drive.google.com/open?id=1mvZpuwDKqA0Sx0tJRvDnnXRGs19fx9DT" TargetMode="External"/><Relationship  Id="rId15" Type="http://schemas.openxmlformats.org/officeDocument/2006/relationships/hyperlink" Target="https://drive.google.com/open?id=18kgsdtDYqm7UqFIMmAFnuLgQCDsT2q37" TargetMode="External"/><Relationship  Id="rId16" Type="http://schemas.openxmlformats.org/officeDocument/2006/relationships/hyperlink" Target="https://drive.google.com/open?id=1zZfVSAnqi8RBKADlH_D4OcpReMqRed47" TargetMode="External"/><Relationship  Id="rId17" Type="http://schemas.openxmlformats.org/officeDocument/2006/relationships/hyperlink" Target="https://github.com/easyfan327/FewShotBP" TargetMode="External"/><Relationship  Id="rId18" Type="http://schemas.openxmlformats.org/officeDocument/2006/relationships/hyperlink" Target="https://drive.google.com/open?id=11-NXy_nEw6SfV3mk2zEPPRdvJWQnW8yK" TargetMode="External"/><Relationship  Id="rId19" Type="http://schemas.openxmlformats.org/officeDocument/2006/relationships/hyperlink" Target="https://github.com/teco-kit/discriminative_touch_and_affective_touch_actuators" TargetMode="External"/><Relationship  Id="rId2" Type="http://schemas.openxmlformats.org/officeDocument/2006/relationships/hyperlink" Target="https://drive.google.com/open?id=1Llsqe4s5RVsf9H4GG_HyYUm22x88HIEZ" TargetMode="External"/><Relationship  Id="rId20" Type="http://schemas.openxmlformats.org/officeDocument/2006/relationships/hyperlink" Target="https://drive.google.com/open?id=1zGJAuR2u4wV4w-Pi83B_woL8fmUoiBI2" TargetMode="External"/><Relationship  Id="rId21" Type="http://schemas.openxmlformats.org/officeDocument/2006/relationships/hyperlink" Target="https://drive.google.com/open?id=1bBZFD1AUehyKfqud--YtbX2GZMtGOyb-" TargetMode="External"/><Relationship  Id="rId22" Type="http://schemas.openxmlformats.org/officeDocument/2006/relationships/hyperlink" Target="https://drive.google.com/open?id=1PctuyNLjpguF7lGiVaKZIIH6c6x-j2Eb" TargetMode="External"/><Relationship  Id="rId23" Type="http://schemas.openxmlformats.org/officeDocument/2006/relationships/hyperlink" Target="https://drive.google.com/open?id=1LtxIDFqpGztx6xR5TrHFUiX5Vuo-NYWM" TargetMode="External"/><Relationship  Id="rId24" Type="http://schemas.openxmlformats.org/officeDocument/2006/relationships/hyperlink" Target="https://drive.google.com/open?id=1uBDPKN3NoXNDr0EtcT_jSUxEXX2mKU34" TargetMode="External"/><Relationship  Id="rId25" Type="http://schemas.openxmlformats.org/officeDocument/2006/relationships/hyperlink" Target="https://github.com/NUS-HCILab/GlassMessaging" TargetMode="External"/><Relationship  Id="rId26" Type="http://schemas.openxmlformats.org/officeDocument/2006/relationships/hyperlink" Target="https://drive.google.com/open?id=1sLm8sVEcYUmYoVFjIPQB55IsXNGLjpyN" TargetMode="External"/><Relationship  Id="rId27" Type="http://schemas.openxmlformats.org/officeDocument/2006/relationships/hyperlink" Target="https://drive.google.com/open?id=1STNFRabNwlrGlLlsUNfExJPiI0Y6piP9" TargetMode="External"/><Relationship  Id="rId28" Type="http://schemas.openxmlformats.org/officeDocument/2006/relationships/hyperlink" Target="https://drive.google.com/open?id=15uo4bhTl_R5qUVHH6FcRXJHWzoOgzN9S" TargetMode="External"/><Relationship  Id="rId29" Type="http://schemas.openxmlformats.org/officeDocument/2006/relationships/hyperlink" Target="https://drive.google.com/open?id=1f-YaXqAAvsNLH0f-Rs3JMr07ZsVVZ3wz" TargetMode="External"/><Relationship  Id="rId3" Type="http://schemas.openxmlformats.org/officeDocument/2006/relationships/hyperlink" Target="https://github.com/abulalarabi/e3d" TargetMode="External"/><Relationship  Id="rId30" Type="http://schemas.openxmlformats.org/officeDocument/2006/relationships/hyperlink" Target="https://github.com/GWANGBIN/WW2E" TargetMode="External"/><Relationship  Id="rId31" Type="http://schemas.openxmlformats.org/officeDocument/2006/relationships/hyperlink" Target="https://drive.google.com/open?id=1vBn0iTrfI0pCSW6qCJQhrdfvy1KneCHv" TargetMode="External"/><Relationship  Id="rId32" Type="http://schemas.openxmlformats.org/officeDocument/2006/relationships/hyperlink" Target="https://drive.google.com/open?id=1i-Y0GrkWdmohLTsJ8SNyBu23KRCOUrRS" TargetMode="External"/><Relationship  Id="rId33" Type="http://schemas.openxmlformats.org/officeDocument/2006/relationships/hyperlink" Target="https://drive.google.com/open?id=1pzFbb-6eIxJ9ZWI5NHjStG73ubeDPKNh" TargetMode="External"/><Relationship  Id="rId34" Type="http://schemas.openxmlformats.org/officeDocument/2006/relationships/hyperlink" Target="http://dai.cs.rutgers.edu/dai/s/signbank" TargetMode="External"/><Relationship  Id="rId35" Type="http://schemas.openxmlformats.org/officeDocument/2006/relationships/hyperlink" Target="https://drive.google.com/open?id=1yi-IdsaOtlxTbSBmWMvUtcXLijAlRUQA" TargetMode="External"/><Relationship  Id="rId36" Type="http://schemas.openxmlformats.org/officeDocument/2006/relationships/hyperlink" Target="https://drive.google.com/open?id=1NcfMk_Q1n2zAJH3yH-1gq3Nk3uz_46wf" TargetMode="External"/><Relationship  Id="rId37" Type="http://schemas.openxmlformats.org/officeDocument/2006/relationships/hyperlink" Target="https://doi.org/10.18738/T8/U6CFIP" TargetMode="External"/><Relationship  Id="rId38" Type="http://schemas.openxmlformats.org/officeDocument/2006/relationships/hyperlink" Target="https://drive.google.com/open?id=1Dk9SwdXscuGtzaQhMQHJ3QfWMBUJQ_Ax" TargetMode="External"/><Relationship  Id="rId39" Type="http://schemas.openxmlformats.org/officeDocument/2006/relationships/hyperlink" Target="https://github.com/shadowamy/Activity-Stress" TargetMode="External"/><Relationship  Id="rId4" Type="http://schemas.openxmlformats.org/officeDocument/2006/relationships/hyperlink" Target="https://drive.google.com/open?id=1kn5jlPdbwLKXLe0MkEqbIy1WAVPDWiAd" TargetMode="External"/><Relationship  Id="rId40" Type="http://schemas.openxmlformats.org/officeDocument/2006/relationships/hyperlink" Target="https://drive.google.com/open?id=1gnVwfu2R6-81hjUZUhTDSwHxuayhuO1T" TargetMode="External"/><Relationship  Id="rId41" Type="http://schemas.openxmlformats.org/officeDocument/2006/relationships/hyperlink" Target="https://drive.google.com/open?id=1jCGIE8JYdmZLJCNquCfcwRskZ5zouplZ" TargetMode="External"/><Relationship  Id="rId42" Type="http://schemas.openxmlformats.org/officeDocument/2006/relationships/hyperlink" Target="https://drive.google.com/file/d/1jCGIE8JYdmZLJCNquCfcwRskZ5zouplZ/view" TargetMode="External"/><Relationship  Id="rId43" Type="http://schemas.openxmlformats.org/officeDocument/2006/relationships/hyperlink" Target="https://drive.google.com/open?id=1eU8fS-uJdXJuaJ5Iw5UFH4EM2YPr9mSL" TargetMode="External"/><Relationship  Id="rId44" Type="http://schemas.openxmlformats.org/officeDocument/2006/relationships/hyperlink" Target="https://drive.google.com/open?id=16ZXEzZiFd_palrP0Mp9JoBNSq9vYVZjT" TargetMode="External"/><Relationship  Id="rId45" Type="http://schemas.openxmlformats.org/officeDocument/2006/relationships/hyperlink" Target="https://drive.google.com/open?id=1mOIQJ6L7bOPmRGH7nG41Io-_5SH1IuPe" TargetMode="External"/><Relationship  Id="rId46" Type="http://schemas.openxmlformats.org/officeDocument/2006/relationships/hyperlink" Target="https://github.com/MemX-Research/CASES" TargetMode="External"/><Relationship  Id="rId47" Type="http://schemas.openxmlformats.org/officeDocument/2006/relationships/hyperlink" Target="https://drive.google.com/open?id=1l6lcS1ICwlKgMY4-fTIlSHUTe4oZlf1c" TargetMode="External"/><Relationship  Id="rId48" Type="http://schemas.openxmlformats.org/officeDocument/2006/relationships/hyperlink" Target="https://github.com/eis-lab/attfl" TargetMode="External"/><Relationship  Id="rId49" Type="http://schemas.openxmlformats.org/officeDocument/2006/relationships/hyperlink" Target="https://drive.google.com/open?id=1efoyda75e615CiHFjw1UlAXkLXlYr1Wk" TargetMode="External"/><Relationship  Id="rId5" Type="http://schemas.openxmlformats.org/officeDocument/2006/relationships/hyperlink" Target="https://drive.google.com/open?id=1_Gc4RzYMc8b12TAANl1sLmc-IA-miad2" TargetMode="External"/><Relationship  Id="rId50" Type="http://schemas.openxmlformats.org/officeDocument/2006/relationships/hyperlink" Target="http://www.github.com/synergylabs/vax" TargetMode="External"/><Relationship  Id="rId51" Type="http://schemas.openxmlformats.org/officeDocument/2006/relationships/hyperlink" Target="https://drive.google.com/open?id=1Ms6R8FVjzXqsoeU6T2ldINOxDIyMcR2R" TargetMode="External"/><Relationship  Id="rId52" Type="http://schemas.openxmlformats.org/officeDocument/2006/relationships/hyperlink" Target="https://doi.org/10.17605/OSF.IO/XQEJ5." TargetMode="External"/><Relationship  Id="rId53" Type="http://schemas.openxmlformats.org/officeDocument/2006/relationships/hyperlink" Target="https://drive.google.com/open?id=1Ot-SWHhNxaRU2xKfAqeJ1dLa2nzNyjBj" TargetMode="External"/><Relationship  Id="rId54" Type="http://schemas.openxmlformats.org/officeDocument/2006/relationships/hyperlink" Target="https://drive.google.com/open?id=1QSQH2XZTXrGDaRIyg7xlzpBzbpT2jEJ2" TargetMode="External"/><Relationship  Id="rId55" Type="http://schemas.openxmlformats.org/officeDocument/2006/relationships/hyperlink" Target="https://drive.google.com/open?id=1ujqtD9roQjwrYhF7GWsXfEYbr_GapLP0" TargetMode="External"/><Relationship  Id="rId56" Type="http://schemas.openxmlformats.org/officeDocument/2006/relationships/hyperlink" Target="https://drive.google.com/open?id=1lerFpedPgdI8icipmwQBPxlrHrCKEhXV" TargetMode="External"/><Relationship  Id="rId57" Type="http://schemas.openxmlformats.org/officeDocument/2006/relationships/hyperlink" Target="https://drive.google.com/open?id=15K-oCkb2dlAa1MHXE7xrT6OnU808OfwK" TargetMode="External"/><Relationship  Id="rId58" Type="http://schemas.openxmlformats.org/officeDocument/2006/relationships/hyperlink" Target="https://drive.google.com/open?id=1B-kymUbbPx26TJe-RZeVpVeKQqxqVZbG" TargetMode="External"/><Relationship  Id="rId59" Type="http://schemas.openxmlformats.org/officeDocument/2006/relationships/hyperlink" Target="https://github.com/Interactions-HSG/blearvis/." TargetMode="External"/><Relationship  Id="rId6" Type="http://schemas.openxmlformats.org/officeDocument/2006/relationships/hyperlink" Target="https://drive.google.com/open?id=1Km5QamkzP5a3ZzeWDYb0qAyz7oHWD3o8" TargetMode="External"/><Relationship  Id="rId60" Type="http://schemas.openxmlformats.org/officeDocument/2006/relationships/hyperlink" Target="https://drive.google.com/open?id=1tlsOa1DqJTTryCAen4fiX3UxeqBj7AwZ" TargetMode="External"/><Relationship  Id="rId61" Type="http://schemas.openxmlformats.org/officeDocument/2006/relationships/hyperlink" Target="https://drive.google.com/open?id=1Nd0sP_RXNzjmPoQdsxaLU5t8IRAWlwwN" TargetMode="External"/><Relationship  Id="rId62" Type="http://schemas.openxmlformats.org/officeDocument/2006/relationships/hyperlink" Target="https://drive.google.com/open?id=1oDZxfQwOqWZx-kIF-51Q4evKXoJhh96M" TargetMode="External"/><Relationship  Id="rId63" Type="http://schemas.openxmlformats.org/officeDocument/2006/relationships/hyperlink" Target="https://drive.google.com/open?id=16p1QIREFkDjPWPCwTPY1_Mfwt3zSkLaz" TargetMode="External"/><Relationship  Id="rId64" Type="http://schemas.openxmlformats.org/officeDocument/2006/relationships/hyperlink" Target="https://drive.google.com/open?id=1w6RZGpaXUWQBluJb8YYWrCqYa-vwCbq_" TargetMode="External"/><Relationship  Id="rId65" Type="http://schemas.openxmlformats.org/officeDocument/2006/relationships/hyperlink" Target="https://drive.google.com/open?id=1YHJ9cA9_QFP1gQDkwEKm141owja5k5Vx" TargetMode="External"/><Relationship  Id="rId66" Type="http://schemas.openxmlformats.org/officeDocument/2006/relationships/hyperlink" Target="https://drive.google.com/open?id=1jj9vIJesc-tb50TuAtNIc1CU5cW4WuBC" TargetMode="External"/><Relationship  Id="rId67" Type="http://schemas.openxmlformats.org/officeDocument/2006/relationships/hyperlink" Target="https://drive.google.com/open?id=1otnl2sjA3fGt32UD37hDsDg9rIN-DsgU" TargetMode="External"/><Relationship  Id="rId68" Type="http://schemas.openxmlformats.org/officeDocument/2006/relationships/hyperlink" Target="https://www.citibikenyc.com/system-data" TargetMode="External"/><Relationship  Id="rId69" Type="http://schemas.openxmlformats.org/officeDocument/2006/relationships/hyperlink" Target="https://drive.google.com/open?id=10C7k79PMZcOtE6UAevQO7exizNg_GP9A" TargetMode="External"/><Relationship  Id="rId7" Type="http://schemas.openxmlformats.org/officeDocument/2006/relationships/hyperlink" Target="http://www.github.com/synergylabs/tao" TargetMode="External"/><Relationship  Id="rId70" Type="http://schemas.openxmlformats.org/officeDocument/2006/relationships/hyperlink" Target="https://drive.google.com/open?id=1frevSnN3q03TW2OqZeVDIBMg8HsIw3AS" TargetMode="External"/><Relationship  Id="rId71" Type="http://schemas.openxmlformats.org/officeDocument/2006/relationships/hyperlink" Target="https://drive.google.com/open?id=1QlrxyNce1wQIjlHVmirbm5sl3q9U67Ao" TargetMode="External"/><Relationship  Id="rId72" Type="http://schemas.openxmlformats.org/officeDocument/2006/relationships/hyperlink" Target="https://drive.google.com/open?id=1NAmQSGRVLP_ALC_HTU-4woGWvgjwIsxd" TargetMode="External"/><Relationship  Id="rId73" Type="http://schemas.openxmlformats.org/officeDocument/2006/relationships/hyperlink" Target="https://github.com/snudatalab/SmartSense" TargetMode="External"/><Relationship  Id="rId74" Type="http://schemas.openxmlformats.org/officeDocument/2006/relationships/hyperlink" Target="https://drive.google.com/open?id=1ZX8RByqH7hMT60LYuxp_H0A65pJNnONP" TargetMode="External"/><Relationship  Id="rId75" Type="http://schemas.openxmlformats.org/officeDocument/2006/relationships/hyperlink" Target="https://drive.google.com/open?id=1sB2HacVrCXQ5TXl6u4QT16QEePqsXaal" TargetMode="External"/><Relationship  Id="rId76" Type="http://schemas.openxmlformats.org/officeDocument/2006/relationships/hyperlink" Target="https://drive.google.com/open?id=1f_6XL3tNaH6WHdD3xWAidp1u5sg0AZoq" TargetMode="External"/><Relationship  Id="rId77" Type="http://schemas.openxmlformats.org/officeDocument/2006/relationships/hyperlink" Target="https://drive.google.com/open?id=13FdV0RiQvnwZa24osQ5PPOTNCyr4925A" TargetMode="External"/><Relationship  Id="rId78" Type="http://schemas.openxmlformats.org/officeDocument/2006/relationships/hyperlink" Target="https://drive.google.com/open?id=1_URTNZhW2uvwY0-WwPG3hYNCG8TmE7HF" TargetMode="External"/><Relationship  Id="rId79" Type="http://schemas.openxmlformats.org/officeDocument/2006/relationships/hyperlink" Target="https://drive.google.com/open?id=1sAjsmo5x9lca7RTjeZgVhttA4Jz3mXHe" TargetMode="External"/><Relationship  Id="rId8" Type="http://schemas.openxmlformats.org/officeDocument/2006/relationships/hyperlink" Target="https://drive.google.com/open?id=19xXrffrJTDFbozYdO17f1cymIiioauoC" TargetMode="External"/><Relationship  Id="rId80" Type="http://schemas.openxmlformats.org/officeDocument/2006/relationships/hyperlink" Target="https://keithito.com/LJ-Speech-Dataset/" TargetMode="External"/><Relationship  Id="rId81" Type="http://schemas.openxmlformats.org/officeDocument/2006/relationships/hyperlink" Target="https://drive.google.com/open?id=1TVuZlucnbVc3U-kLOVla6DXuN51q2QBT" TargetMode="External"/><Relationship  Id="rId82" Type="http://schemas.openxmlformats.org/officeDocument/2006/relationships/hyperlink" Target="https://drive.google.com/open?id=1_6NVMfl5A25Qi0fQblle9g0uzeL8FO4B" TargetMode="External"/><Relationship  Id="rId83" Type="http://schemas.openxmlformats.org/officeDocument/2006/relationships/hyperlink" Target="https://github.com/m70040005/COMFORT" TargetMode="External"/><Relationship  Id="rId84" Type="http://schemas.openxmlformats.org/officeDocument/2006/relationships/hyperlink" Target="https://drive.google.com/open?id=1-vvUgu2r3tDXqZbW3OWFVGH2uVAJKvTi" TargetMode="External"/><Relationship  Id="rId85" Type="http://schemas.microsoft.com/office/2017/10/relationships/threadedComment" Target="../threadedComments/threadedComment4.xml"/><Relationship  Id="rId86" Type="http://schemas.openxmlformats.org/officeDocument/2006/relationships/comments" Target="../comments4.xml"/><Relationship  Id="rId87" Type="http://schemas.openxmlformats.org/officeDocument/2006/relationships/vmlDrawing" Target="../drawings/vmlDrawing4.vml"/><Relationship  Id="rId88" Type="http://schemas.openxmlformats.org/officeDocument/2006/relationships/table" Target="../tables/table10.xml"/><Relationship  Id="rId9" Type="http://schemas.openxmlformats.org/officeDocument/2006/relationships/hyperlink" Target="https://github.com/Rxannro/HMGAN" TargetMode="External"/></Relationships>
</file>

<file path=xl/worksheets/_rels/sheet11.xml.rels><?xml version="1.0" encoding="UTF-8" standalone="yes"?><Relationships xmlns="http://schemas.openxmlformats.org/package/2006/relationships"><Relationship  Id="rId1" Type="http://schemas.openxmlformats.org/officeDocument/2006/relationships/hyperlink" Target="https://drive.google.com/open?id=11_Tss2uERUBZqcZnRGwXLEXUaiVJ6jIz" TargetMode="External"/><Relationship  Id="rId10" Type="http://schemas.openxmlformats.org/officeDocument/2006/relationships/hyperlink" Target="https://doi.org/10.1145/3596267" TargetMode="External"/><Relationship  Id="rId11" Type="http://schemas.openxmlformats.org/officeDocument/2006/relationships/hyperlink" Target="http://dataavalanche.io" TargetMode="External"/><Relationship  Id="rId12" Type="http://schemas.openxmlformats.org/officeDocument/2006/relationships/hyperlink" Target="https://drive.google.com/open?id=1gXPkiZyt6Nti7s8lcZitU3poKL1j_GKI" TargetMode="External"/><Relationship  Id="rId13" Type="http://schemas.openxmlformats.org/officeDocument/2006/relationships/hyperlink" Target="https://github.com/ssysarch/digitus" TargetMode="External"/><Relationship  Id="rId14" Type="http://schemas.openxmlformats.org/officeDocument/2006/relationships/hyperlink" Target="https://drive.google.com/open?id=1vOiwhYfOFaEkcCy2JoWEFpD0aRKPuTH0" TargetMode="External"/><Relationship  Id="rId15" Type="http://schemas.openxmlformats.org/officeDocument/2006/relationships/hyperlink" Target="https://drive.google.com/open?id=1WByUIXD0m15jWQ4ByEBHLToe_kj4KXij" TargetMode="External"/><Relationship  Id="rId16" Type="http://schemas.openxmlformats.org/officeDocument/2006/relationships/hyperlink" Target="https://drive.google.com/open?id=1ZLMO7qiwo7ZRo4vaWajTMZ5Vsa-mIKGZ" TargetMode="External"/><Relationship  Id="rId17" Type="http://schemas.openxmlformats.org/officeDocument/2006/relationships/hyperlink" Target="https://github.com/mimuc/standing-desk-controller" TargetMode="External"/><Relationship  Id="rId18" Type="http://schemas.openxmlformats.org/officeDocument/2006/relationships/hyperlink" Target="https://drive.google.com/open?id=1Jx4Ow9uNJHcLB6nyBhkyc9vAPvEKh3HB" TargetMode="External"/><Relationship  Id="rId19" Type="http://schemas.openxmlformats.org/officeDocument/2006/relationships/hyperlink" Target="https://drive.google.com/open?id=1-oSPqmyio-SMpkAjheigmGQ3pYgW3hK7" TargetMode="External"/><Relationship  Id="rId2" Type="http://schemas.openxmlformats.org/officeDocument/2006/relationships/hyperlink" Target="https://drive.google.com/open?id=1HNOo1Js90VB5nOyUh8jNAjWDGdZHb4Qr" TargetMode="External"/><Relationship  Id="rId20" Type="http://schemas.openxmlformats.org/officeDocument/2006/relationships/hyperlink" Target="https://drive.google.com/open?id=1QVGPQp5HBOPJ8pIJsouITSH1iBHS_oRY" TargetMode="External"/><Relationship  Id="rId21" Type="http://schemas.openxmlformats.org/officeDocument/2006/relationships/hyperlink" Target="https://drive.google.com/open?id=1-aOPYBwFJudtVINAAbJl8DJQcoWCczOW" TargetMode="External"/><Relationship  Id="rId22" Type="http://schemas.openxmlformats.org/officeDocument/2006/relationships/hyperlink" Target="https://drive.google.com/open?id=1BSOhdWuzX_yAkKInw_mrpxL8M18YzhQG" TargetMode="External"/><Relationship  Id="rId23" Type="http://schemas.openxmlformats.org/officeDocument/2006/relationships/hyperlink" Target="https://drive.google.com/open?id=1wBZVSpnLIUKd56p9frbInAMtYkHBETD3" TargetMode="External"/><Relationship  Id="rId24" Type="http://schemas.openxmlformats.org/officeDocument/2006/relationships/hyperlink" Target="https://github.com/MannuLambrichts/CircuitGlue" TargetMode="External"/><Relationship  Id="rId25" Type="http://schemas.openxmlformats.org/officeDocument/2006/relationships/hyperlink" Target="https://drive.google.com/open?id=1L5SgBLpm52o1m7MPhye2P2sTxsX5hBUO" TargetMode="External"/><Relationship  Id="rId26" Type="http://schemas.openxmlformats.org/officeDocument/2006/relationships/hyperlink" Target="https://doi.org/10.1145/3596262" TargetMode="External"/><Relationship  Id="rId27" Type="http://schemas.openxmlformats.org/officeDocument/2006/relationships/hyperlink" Target="https://drive.google.com/open?id=1BP_vi9HkKh7Xv2wYh9RJtO-1HYNqVN82" TargetMode="External"/><Relationship  Id="rId28" Type="http://schemas.openxmlformats.org/officeDocument/2006/relationships/hyperlink" Target="https://doi.org/10.1145/3596270" TargetMode="External"/><Relationship  Id="rId29" Type="http://schemas.openxmlformats.org/officeDocument/2006/relationships/hyperlink" Target="https://drive.google.com/open?id=1lS9pU0GbFKYhoW73IeV4OjNbr2x6J2Ju" TargetMode="External"/><Relationship  Id="rId3" Type="http://schemas.openxmlformats.org/officeDocument/2006/relationships/hyperlink" Target="https://drive.google.com/open?id=1gcLi8F_cchOPAj_4dlRly2MFQceAKoeg" TargetMode="External"/><Relationship  Id="rId30" Type="http://schemas.openxmlformats.org/officeDocument/2006/relationships/hyperlink" Target="https://drive.google.com/open?id=18Da2nYqD6e73YkLIZnsVZRhUMRfaU5Mo" TargetMode="External"/><Relationship  Id="rId31" Type="http://schemas.openxmlformats.org/officeDocument/2006/relationships/hyperlink" Target="https://drive.google.com/open?id=18SkHVi4XpynqIxkXEOjoVj1OrW0O2BEf" TargetMode="External"/><Relationship  Id="rId32" Type="http://schemas.openxmlformats.org/officeDocument/2006/relationships/hyperlink" Target="https://drive.google.com/open?id=1l7glTu7ODMXmw7yyEEiR59pRja21LTQg" TargetMode="External"/><Relationship  Id="rId33" Type="http://schemas.openxmlformats.org/officeDocument/2006/relationships/hyperlink" Target="https://drive.google.com/open?id=1VoGhcfdNt-6Z0ar1kiNFXVMNEGu3KUKQ" TargetMode="External"/><Relationship  Id="rId34" Type="http://schemas.openxmlformats.org/officeDocument/2006/relationships/hyperlink" Target="https://drive.google.com/open?id=10RjM_5-vj7dazFdNrxbMN3527OTQZAbO" TargetMode="External"/><Relationship  Id="rId35" Type="http://schemas.openxmlformats.org/officeDocument/2006/relationships/hyperlink" Target="https://github.com/ecostanza/sensor-pi-js" TargetMode="External"/><Relationship  Id="rId36" Type="http://schemas.openxmlformats.org/officeDocument/2006/relationships/hyperlink" Target="https://doi.org/10.5522/04/22654162" TargetMode="External"/><Relationship  Id="rId37" Type="http://schemas.openxmlformats.org/officeDocument/2006/relationships/hyperlink" Target="https://drive.google.com/open?id=1z-IhuJGG9Wev3GRa89NSyG9gcc9k4YKB" TargetMode="External"/><Relationship  Id="rId38" Type="http://schemas.openxmlformats.org/officeDocument/2006/relationships/hyperlink" Target="https://drive.google.com/open?id=1UZBGBuSzngK_WiCHzmY6uHxkGvH0pXY9" TargetMode="External"/><Relationship  Id="rId39" Type="http://schemas.openxmlformats.org/officeDocument/2006/relationships/hyperlink" Target="https://bitbucket.org/wave_labs/aeolus/src/master/" TargetMode="External"/><Relationship  Id="rId4" Type="http://schemas.openxmlformats.org/officeDocument/2006/relationships/hyperlink" Target="https://doi.org/10.1145/3596266" TargetMode="External"/><Relationship  Id="rId40" Type="http://schemas.openxmlformats.org/officeDocument/2006/relationships/hyperlink" Target="https://drive.google.com/open?id=1LlRQsssNXiE6ik8dQC8s9iB2pQCR2YSX" TargetMode="External"/><Relationship  Id="rId41" Type="http://schemas.openxmlformats.org/officeDocument/2006/relationships/hyperlink" Target="https://github.com/vi2imu/Vi2IMU" TargetMode="External"/><Relationship  Id="rId42" Type="http://schemas.openxmlformats.org/officeDocument/2006/relationships/hyperlink" Target="https://drive.google.com/open?id=1jkEFDvge82bzvN_FUr26DBUX-v7pDzJr" TargetMode="External"/><Relationship  Id="rId43" Type="http://schemas.openxmlformats.org/officeDocument/2006/relationships/hyperlink" Target="https://github.com/sshao2013/ConvBoost" TargetMode="External"/><Relationship  Id="rId44" Type="http://schemas.openxmlformats.org/officeDocument/2006/relationships/hyperlink" Target="https://drive.google.com/open?id=1r6GE1OR0xMf3wdSC8OCjDbdjdQmq1kAk" TargetMode="External"/><Relationship  Id="rId45" Type="http://schemas.openxmlformats.org/officeDocument/2006/relationships/hyperlink" Target="https://drive.google.com/open?id=1mEEWAqkWbKmY5xg8qjQ9Tk2R1WO5RsZ4" TargetMode="External"/><Relationship  Id="rId46" Type="http://schemas.openxmlformats.org/officeDocument/2006/relationships/hyperlink" Target="https://drive.google.com/open?id=1LD8otDP54ZaEyIBef-O2RoueJ6KlUZ3U" TargetMode="External"/><Relationship  Id="rId47" Type="http://schemas.openxmlformats.org/officeDocument/2006/relationships/hyperlink" Target="https://github.com/WirelessGroupTJU/MTLocData" TargetMode="External"/><Relationship  Id="rId48" Type="http://schemas.openxmlformats.org/officeDocument/2006/relationships/hyperlink" Target="https://drive.google.com/open?id=1Gr0pcB1PW4tBk9X4zTTcIImLE4weT3T3" TargetMode="External"/><Relationship  Id="rId49" Type="http://schemas.openxmlformats.org/officeDocument/2006/relationships/hyperlink" Target="https://drive.google.com/open?id=1D2Dc3muu901ZU_c3p-_fwfn7HGfNT36_" TargetMode="External"/><Relationship  Id="rId5" Type="http://schemas.openxmlformats.org/officeDocument/2006/relationships/hyperlink" Target="https://drive.google.com/open?id=1_dVI6h_UyJ2TP-I7pQr1wHsadWa4ikB8" TargetMode="External"/><Relationship  Id="rId50" Type="http://schemas.openxmlformats.org/officeDocument/2006/relationships/hyperlink" Target="https://drive.google.com/open?id=1zg5SYzpF_jbhNPfiCeYcdB9j7or0BJgv" TargetMode="External"/><Relationship  Id="rId51" Type="http://schemas.openxmlformats.org/officeDocument/2006/relationships/hyperlink" Target="https://drive.google.com/open?id=1KyBKeGRy5UihTYNEQxn8iDg3EzhLjFrc" TargetMode="External"/><Relationship  Id="rId52" Type="http://schemas.openxmlformats.org/officeDocument/2006/relationships/hyperlink" Target="https://github.com/7-Z-7/HWTE" TargetMode="External"/><Relationship  Id="rId53" Type="http://schemas.openxmlformats.org/officeDocument/2006/relationships/table" Target="../tables/table11.xml"/><Relationship  Id="rId6" Type="http://schemas.openxmlformats.org/officeDocument/2006/relationships/hyperlink" Target="https://drive.google.com/open?id=1-svnqMlTx1741H-4EpJsGYoSpd3ANo_x" TargetMode="External"/><Relationship  Id="rId7" Type="http://schemas.openxmlformats.org/officeDocument/2006/relationships/hyperlink" Target="https://drive.google.com/open?id=15Gy7AyfAilmoHP8fJqVFd63ZntS_EoMV" TargetMode="External"/><Relationship  Id="rId8" Type="http://schemas.openxmlformats.org/officeDocument/2006/relationships/hyperlink" Target="https://drive.google.com/open?id=1ymrZ1s2QNrUskgjXCptxjuHG5ab_UShC" TargetMode="External"/><Relationship  Id="rId9" Type="http://schemas.openxmlformats.org/officeDocument/2006/relationships/hyperlink" Target="https://drive.google.com/open?id=10g2Wlj7lp-HdhelVKgI3Mu2vWqIsAuii" TargetMode="External"/></Relationships>
</file>

<file path=xl/worksheets/_rels/sheet12.xml.rels><?xml version="1.0" encoding="UTF-8" standalone="yes"?><Relationships xmlns="http://schemas.openxmlformats.org/package/2006/relationships"><Relationship  Id="rId1" Type="http://schemas.openxmlformats.org/officeDocument/2006/relationships/hyperlink" Target="https://drive.google.com/open?id=18lULH8NMS7LD-CEH7T_6M0XJDYrtX_1y" TargetMode="External"/><Relationship  Id="rId10" Type="http://schemas.openxmlformats.org/officeDocument/2006/relationships/hyperlink" Target="https://drive.google.com/open?id=16LXshVH6y0AyUgqCdgi53wdS8eg12Bi2" TargetMode="External"/><Relationship  Id="rId11" Type="http://schemas.openxmlformats.org/officeDocument/2006/relationships/hyperlink" Target="https://github.com/dkkmy/Midas" TargetMode="External"/><Relationship  Id="rId12" Type="http://schemas.openxmlformats.org/officeDocument/2006/relationships/hyperlink" Target="https://drive.google.com/open?id=1Ns5we1Yl6p-t0xIaHRGyAtQLWuy6YsE3" TargetMode="External"/><Relationship  Id="rId13" Type="http://schemas.openxmlformats.org/officeDocument/2006/relationships/hyperlink" Target="https://drive.google.com/open?id=130mVg263NktT0R5I4JWHF2CSCIBRJujo" TargetMode="External"/><Relationship  Id="rId14" Type="http://schemas.openxmlformats.org/officeDocument/2006/relationships/hyperlink" Target="https://drive.google.com/open?id=118Xh9y3X7ZXatql1z5wqbbvFSoSuCWmV" TargetMode="External"/><Relationship  Id="rId15" Type="http://schemas.openxmlformats.org/officeDocument/2006/relationships/hyperlink" Target="https://drive.google.com/open?id=1eTj4ELtrTDNmkC2EeRZIPh5t4NRUa4zs" TargetMode="External"/><Relationship  Id="rId16" Type="http://schemas.openxmlformats.org/officeDocument/2006/relationships/hyperlink" Target="https://drive.google.com/open?id=1udNsovE2CWHCrP6eaT6Ow9Ct05Yg7fgb" TargetMode="External"/><Relationship  Id="rId17" Type="http://schemas.openxmlformats.org/officeDocument/2006/relationships/hyperlink" Target="https://drive.google.com/open?id=1dPSaYRR12Dd8MxQJeOX4s9oBGmDBdSjm" TargetMode="External"/><Relationship  Id="rId18" Type="http://schemas.openxmlformats.org/officeDocument/2006/relationships/hyperlink" Target="https://drive.google.com/open?id=1KYhU82GN5_waYys283209NVGdZKikPkV" TargetMode="External"/><Relationship  Id="rId19" Type="http://schemas.openxmlformats.org/officeDocument/2006/relationships/hyperlink" Target="https://drive.google.com/open?id=1XSfjJb2-9m-WLHapnkTCIHbIKHF9b1q2" TargetMode="External"/><Relationship  Id="rId2" Type="http://schemas.openxmlformats.org/officeDocument/2006/relationships/hyperlink" Target="https://drive.google.com/open?id=1A4dmsioQMPD0RkGU7nM66qgEmcKES1hb" TargetMode="External"/><Relationship  Id="rId20" Type="http://schemas.openxmlformats.org/officeDocument/2006/relationships/hyperlink" Target="https://drive.google.com/open?id=1P3La2K2KQTsfIiy7X6ij3B_C9j2c7HoK" TargetMode="External"/><Relationship  Id="rId21" Type="http://schemas.openxmlformats.org/officeDocument/2006/relationships/hyperlink" Target="https://drive.google.com/open?id=1sOGq00f_v7KOSoqm9h1RiK-LLvfZhJUD" TargetMode="External"/><Relationship  Id="rId22" Type="http://schemas.openxmlformats.org/officeDocument/2006/relationships/hyperlink" Target="https://drive.google.com/open?id=1tBqKY0jRFm--aBQ-EovNj1GzezJq2lc5" TargetMode="External"/><Relationship  Id="rId23" Type="http://schemas.openxmlformats.org/officeDocument/2006/relationships/hyperlink" Target="http://github.com/youpengl/FedCHAR" TargetMode="External"/><Relationship  Id="rId24" Type="http://schemas.openxmlformats.org/officeDocument/2006/relationships/hyperlink" Target="https://drive.google.com/open?id=1rMovBBkn7m-Rj0hgT_xTgXTJsf3g6DyP" TargetMode="External"/><Relationship  Id="rId25" Type="http://schemas.openxmlformats.org/officeDocument/2006/relationships/hyperlink" Target="https://drive.google.com/open?id=1dAoMoptIID5o94tVrt7yAj7xmNY2DIOk" TargetMode="External"/><Relationship  Id="rId26" Type="http://schemas.openxmlformats.org/officeDocument/2006/relationships/hyperlink" Target="https://github.com/brownhci/FocalPoint/" TargetMode="External"/><Relationship  Id="rId27" Type="http://schemas.openxmlformats.org/officeDocument/2006/relationships/hyperlink" Target="https://drive.google.com/open?id=1K7pDJQuiwh3wGKp1r6seEcw9ZJeBqD8E" TargetMode="External"/><Relationship  Id="rId28" Type="http://schemas.openxmlformats.org/officeDocument/2006/relationships/hyperlink" Target="https://drive.google.com/open?id=12ck6VVnfSacxoL5KAtxqOgQN1aslJmSZ" TargetMode="External"/><Relationship  Id="rId29" Type="http://schemas.openxmlformats.org/officeDocument/2006/relationships/hyperlink" Target="https://drive.google.com/open?id=11Ge3acIqAeuqgoIm2F_XmnsXufyzzN9c" TargetMode="External"/><Relationship  Id="rId3" Type="http://schemas.openxmlformats.org/officeDocument/2006/relationships/hyperlink" Target="https://drive.google.com/open?id=1QxmDVB6V09mlD-7-e47XBCzmEifF6vBC" TargetMode="External"/><Relationship  Id="rId30" Type="http://schemas.openxmlformats.org/officeDocument/2006/relationships/hyperlink" Target="https://drive.google.com/open?id=1ZRi8qva_hPNClAfWSF_895W5oBozn1gk" TargetMode="External"/><Relationship  Id="rId31" Type="http://schemas.openxmlformats.org/officeDocument/2006/relationships/hyperlink" Target="https://github.com/Masum06/Automated-Ataxia-Gait" TargetMode="External"/><Relationship  Id="rId32" Type="http://schemas.openxmlformats.org/officeDocument/2006/relationships/hyperlink" Target="https://github.com/ROC-HCI/Automated-Ataxia-Gait" TargetMode="External"/><Relationship  Id="rId33" Type="http://schemas.openxmlformats.org/officeDocument/2006/relationships/hyperlink" Target="https://drive.google.com/open?id=1efjFMBmvr5JzMyY8G8AYdkBjk-f1eHUD" TargetMode="External"/><Relationship  Id="rId34" Type="http://schemas.openxmlformats.org/officeDocument/2006/relationships/hyperlink" Target="https://osf.io/vr9mn/" TargetMode="External"/><Relationship  Id="rId35" Type="http://schemas.openxmlformats.org/officeDocument/2006/relationships/hyperlink" Target="https://drive.google.com/open?id=1Od4MjAqiDC6mYhj8X3_xwedziA9ilJ1F" TargetMode="External"/><Relationship  Id="rId36" Type="http://schemas.openxmlformats.org/officeDocument/2006/relationships/hyperlink" Target="https://drive.google.com/open?id=1AJrqUMBktZBJeLKFa4GmnnHJpxmgRi95" TargetMode="External"/><Relationship  Id="rId37" Type="http://schemas.openxmlformats.org/officeDocument/2006/relationships/hyperlink" Target="https://drive.google.com/open?id=1IVzD0tcbfXRRHfUSjeKVnT5xmikMF4LZ" TargetMode="External"/><Relationship  Id="rId38" Type="http://schemas.openxmlformats.org/officeDocument/2006/relationships/hyperlink" Target="https://drive.google.com/open?id=1BY2N954HggwJuRxcXBEaL5jAT4LCpva8" TargetMode="External"/><Relationship  Id="rId39" Type="http://schemas.openxmlformats.org/officeDocument/2006/relationships/hyperlink" Target="https://drive.google.com/open?id=1-2j2YGBdQ3F1f_-ABj31aSer4OipPhwJ" TargetMode="External"/><Relationship  Id="rId4" Type="http://schemas.openxmlformats.org/officeDocument/2006/relationships/hyperlink" Target="https://drive.google.com/open?id=15r-_9fG71GByIIUjt6oLmivFBJV1Zs1Q" TargetMode="External"/><Relationship  Id="rId40" Type="http://schemas.openxmlformats.org/officeDocument/2006/relationships/hyperlink" Target="https://drive.google.com/open?id=1Dx0FdIaMu_gXwHk5iXnUdmLOwq1oIBaQ" TargetMode="External"/><Relationship  Id="rId41" Type="http://schemas.openxmlformats.org/officeDocument/2006/relationships/hyperlink" Target="https://drive.google.com/open?id=1olWZx7XgFHZN3BjbU3NkFvOGUzEixXbq" TargetMode="External"/><Relationship  Id="rId42" Type="http://schemas.openxmlformats.org/officeDocument/2006/relationships/hyperlink" Target="https://drive.google.com/open?id=1ztQ9lW5BSyfhDSAvMxMwIKUV6Y-kUcej" TargetMode="External"/><Relationship  Id="rId43" Type="http://schemas.openxmlformats.org/officeDocument/2006/relationships/hyperlink" Target="https://drive.google.com/open?id=1_ILKE-P0ZVhcXfzypSPi3nnRvtmGZELH" TargetMode="External"/><Relationship  Id="rId44" Type="http://schemas.openxmlformats.org/officeDocument/2006/relationships/hyperlink" Target="https://drive.google.com/open?id=1mfitLfugwm9VJ6DGvlgpaCUduVbtYhsC" TargetMode="External"/><Relationship  Id="rId45" Type="http://schemas.openxmlformats.org/officeDocument/2006/relationships/hyperlink" Target="https://drive.google.com/open?id=1ynD1AusKdxT9sq6kdICY2Ot_Ui7OHRLT" TargetMode="External"/><Relationship  Id="rId46" Type="http://schemas.openxmlformats.org/officeDocument/2006/relationships/hyperlink" Target="https://drive.google.com/open?id=1rXCHavOcskQAeTajAil-MbEJpGcZuH-a" TargetMode="External"/><Relationship  Id="rId47" Type="http://schemas.openxmlformats.org/officeDocument/2006/relationships/hyperlink" Target="https://drive.google.com/open?id=1jdz_1FzsIdGwvh3vhfnfWgo_40Iwpbi5" TargetMode="External"/><Relationship  Id="rId48" Type="http://schemas.openxmlformats.org/officeDocument/2006/relationships/hyperlink" Target="https://drive.google.com/open?id=1n_es6oNq0Cc0Gogi_efzDijSiuDT6k48" TargetMode="External"/><Relationship  Id="rId49" Type="http://schemas.openxmlformats.org/officeDocument/2006/relationships/hyperlink" Target="https://drive.google.com/open?id=1SCssS4PlU4OwdgI4L4pJi0Hk-KHscGsk" TargetMode="External"/><Relationship  Id="rId5" Type="http://schemas.openxmlformats.org/officeDocument/2006/relationships/hyperlink" Target="https://drive.google.com/open?id=1J31DcZmMJ3DE5VW_PfhprXAo8-bxlgX9" TargetMode="External"/><Relationship  Id="rId50" Type="http://schemas.openxmlformats.org/officeDocument/2006/relationships/hyperlink" Target="https://github.com/ZJUZZH/Deformation-Capture-By-IMU-Sensor-Network" TargetMode="External"/><Relationship  Id="rId51" Type="http://schemas.openxmlformats.org/officeDocument/2006/relationships/hyperlink" Target="https://drive.google.com/open?id=1PmzACawStnSLEPfP6QWou03qN-OAtQme" TargetMode="External"/><Relationship  Id="rId52" Type="http://schemas.openxmlformats.org/officeDocument/2006/relationships/hyperlink" Target="https://drive.google.com/open?id=1Z4EQ43pJqM7kyt16-wey864cJWv_V96m" TargetMode="External"/><Relationship  Id="rId53" Type="http://schemas.openxmlformats.org/officeDocument/2006/relationships/hyperlink" Target="https://github.com/vuminhduc796/Voicify" TargetMode="External"/><Relationship  Id="rId54" Type="http://schemas.openxmlformats.org/officeDocument/2006/relationships/hyperlink" Target="https://drive.google.com/open?id=1TGWIwHuQgs8xnp7g7cbfHBzoPHxN266Z" TargetMode="External"/><Relationship  Id="rId55" Type="http://schemas.openxmlformats.org/officeDocument/2006/relationships/table" Target="../tables/table12.xml"/><Relationship  Id="rId6" Type="http://schemas.openxmlformats.org/officeDocument/2006/relationships/hyperlink" Target="https://drive.google.com/open?id=1BBiIURMNalptwb9qvCH1U_3WbbhEfR-o" TargetMode="External"/><Relationship  Id="rId7" Type="http://schemas.openxmlformats.org/officeDocument/2006/relationships/hyperlink" Target="https://drive.google.com/open?id=1YcOKjoBmU5gtivDcSEbdDC-GdScpwc4R" TargetMode="External"/><Relationship  Id="rId8" Type="http://schemas.openxmlformats.org/officeDocument/2006/relationships/hyperlink" Target="https://drive.google.com/open?id=1eK0ApKnmtqS-lX-Zju3-yHxzkNuNp_8g" TargetMode="External"/><Relationship  Id="rId9" Type="http://schemas.openxmlformats.org/officeDocument/2006/relationships/hyperlink" Target="https://github.com/mdasari823/RoVA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1"/>
  </sheetPr>
  <sheetViews>
    <sheetView zoomScale="100" workbookViewId="0">
      <pane xSplit="2" ySplit="1" topLeftCell="C2" activePane="bottomRight" state="frozen"/>
      <selection activeCell="C2" activeCellId="0" sqref="C2"/>
    </sheetView>
  </sheetViews>
  <sheetFormatPr defaultColWidth="12.630000000000001" defaultRowHeight="15.75" customHeight="1"/>
  <cols>
    <col customWidth="1" min="1" max="1" width="24.25"/>
    <col customWidth="1" min="2" max="2" width="20.129999999999999"/>
    <col customWidth="1" min="3" max="3" width="21"/>
    <col customWidth="1" min="4" max="4" width="14.75"/>
    <col customWidth="1" min="6" max="6" width="11.880000000000001"/>
    <col customWidth="1" min="7" max="7" width="12.630000000000001"/>
    <col customWidth="1" min="8" max="8" width="15.130000000000001"/>
    <col customWidth="1" min="9" max="9" width="28"/>
    <col customWidth="1" min="10" max="10" width="18.879999999999999"/>
    <col customWidth="1" min="11" max="11" width="36.75"/>
    <col customWidth="1" min="12" max="12" width="21.379999999999999"/>
    <col customWidth="1" min="13" max="13" width="18.879999999999999"/>
    <col customWidth="1" min="14" max="14" width="19.879999999999999"/>
    <col customWidth="1" min="15" max="16" width="19.75"/>
    <col customWidth="1" min="17" max="17" width="32"/>
    <col customWidth="1" min="18" max="18" width="19"/>
    <col customWidth="1" min="19" max="19" width="19.379999999999999"/>
    <col customWidth="1" min="20" max="21" width="19.75"/>
    <col customWidth="1" min="22" max="22" width="22.629999999999999"/>
    <col customWidth="1" min="23" max="23" width="32.630000000000003"/>
    <col customWidth="1" min="24" max="24" width="22.629999999999999"/>
    <col customWidth="1" min="25" max="25" width="25.5"/>
    <col customWidth="1" min="26" max="26" width="27.25"/>
    <col customWidth="1" min="27" max="27" width="39.25"/>
    <col customWidth="1" min="28" max="29" width="34.130000000000003"/>
  </cols>
  <sheetData>
    <row r="1" ht="22.5" customHeight="1">
      <c r="A1" s="1" t="s">
        <v>0</v>
      </c>
      <c r="B1" s="2" t="s">
        <v>1</v>
      </c>
      <c r="C1" s="3" t="s">
        <v>2</v>
      </c>
      <c r="D1" s="3" t="s">
        <v>3</v>
      </c>
      <c r="E1" s="3" t="s">
        <v>4</v>
      </c>
      <c r="F1" s="2" t="s">
        <v>5</v>
      </c>
      <c r="G1" s="2" t="s">
        <v>6</v>
      </c>
      <c r="H1" s="2" t="s">
        <v>7</v>
      </c>
      <c r="I1" s="2" t="s">
        <v>8</v>
      </c>
      <c r="J1" s="2" t="s">
        <v>9</v>
      </c>
      <c r="K1" s="2" t="s">
        <v>10</v>
      </c>
      <c r="L1" s="2" t="s">
        <v>11</v>
      </c>
      <c r="M1" s="2" t="s">
        <v>12</v>
      </c>
      <c r="N1" s="4" t="s">
        <v>13</v>
      </c>
      <c r="O1" s="4" t="s">
        <v>14</v>
      </c>
      <c r="P1" s="4" t="s">
        <v>15</v>
      </c>
      <c r="Q1" s="4" t="s">
        <v>16</v>
      </c>
      <c r="R1" s="5" t="s">
        <v>17</v>
      </c>
      <c r="S1" s="5" t="s">
        <v>18</v>
      </c>
      <c r="T1" s="5" t="s">
        <v>19</v>
      </c>
      <c r="U1" s="5" t="s">
        <v>20</v>
      </c>
      <c r="V1" s="2" t="s">
        <v>21</v>
      </c>
      <c r="W1" s="3" t="s">
        <v>22</v>
      </c>
      <c r="X1" s="2" t="s">
        <v>23</v>
      </c>
      <c r="Y1" s="3" t="s">
        <v>24</v>
      </c>
      <c r="Z1" s="2" t="s">
        <v>25</v>
      </c>
      <c r="AA1" s="3" t="s">
        <v>26</v>
      </c>
      <c r="AB1" s="3" t="s">
        <v>27</v>
      </c>
      <c r="AC1" s="3" t="s">
        <v>28</v>
      </c>
    </row>
    <row r="2" ht="22.5" customHeight="1">
      <c r="A2" s="6" t="str">
        <f>REGEXEXTRACT(D2, "\d{4}\.\s(.*?)\.\sProc\. ACM")"),"I Can't Join, but I Will Send My Agent: Stand-in Enhanced Asynchronous Meetings (SEAM)</f>
        <v xml:space="preserve">I Can't Join, but I Will Send My Agent: Stand-in Enhanced Asynchronous Meetings (SEAM)</v>
      </c>
      <c r="B2" s="7">
        <f t="shared" ref="B2:B9" si="0">IFERROR(VALUE(REGEXEXTRACT(D2,"Article\s+(\d+)")),"")
</f>
        <v>158</v>
      </c>
      <c r="C2" s="8" t="s">
        <v>29</v>
      </c>
      <c r="D2" s="6" t="s">
        <v>30</v>
      </c>
      <c r="E2" s="9">
        <v>45995</v>
      </c>
      <c r="F2" s="7">
        <v>2025</v>
      </c>
      <c r="G2" s="7" t="s">
        <v>31</v>
      </c>
      <c r="H2" s="6" t="str">
        <f t="shared" ref="H2:H65" si="1">TEXT($F2,"0000") &amp; "_" &amp; $G2 &amp; "_" &amp; TEXT($B2,"000")</f>
        <v>2025_Dec_158</v>
      </c>
      <c r="I2" s="10" t="str">
        <f t="shared" ref="I2:I65" si="2">CONCATENATE("https",RIGHT(D2,LEN(D2) - (FIND("://",D2) - 1)))</f>
        <v>https://doi.org/10.1145/3770659</v>
      </c>
      <c r="J2" s="7">
        <f>IF(D2:D86&lt;&gt;"", VALUE(REGEXEXTRACT(D2:D86, "(\d+)\s+pages")), )
</f>
        <v>39</v>
      </c>
      <c r="K2" s="6" t="s">
        <v>32</v>
      </c>
      <c r="L2" s="7" t="str">
        <f t="shared" ref="L2:L4" si="3">IF(REGEXMATCH(LOWER($A2),"(^|[^a-z])dataset(s)?([^a-z]|$)"),"Yes","No")"),"No</f>
        <v>No</v>
      </c>
      <c r="M2" s="7" t="s">
        <v>33</v>
      </c>
      <c r="N2" s="7" t="s">
        <v>33</v>
      </c>
      <c r="O2" s="7" t="s">
        <v>34</v>
      </c>
      <c r="P2" s="6"/>
      <c r="Q2" s="6"/>
      <c r="R2" s="7" t="s">
        <v>34</v>
      </c>
      <c r="S2" s="7" t="s">
        <v>35</v>
      </c>
      <c r="T2" s="6"/>
      <c r="U2" s="6"/>
      <c r="V2" s="7" t="s">
        <v>33</v>
      </c>
      <c r="W2" s="6" t="s">
        <v>36</v>
      </c>
      <c r="X2" s="7" t="s">
        <v>33</v>
      </c>
      <c r="Y2" s="6" t="s">
        <v>37</v>
      </c>
      <c r="Z2" s="7" t="s">
        <v>34</v>
      </c>
      <c r="AA2" s="6"/>
      <c r="AB2" s="6" t="s">
        <v>38</v>
      </c>
      <c r="AC2" s="7" t="s">
        <v>39</v>
      </c>
    </row>
    <row r="3" ht="22.5" customHeight="1">
      <c r="A3" s="11" t="str">
        <f>REGEXEXTRACT(D3, "\d{4}\.\s(.*?)\.\sProc\. ACM")"),"Clinical Standards and Proximate Futures: Participatory Design Futuring of Diabetes Technologies with an Under-Resourced Community</f>
        <v xml:space="preserve">Clinical Standards and Proximate Futures: Participatory Design Futuring of Diabetes Technologies with an Under-Resourced Community</v>
      </c>
      <c r="B3" s="7">
        <f t="shared" si="0"/>
        <v>159</v>
      </c>
      <c r="C3" s="8" t="s">
        <v>40</v>
      </c>
      <c r="D3" s="6" t="s">
        <v>41</v>
      </c>
      <c r="E3" s="9">
        <v>45995</v>
      </c>
      <c r="F3" s="7">
        <v>2025</v>
      </c>
      <c r="G3" s="7" t="s">
        <v>31</v>
      </c>
      <c r="H3" s="6" t="str">
        <f t="shared" si="1"/>
        <v>2025_Dec_159</v>
      </c>
      <c r="I3" s="12" t="str">
        <f t="shared" si="2"/>
        <v>https://doi.org/10.1145/3770702</v>
      </c>
      <c r="J3" s="7">
        <f>IF(D3:D86&lt;&gt;"", VALUE(REGEXEXTRACT(D3:D86, "(\d+)\s+pages")), )
</f>
        <v>30</v>
      </c>
      <c r="K3" s="6" t="s">
        <v>42</v>
      </c>
      <c r="L3" s="7" t="str">
        <f t="shared" si="3"/>
        <v>No</v>
      </c>
      <c r="M3" s="7" t="s">
        <v>33</v>
      </c>
      <c r="N3" s="7" t="s">
        <v>34</v>
      </c>
      <c r="O3" s="7" t="s">
        <v>35</v>
      </c>
      <c r="P3" s="6"/>
      <c r="Q3" s="6"/>
      <c r="R3" s="7" t="s">
        <v>34</v>
      </c>
      <c r="S3" s="7" t="s">
        <v>35</v>
      </c>
      <c r="T3" s="6"/>
      <c r="U3" s="6"/>
      <c r="V3" s="7" t="s">
        <v>35</v>
      </c>
      <c r="W3" s="6"/>
      <c r="X3" s="7" t="s">
        <v>35</v>
      </c>
      <c r="Y3" s="13"/>
      <c r="Z3" s="7" t="s">
        <v>35</v>
      </c>
      <c r="AA3" s="6"/>
      <c r="AB3" s="6"/>
      <c r="AC3" s="6" t="s">
        <v>39</v>
      </c>
    </row>
    <row r="4" ht="22.5" customHeight="1">
      <c r="A4" s="11" t="str">
        <f>REGEXEXTRACT(D4, "\d{4}\.\s(.*?)\.\sProc\. ACM")"),"EC-Sense: Radio Energy Capture for Ultra-Low-Power Wireless Soil Moisture Sensing</f>
        <v xml:space="preserve">EC-Sense: Radio Energy Capture for Ultra-Low-Power Wireless Soil Moisture Sensing</v>
      </c>
      <c r="B4" s="7">
        <f t="shared" si="0"/>
        <v>160</v>
      </c>
      <c r="C4" s="8" t="s">
        <v>43</v>
      </c>
      <c r="D4" s="6" t="s">
        <v>44</v>
      </c>
      <c r="E4" s="9">
        <v>45997</v>
      </c>
      <c r="F4" s="7">
        <v>2025</v>
      </c>
      <c r="G4" s="7" t="s">
        <v>31</v>
      </c>
      <c r="H4" s="6" t="str">
        <f t="shared" si="1"/>
        <v>2025_Dec_160</v>
      </c>
      <c r="I4" s="12" t="str">
        <f t="shared" si="2"/>
        <v>https://doi.org/10.1145/3770660</v>
      </c>
      <c r="J4" s="7">
        <f>IF(D4:D86&lt;&gt;"", VALUE(REGEXEXTRACT(D4:D86, "(\d+)\s+pages")), )
</f>
        <v>27</v>
      </c>
      <c r="K4" s="6" t="s">
        <v>45</v>
      </c>
      <c r="L4" s="7" t="str">
        <f t="shared" si="3"/>
        <v>No</v>
      </c>
      <c r="M4" s="7" t="s">
        <v>33</v>
      </c>
      <c r="N4" s="7" t="s">
        <v>33</v>
      </c>
      <c r="O4" s="7" t="s">
        <v>33</v>
      </c>
      <c r="P4" s="10" t="s">
        <v>46</v>
      </c>
      <c r="Q4" s="6"/>
      <c r="R4" s="7" t="s">
        <v>34</v>
      </c>
      <c r="S4" s="7" t="s">
        <v>35</v>
      </c>
      <c r="T4" s="6"/>
      <c r="U4" s="6"/>
      <c r="V4" s="7" t="s">
        <v>33</v>
      </c>
      <c r="W4" s="6" t="s">
        <v>47</v>
      </c>
      <c r="X4" s="7" t="s">
        <v>34</v>
      </c>
      <c r="Y4" s="6" t="s">
        <v>48</v>
      </c>
      <c r="Z4" s="7" t="s">
        <v>33</v>
      </c>
      <c r="AA4" s="6" t="s">
        <v>49</v>
      </c>
      <c r="AB4" s="6" t="s">
        <v>50</v>
      </c>
      <c r="AC4" s="6" t="s">
        <v>39</v>
      </c>
    </row>
    <row r="5" ht="22.5" customHeight="1">
      <c r="A5" s="11" t="str">
        <f>REGEXEXTRACT(D5, "\d{4}\.\s(.*?)\.\sProc\. ACM")"),"LIFETRACE: A Longitudinal Multimodal Dataset on Daily Physical Activity, Well-Being, and Habits</f>
        <v xml:space="preserve">LIFETRACE: A Longitudinal Multimodal Dataset on Daily Physical Activity, Well-Being, and Habits</v>
      </c>
      <c r="B5" s="7">
        <f t="shared" si="0"/>
        <v>161</v>
      </c>
      <c r="C5" s="8" t="s">
        <v>51</v>
      </c>
      <c r="D5" s="6" t="s">
        <v>52</v>
      </c>
      <c r="E5" s="9">
        <v>45997</v>
      </c>
      <c r="F5" s="7">
        <v>2025</v>
      </c>
      <c r="G5" s="7" t="s">
        <v>31</v>
      </c>
      <c r="H5" s="6" t="str">
        <f t="shared" si="1"/>
        <v>2025_Dec_161</v>
      </c>
      <c r="I5" s="12" t="str">
        <f t="shared" si="2"/>
        <v>https://doi.org/10.1145/3770676</v>
      </c>
      <c r="J5" s="7">
        <f>IF(D5:D86&lt;&gt;"", VALUE(REGEXEXTRACT(D5:D86, "(\d+)\s+pages")), )
</f>
        <v>32</v>
      </c>
      <c r="K5" s="6" t="s">
        <v>53</v>
      </c>
      <c r="L5" s="7" t="str">
        <f>IF(REGEXMATCH(LOWER($A5),"(^|[^a-z])dataset(s)?([^a-z]|$)"),"Yes","No")"),"Yes</f>
        <v>Yes</v>
      </c>
      <c r="M5" s="7" t="s">
        <v>33</v>
      </c>
      <c r="N5" s="7" t="s">
        <v>33</v>
      </c>
      <c r="O5" s="7" t="s">
        <v>33</v>
      </c>
      <c r="P5" s="10" t="s">
        <v>54</v>
      </c>
      <c r="Q5" s="6"/>
      <c r="R5" s="7" t="s">
        <v>33</v>
      </c>
      <c r="S5" s="7" t="s">
        <v>55</v>
      </c>
      <c r="T5" s="10" t="s">
        <v>56</v>
      </c>
      <c r="U5" s="6" t="s">
        <v>57</v>
      </c>
      <c r="V5" s="7" t="s">
        <v>34</v>
      </c>
      <c r="W5" s="6"/>
      <c r="X5" s="7" t="s">
        <v>34</v>
      </c>
      <c r="Y5" s="13"/>
      <c r="Z5" s="7" t="s">
        <v>33</v>
      </c>
      <c r="AA5" s="6" t="s">
        <v>58</v>
      </c>
      <c r="AB5" s="6" t="s">
        <v>59</v>
      </c>
      <c r="AC5" s="6" t="s">
        <v>39</v>
      </c>
    </row>
    <row r="6" ht="22.5" customHeight="1">
      <c r="A6" s="11" t="str">
        <f>REGEXEXTRACT(D6, "\d{4}\.\s(.*?)\.\sProc\. ACM")"),"Bridging Climbing and Interactive Smart Spaces for Children</f>
        <v xml:space="preserve">Bridging Climbing and Interactive Smart Spaces for Children</v>
      </c>
      <c r="B6" s="7">
        <f t="shared" si="0"/>
        <v>162</v>
      </c>
      <c r="C6" s="8" t="s">
        <v>60</v>
      </c>
      <c r="D6" s="6" t="s">
        <v>61</v>
      </c>
      <c r="E6" s="9">
        <v>45997</v>
      </c>
      <c r="F6" s="7">
        <v>2025</v>
      </c>
      <c r="G6" s="7" t="s">
        <v>31</v>
      </c>
      <c r="H6" s="6" t="str">
        <f t="shared" si="1"/>
        <v>2025_Dec_162</v>
      </c>
      <c r="I6" s="12" t="str">
        <f t="shared" si="2"/>
        <v>https://doi.org/10.1145/3770646</v>
      </c>
      <c r="J6" s="7">
        <f>IF(D6:D86&lt;&gt;"", VALUE(REGEXEXTRACT(D6:D86, "(\d+)\s+pages")), )
</f>
        <v>24</v>
      </c>
      <c r="K6" s="6" t="s">
        <v>42</v>
      </c>
      <c r="L6" s="7" t="str">
        <f t="shared" ref="L6:L9" si="4">IF(REGEXMATCH(LOWER($A6),"(^|[^a-z])dataset(s)?([^a-z]|$)"),"Yes","No")"),"No</f>
        <v>No</v>
      </c>
      <c r="M6" s="7" t="s">
        <v>33</v>
      </c>
      <c r="N6" s="7" t="s">
        <v>34</v>
      </c>
      <c r="O6" s="7" t="s">
        <v>35</v>
      </c>
      <c r="P6" s="6"/>
      <c r="Q6" s="6"/>
      <c r="R6" s="7" t="s">
        <v>34</v>
      </c>
      <c r="S6" s="7" t="s">
        <v>35</v>
      </c>
      <c r="T6" s="6"/>
      <c r="U6" s="6"/>
      <c r="V6" s="7" t="s">
        <v>35</v>
      </c>
      <c r="W6" s="6"/>
      <c r="X6" s="7" t="s">
        <v>35</v>
      </c>
      <c r="Y6" s="13"/>
      <c r="Z6" s="7" t="s">
        <v>35</v>
      </c>
      <c r="AA6" s="6"/>
      <c r="AB6" s="6"/>
      <c r="AC6" s="6" t="s">
        <v>39</v>
      </c>
    </row>
    <row r="7" ht="22.5" customHeight="1">
      <c r="A7" s="11" t="str">
        <f>REGEXEXTRACT(D7, "\d{4}\.\s(.*?)\.\sProc\. ACM")"),"Real-Time Encrypted Emotion Recognition Using Homomorphic Encryption</f>
        <v xml:space="preserve">Real-Time Encrypted Emotion Recognition Using Homomorphic Encryption</v>
      </c>
      <c r="B7" s="7">
        <f t="shared" si="0"/>
        <v>163</v>
      </c>
      <c r="C7" s="8" t="s">
        <v>62</v>
      </c>
      <c r="D7" s="6" t="s">
        <v>63</v>
      </c>
      <c r="E7" s="9">
        <v>45999</v>
      </c>
      <c r="F7" s="7">
        <v>2025</v>
      </c>
      <c r="G7" s="7" t="s">
        <v>31</v>
      </c>
      <c r="H7" s="6" t="str">
        <f t="shared" si="1"/>
        <v>2025_Dec_163</v>
      </c>
      <c r="I7" s="12" t="str">
        <f t="shared" si="2"/>
        <v>https://doi.org/10.1145/3770633</v>
      </c>
      <c r="J7" s="7">
        <f>IF(D7:D86&lt;&gt;"", VALUE(REGEXEXTRACT(D7:D86, "(\d+)\s+pages")), )
</f>
        <v>32</v>
      </c>
      <c r="K7" s="6" t="s">
        <v>64</v>
      </c>
      <c r="L7" s="7" t="str">
        <f t="shared" si="4"/>
        <v>No</v>
      </c>
      <c r="M7" s="7" t="s">
        <v>33</v>
      </c>
      <c r="N7" s="7" t="s">
        <v>33</v>
      </c>
      <c r="O7" s="7" t="s">
        <v>33</v>
      </c>
      <c r="P7" s="10" t="s">
        <v>65</v>
      </c>
      <c r="Q7" s="6"/>
      <c r="R7" s="7" t="s">
        <v>33</v>
      </c>
      <c r="S7" s="7" t="s">
        <v>33</v>
      </c>
      <c r="T7" s="6"/>
      <c r="U7" s="6" t="s">
        <v>66</v>
      </c>
      <c r="V7" s="7" t="s">
        <v>34</v>
      </c>
      <c r="W7" s="6"/>
      <c r="X7" s="7" t="s">
        <v>34</v>
      </c>
      <c r="Y7" s="13"/>
      <c r="Z7" s="7" t="s">
        <v>33</v>
      </c>
      <c r="AA7" s="6" t="s">
        <v>67</v>
      </c>
      <c r="AB7" s="6" t="s">
        <v>68</v>
      </c>
      <c r="AC7" s="6" t="s">
        <v>39</v>
      </c>
    </row>
    <row r="8" ht="22.5" customHeight="1">
      <c r="A8" s="11" t="str">
        <f>REGEXEXTRACT(D8, "\d{4}\.\s(.*?)\.\sProc\. ACM")"),"UWBKey: Using Contrastive Learning for Efficient Secure Key Generation in UWB</f>
        <v xml:space="preserve">UWBKey: Using Contrastive Learning for Efficient Secure Key Generation in UWB</v>
      </c>
      <c r="B8" s="7">
        <f t="shared" si="0"/>
        <v>164</v>
      </c>
      <c r="C8" s="8" t="s">
        <v>69</v>
      </c>
      <c r="D8" s="6" t="s">
        <v>70</v>
      </c>
      <c r="E8" s="9">
        <v>46003</v>
      </c>
      <c r="F8" s="7">
        <v>2025</v>
      </c>
      <c r="G8" s="7" t="s">
        <v>31</v>
      </c>
      <c r="H8" s="6" t="str">
        <f t="shared" si="1"/>
        <v>2025_Dec_164</v>
      </c>
      <c r="I8" s="12" t="str">
        <f t="shared" si="2"/>
        <v>https://doi.org/10.1145/3770630</v>
      </c>
      <c r="J8" s="7">
        <f>IF(D8:D86&lt;&gt;"", VALUE(REGEXEXTRACT(D8:D86, "(\d+)\s+pages")), )
</f>
        <v>31</v>
      </c>
      <c r="K8" s="6" t="s">
        <v>71</v>
      </c>
      <c r="L8" s="7" t="str">
        <f t="shared" si="4"/>
        <v>No</v>
      </c>
      <c r="M8" s="7" t="s">
        <v>33</v>
      </c>
      <c r="N8" s="7" t="s">
        <v>33</v>
      </c>
      <c r="O8" s="7" t="s">
        <v>34</v>
      </c>
      <c r="P8" s="6"/>
      <c r="Q8" s="6" t="s">
        <v>72</v>
      </c>
      <c r="R8" s="7" t="s">
        <v>33</v>
      </c>
      <c r="S8" s="7" t="s">
        <v>34</v>
      </c>
      <c r="T8" s="6"/>
      <c r="U8" s="6" t="s">
        <v>73</v>
      </c>
      <c r="V8" s="7" t="s">
        <v>33</v>
      </c>
      <c r="W8" s="6" t="s">
        <v>74</v>
      </c>
      <c r="X8" s="7" t="s">
        <v>34</v>
      </c>
      <c r="Y8" s="13"/>
      <c r="Z8" s="7" t="s">
        <v>34</v>
      </c>
      <c r="AA8" s="6"/>
      <c r="AB8" s="6" t="s">
        <v>75</v>
      </c>
      <c r="AC8" s="6" t="s">
        <v>39</v>
      </c>
    </row>
    <row r="9" ht="22.5" customHeight="1">
      <c r="A9" s="11" t="str">
        <f>REGEXEXTRACT(D9, "\d{4}\.\s(.*?)\.\sProc\. ACM")"),"SelfDenoiser: Self-supervised Seismic Signal Denoiser for Continuous and Contactless Cardiac Monitoring</f>
        <v xml:space="preserve">SelfDenoiser: Self-supervised Seismic Signal Denoiser for Continuous and Contactless Cardiac Monitoring</v>
      </c>
      <c r="B9" s="7">
        <f t="shared" si="0"/>
        <v>165</v>
      </c>
      <c r="C9" s="8" t="s">
        <v>76</v>
      </c>
      <c r="D9" s="6" t="s">
        <v>77</v>
      </c>
      <c r="E9" s="9">
        <v>46003</v>
      </c>
      <c r="F9" s="7">
        <v>2025</v>
      </c>
      <c r="G9" s="7" t="s">
        <v>31</v>
      </c>
      <c r="H9" s="6" t="str">
        <f t="shared" si="1"/>
        <v>2025_Dec_165</v>
      </c>
      <c r="I9" s="12" t="str">
        <f t="shared" si="2"/>
        <v>https://doi.org/10.1145/3770701</v>
      </c>
      <c r="J9" s="7">
        <f>IF(D9:D86&lt;&gt;"", VALUE(REGEXEXTRACT(D9:D86, "(\d+)\s+pages")), )
</f>
        <v>31</v>
      </c>
      <c r="K9" s="6" t="s">
        <v>64</v>
      </c>
      <c r="L9" s="7" t="str">
        <f t="shared" si="4"/>
        <v>No</v>
      </c>
      <c r="M9" s="7" t="s">
        <v>33</v>
      </c>
      <c r="N9" s="7" t="s">
        <v>33</v>
      </c>
      <c r="O9" s="7" t="s">
        <v>34</v>
      </c>
      <c r="P9" s="6"/>
      <c r="Q9" s="6"/>
      <c r="R9" s="7" t="s">
        <v>33</v>
      </c>
      <c r="S9" s="7" t="s">
        <v>33</v>
      </c>
      <c r="T9" s="10" t="s">
        <v>78</v>
      </c>
      <c r="U9" s="6"/>
      <c r="V9" s="7" t="s">
        <v>34</v>
      </c>
      <c r="W9" s="6"/>
      <c r="X9" s="7" t="s">
        <v>34</v>
      </c>
      <c r="Y9" s="13"/>
      <c r="Z9" s="7" t="s">
        <v>34</v>
      </c>
      <c r="AA9" s="6" t="s">
        <v>79</v>
      </c>
      <c r="AB9" s="6" t="s">
        <v>80</v>
      </c>
      <c r="AC9" s="6" t="s">
        <v>39</v>
      </c>
    </row>
    <row r="10" ht="22.5" customHeight="1">
      <c r="A10" s="11" t="str">
        <f>REGEXEXTRACT(D10, "\d{4}\.\s(.*?)\.\sProc\. ACM")"),"ScatterShield: Defending Against Unauthorized WiFi Sensing with Backscatter Tags</f>
        <v xml:space="preserve">ScatterShield: Defending Against Unauthorized WiFi Sensing with Backscatter Tags</v>
      </c>
      <c r="B10" s="7">
        <f t="shared" ref="B10:B73" si="5">IFERROR(VALUE(REGEXEXTRACT(D10,"Article\s+(\d+)")),"")
</f>
        <v>166</v>
      </c>
      <c r="C10" s="8" t="s">
        <v>81</v>
      </c>
      <c r="D10" s="6" t="s">
        <v>82</v>
      </c>
      <c r="E10" s="9">
        <v>46003</v>
      </c>
      <c r="F10" s="7">
        <v>2025</v>
      </c>
      <c r="G10" s="7" t="s">
        <v>31</v>
      </c>
      <c r="H10" s="6" t="str">
        <f t="shared" si="1"/>
        <v>2025_Dec_166</v>
      </c>
      <c r="I10" s="12" t="str">
        <f t="shared" si="2"/>
        <v>https://doi.org/10.1145/3770653</v>
      </c>
      <c r="J10" s="7">
        <f>IF(D10:D86&lt;&gt;"", VALUE(REGEXEXTRACT(D10:D86, "(\d+)\s+pages")), )
</f>
        <v>24</v>
      </c>
      <c r="K10" s="6" t="s">
        <v>45</v>
      </c>
      <c r="L10" s="7" t="str">
        <f t="shared" ref="L10:L12" si="6">IF(REGEXMATCH(LOWER($A10),"(^|[^a-z])dataset(s)?([^a-z]|$)"),"Yes","No")"),"No</f>
        <v>No</v>
      </c>
      <c r="M10" s="7" t="s">
        <v>33</v>
      </c>
      <c r="N10" s="7" t="s">
        <v>33</v>
      </c>
      <c r="O10" s="7" t="s">
        <v>34</v>
      </c>
      <c r="P10" s="6"/>
      <c r="Q10" s="6"/>
      <c r="R10" s="7" t="s">
        <v>34</v>
      </c>
      <c r="S10" s="7" t="s">
        <v>35</v>
      </c>
      <c r="T10" s="6"/>
      <c r="U10" s="6"/>
      <c r="V10" s="7" t="s">
        <v>33</v>
      </c>
      <c r="W10" s="6" t="s">
        <v>83</v>
      </c>
      <c r="X10" s="7" t="s">
        <v>34</v>
      </c>
      <c r="Y10" s="6" t="s">
        <v>84</v>
      </c>
      <c r="Z10" s="7" t="s">
        <v>34</v>
      </c>
      <c r="AA10" s="6"/>
      <c r="AB10" s="6" t="s">
        <v>85</v>
      </c>
      <c r="AC10" s="6" t="s">
        <v>39</v>
      </c>
    </row>
    <row r="11" ht="22.5" customHeight="1">
      <c r="A11" s="11" t="str">
        <f>REGEXEXTRACT(D11, "\d{4}\.\s(.*?)\.\sProc\. ACM")"),"Imputation Matters: A Deeper Look into an Overlooked Step in Longitudinal Health and Behavior Sensing Research</f>
        <v xml:space="preserve">Imputation Matters: A Deeper Look into an Overlooked Step in Longitudinal Health and Behavior Sensing Research</v>
      </c>
      <c r="B11" s="7">
        <f t="shared" si="5"/>
        <v>167</v>
      </c>
      <c r="C11" s="8" t="s">
        <v>86</v>
      </c>
      <c r="D11" s="6" t="s">
        <v>87</v>
      </c>
      <c r="E11" s="9">
        <v>46003</v>
      </c>
      <c r="F11" s="7">
        <v>2025</v>
      </c>
      <c r="G11" s="7" t="s">
        <v>31</v>
      </c>
      <c r="H11" s="6" t="str">
        <f t="shared" si="1"/>
        <v>2025_Dec_167</v>
      </c>
      <c r="I11" s="12" t="str">
        <f t="shared" si="2"/>
        <v>https://doi.org/10.1145/3770647</v>
      </c>
      <c r="J11" s="7">
        <f>IF(D11:D86&lt;&gt;"", VALUE(REGEXEXTRACT(D11:D86, "(\d+)\s+pages")), )
</f>
        <v>30</v>
      </c>
      <c r="K11" s="6" t="s">
        <v>32</v>
      </c>
      <c r="L11" s="7" t="str">
        <f t="shared" si="6"/>
        <v>No</v>
      </c>
      <c r="M11" s="7" t="s">
        <v>33</v>
      </c>
      <c r="N11" s="7" t="s">
        <v>33</v>
      </c>
      <c r="O11" s="7" t="s">
        <v>33</v>
      </c>
      <c r="P11" s="10" t="s">
        <v>88</v>
      </c>
      <c r="Q11" s="6"/>
      <c r="R11" s="7" t="s">
        <v>33</v>
      </c>
      <c r="S11" s="7" t="s">
        <v>33</v>
      </c>
      <c r="T11" s="6"/>
      <c r="U11" s="6" t="s">
        <v>89</v>
      </c>
      <c r="V11" s="7" t="s">
        <v>34</v>
      </c>
      <c r="W11" s="6"/>
      <c r="X11" s="7" t="s">
        <v>34</v>
      </c>
      <c r="Y11" s="13"/>
      <c r="Z11" s="7" t="s">
        <v>33</v>
      </c>
      <c r="AA11" s="6" t="s">
        <v>90</v>
      </c>
      <c r="AB11" s="6" t="s">
        <v>91</v>
      </c>
      <c r="AC11" s="6" t="s">
        <v>39</v>
      </c>
    </row>
    <row r="12" ht="22.5" customHeight="1">
      <c r="A12" s="11" t="str">
        <f>REGEXEXTRACT(D12, "\d{4}\.\s(.*?)\.\sProc\. ACM")"),"ArtEARial: Arterial Pressure Waveform Reconstruction Using Earbud Audio</f>
        <v xml:space="preserve">ArtEARial: Arterial Pressure Waveform Reconstruction Using Earbud Audio</v>
      </c>
      <c r="B12" s="7">
        <f t="shared" si="5"/>
        <v>168</v>
      </c>
      <c r="C12" s="8" t="s">
        <v>92</v>
      </c>
      <c r="D12" s="6" t="s">
        <v>93</v>
      </c>
      <c r="E12" s="9">
        <v>46003</v>
      </c>
      <c r="F12" s="7">
        <v>2025</v>
      </c>
      <c r="G12" s="7" t="s">
        <v>31</v>
      </c>
      <c r="H12" s="6" t="str">
        <f t="shared" si="1"/>
        <v>2025_Dec_168</v>
      </c>
      <c r="I12" s="12" t="str">
        <f t="shared" si="2"/>
        <v>https://doi.org/10.1145/3770634</v>
      </c>
      <c r="J12" s="7">
        <f>IF(D12:D86&lt;&gt;"", VALUE(REGEXEXTRACT(D12:D86, "(\d+)\s+pages")), )
</f>
        <v>24</v>
      </c>
      <c r="K12" s="6" t="s">
        <v>71</v>
      </c>
      <c r="L12" s="7" t="str">
        <f t="shared" si="6"/>
        <v>No</v>
      </c>
      <c r="M12" s="7" t="s">
        <v>94</v>
      </c>
      <c r="N12" s="7" t="s">
        <v>33</v>
      </c>
      <c r="O12" s="7" t="s">
        <v>34</v>
      </c>
      <c r="P12" s="6"/>
      <c r="Q12" s="6"/>
      <c r="R12" s="7" t="s">
        <v>33</v>
      </c>
      <c r="S12" s="7" t="s">
        <v>34</v>
      </c>
      <c r="T12" s="6"/>
      <c r="U12" s="6"/>
      <c r="V12" s="7" t="s">
        <v>34</v>
      </c>
      <c r="W12" s="6" t="s">
        <v>95</v>
      </c>
      <c r="X12" s="7" t="s">
        <v>34</v>
      </c>
      <c r="Y12" s="13"/>
      <c r="Z12" s="7" t="s">
        <v>34</v>
      </c>
      <c r="AA12" s="6"/>
      <c r="AB12" s="6" t="s">
        <v>96</v>
      </c>
      <c r="AC12" s="6" t="s">
        <v>39</v>
      </c>
    </row>
    <row r="13" ht="22.5" customHeight="1">
      <c r="A13" s="11" t="str">
        <f>REGEXEXTRACT(D13, "\d{4}\.\s(.*?)\.\sProc\. ACM")"),"REVIT: A Dataset and Benchmark for Remote Vital Sign Estimation in Real-World Settings</f>
        <v xml:space="preserve">REVIT: A Dataset and Benchmark for Remote Vital Sign Estimation in Real-World Settings</v>
      </c>
      <c r="B13" s="7">
        <f t="shared" si="5"/>
        <v>169</v>
      </c>
      <c r="C13" s="8" t="s">
        <v>97</v>
      </c>
      <c r="D13" s="6" t="s">
        <v>98</v>
      </c>
      <c r="E13" s="9">
        <v>46006</v>
      </c>
      <c r="F13" s="7">
        <v>2025</v>
      </c>
      <c r="G13" s="7" t="s">
        <v>31</v>
      </c>
      <c r="H13" s="6" t="str">
        <f t="shared" si="1"/>
        <v>2025_Dec_169</v>
      </c>
      <c r="I13" s="12" t="str">
        <f t="shared" si="2"/>
        <v>https://doi.org/10.1145/3770635</v>
      </c>
      <c r="J13" s="7">
        <f>IF(D13:D86&lt;&gt;"", VALUE(REGEXEXTRACT(D13:D86, "(\d+)\s+pages")), )
</f>
        <v>40</v>
      </c>
      <c r="K13" s="6" t="s">
        <v>99</v>
      </c>
      <c r="L13" s="7" t="str">
        <f>IF(REGEXMATCH(LOWER($A13),"(^|[^a-z])dataset(s)?([^a-z]|$)"),"Yes","No")"),"Yes</f>
        <v>Yes</v>
      </c>
      <c r="M13" s="7" t="s">
        <v>33</v>
      </c>
      <c r="N13" s="7" t="s">
        <v>33</v>
      </c>
      <c r="O13" s="7" t="s">
        <v>34</v>
      </c>
      <c r="P13" s="10" t="s">
        <v>100</v>
      </c>
      <c r="Q13" s="6" t="s">
        <v>101</v>
      </c>
      <c r="R13" s="7" t="s">
        <v>33</v>
      </c>
      <c r="S13" s="7" t="s">
        <v>34</v>
      </c>
      <c r="T13" s="10" t="s">
        <v>100</v>
      </c>
      <c r="U13" s="6" t="s">
        <v>101</v>
      </c>
      <c r="V13" s="7" t="s">
        <v>34</v>
      </c>
      <c r="W13" s="6"/>
      <c r="X13" s="7" t="s">
        <v>34</v>
      </c>
      <c r="Y13" s="13"/>
      <c r="Z13" s="7" t="s">
        <v>34</v>
      </c>
      <c r="AA13" s="6"/>
      <c r="AB13" s="6" t="s">
        <v>102</v>
      </c>
      <c r="AC13" s="6" t="s">
        <v>39</v>
      </c>
    </row>
    <row r="14" ht="22.5" customHeight="1">
      <c r="A14" s="11" t="str">
        <f>REGEXEXTRACT(D14, "\d{4}\.\s(.*?)\.\sProc\. ACM")"),"How I Use My Body: The Bodily Feedback Quality Scale</f>
        <v xml:space="preserve">How I Use My Body: The Bodily Feedback Quality Scale</v>
      </c>
      <c r="B14" s="7">
        <f t="shared" si="5"/>
        <v>170</v>
      </c>
      <c r="C14" s="8" t="s">
        <v>103</v>
      </c>
      <c r="D14" s="6" t="s">
        <v>104</v>
      </c>
      <c r="E14" s="9">
        <v>46006</v>
      </c>
      <c r="F14" s="7">
        <v>2025</v>
      </c>
      <c r="G14" s="7" t="s">
        <v>31</v>
      </c>
      <c r="H14" s="6" t="str">
        <f t="shared" si="1"/>
        <v>2025_Dec_170</v>
      </c>
      <c r="I14" s="12" t="str">
        <f t="shared" si="2"/>
        <v>https://doi.org/10.1145/3770657</v>
      </c>
      <c r="J14" s="7">
        <f>IF(D14:D86&lt;&gt;"", VALUE(REGEXEXTRACT(D14:D86, "(\d+)\s+pages")), )
</f>
        <v>32</v>
      </c>
      <c r="K14" s="6" t="s">
        <v>42</v>
      </c>
      <c r="L14" s="7" t="str">
        <f t="shared" ref="L14:L46" si="7">IF(REGEXMATCH(LOWER($A14),"(^|[^a-z])dataset(s)?([^a-z]|$)"),"Yes","No")"),"No</f>
        <v>No</v>
      </c>
      <c r="M14" s="7" t="s">
        <v>33</v>
      </c>
      <c r="N14" s="7" t="s">
        <v>34</v>
      </c>
      <c r="O14" s="7" t="s">
        <v>35</v>
      </c>
      <c r="P14" s="6"/>
      <c r="Q14" s="6"/>
      <c r="R14" s="7" t="s">
        <v>34</v>
      </c>
      <c r="S14" s="7" t="s">
        <v>35</v>
      </c>
      <c r="T14" s="6"/>
      <c r="U14" s="6"/>
      <c r="V14" s="7" t="s">
        <v>35</v>
      </c>
      <c r="W14" s="6"/>
      <c r="X14" s="7" t="s">
        <v>35</v>
      </c>
      <c r="Y14" s="13"/>
      <c r="Z14" s="7" t="s">
        <v>35</v>
      </c>
      <c r="AA14" s="6"/>
      <c r="AB14" s="6"/>
      <c r="AC14" s="6" t="s">
        <v>39</v>
      </c>
    </row>
    <row r="15" ht="22.5" customHeight="1">
      <c r="A15" s="11" t="str">
        <f>REGEXEXTRACT(D15, "\d{4}\.\s(.*?)\.\sProc\. ACM")"),"Beyond the Clock: Exploring Multimodal Behavior Markers of Mild Cognitive Impairment in Older Adults during Clock Drawing Test</f>
        <v xml:space="preserve">Beyond the Clock: Exploring Multimodal Behavior Markers of Mild Cognitive Impairment in Older Adults during Clock Drawing Test</v>
      </c>
      <c r="B15" s="7">
        <f t="shared" si="5"/>
        <v>171</v>
      </c>
      <c r="C15" s="8" t="s">
        <v>105</v>
      </c>
      <c r="D15" s="6" t="s">
        <v>106</v>
      </c>
      <c r="E15" s="9">
        <v>46006</v>
      </c>
      <c r="F15" s="7">
        <v>2025</v>
      </c>
      <c r="G15" s="7" t="s">
        <v>31</v>
      </c>
      <c r="H15" s="6" t="str">
        <f t="shared" si="1"/>
        <v>2025_Dec_171</v>
      </c>
      <c r="I15" s="12" t="str">
        <f t="shared" si="2"/>
        <v>https://doi.org/10.1145/3770684</v>
      </c>
      <c r="J15" s="7">
        <f>IF(D15:D86&lt;&gt;"", VALUE(REGEXEXTRACT(D15:D86, "(\d+)\s+pages")), )
</f>
        <v>30</v>
      </c>
      <c r="K15" s="6" t="s">
        <v>32</v>
      </c>
      <c r="L15" s="7" t="str">
        <f t="shared" si="7"/>
        <v>No</v>
      </c>
      <c r="M15" s="7" t="s">
        <v>94</v>
      </c>
      <c r="N15" s="7" t="s">
        <v>33</v>
      </c>
      <c r="O15" s="7" t="s">
        <v>34</v>
      </c>
      <c r="P15" s="6"/>
      <c r="Q15" s="6"/>
      <c r="R15" s="7" t="s">
        <v>33</v>
      </c>
      <c r="S15" s="7" t="s">
        <v>34</v>
      </c>
      <c r="T15" s="6"/>
      <c r="U15" s="6"/>
      <c r="V15" s="7" t="s">
        <v>34</v>
      </c>
      <c r="W15" s="6"/>
      <c r="X15" s="7" t="s">
        <v>34</v>
      </c>
      <c r="Y15" s="13"/>
      <c r="Z15" s="7" t="s">
        <v>34</v>
      </c>
      <c r="AA15" s="6"/>
      <c r="AB15" s="6" t="s">
        <v>107</v>
      </c>
      <c r="AC15" s="6" t="s">
        <v>39</v>
      </c>
    </row>
    <row r="16" ht="22.5" customHeight="1">
      <c r="A16" s="11" t="str">
        <f>REGEXEXTRACT(D16, "\d{4}\.\s(.*?)\.\sProc\. ACM")"),"A Review of Behavioral Closed-Loop Paradigm from Sensing to Intervention for Ingestion Health</f>
        <v xml:space="preserve">A Review of Behavioral Closed-Loop Paradigm from Sensing to Intervention for Ingestion Health</v>
      </c>
      <c r="B16" s="7">
        <f t="shared" si="5"/>
        <v>172</v>
      </c>
      <c r="C16" s="8" t="s">
        <v>108</v>
      </c>
      <c r="D16" s="6" t="s">
        <v>109</v>
      </c>
      <c r="E16" s="9">
        <v>46006</v>
      </c>
      <c r="F16" s="7">
        <v>2025</v>
      </c>
      <c r="G16" s="7" t="s">
        <v>31</v>
      </c>
      <c r="H16" s="6" t="str">
        <f t="shared" si="1"/>
        <v>2025_Dec_172</v>
      </c>
      <c r="I16" s="12" t="str">
        <f t="shared" si="2"/>
        <v>https://doi.org/10.1145/3770668</v>
      </c>
      <c r="J16" s="7">
        <f>IF(D16:D86&lt;&gt;"", VALUE(REGEXEXTRACT(D16:D86, "(\d+)\s+pages")), )
</f>
        <v>50</v>
      </c>
      <c r="K16" s="6" t="s">
        <v>110</v>
      </c>
      <c r="L16" s="7" t="str">
        <f t="shared" si="7"/>
        <v>No</v>
      </c>
      <c r="M16" s="7" t="s">
        <v>33</v>
      </c>
      <c r="N16" s="7" t="s">
        <v>34</v>
      </c>
      <c r="O16" s="7" t="s">
        <v>35</v>
      </c>
      <c r="P16" s="6"/>
      <c r="Q16" s="6"/>
      <c r="R16" s="7" t="s">
        <v>34</v>
      </c>
      <c r="S16" s="7" t="s">
        <v>35</v>
      </c>
      <c r="T16" s="6"/>
      <c r="U16" s="6"/>
      <c r="V16" s="7" t="s">
        <v>35</v>
      </c>
      <c r="W16" s="6"/>
      <c r="X16" s="7" t="s">
        <v>35</v>
      </c>
      <c r="Y16" s="13"/>
      <c r="Z16" s="7" t="s">
        <v>35</v>
      </c>
      <c r="AA16" s="6"/>
      <c r="AB16" s="6"/>
      <c r="AC16" s="6" t="s">
        <v>39</v>
      </c>
    </row>
    <row r="17" ht="22.5" customHeight="1">
      <c r="A17" s="11" t="str">
        <f>REGEXEXTRACT(D17, "\d{4}\.\s(.*?)\.\sProc\. ACM")"),"SoundOff: Low-cost Passive Ultrasound Tags for Non-invasive and Non-Intrusive Smart Home Sensing</f>
        <v xml:space="preserve">SoundOff: Low-cost Passive Ultrasound Tags for Non-invasive and Non-Intrusive Smart Home Sensing</v>
      </c>
      <c r="B17" s="7">
        <f t="shared" si="5"/>
        <v>174</v>
      </c>
      <c r="C17" s="8" t="s">
        <v>111</v>
      </c>
      <c r="D17" s="6" t="s">
        <v>112</v>
      </c>
      <c r="E17" s="9">
        <v>46006</v>
      </c>
      <c r="F17" s="7">
        <v>2025</v>
      </c>
      <c r="G17" s="7" t="s">
        <v>31</v>
      </c>
      <c r="H17" s="6" t="str">
        <f t="shared" si="1"/>
        <v>2025_Dec_174</v>
      </c>
      <c r="I17" s="12" t="str">
        <f t="shared" si="2"/>
        <v>https://doi.org/10.1145/3770666</v>
      </c>
      <c r="J17" s="7">
        <f>IF(D17:D86&lt;&gt;"", VALUE(REGEXEXTRACT(D17:D86, "(\d+)\s+pages")), )
</f>
        <v>32</v>
      </c>
      <c r="K17" s="6" t="s">
        <v>45</v>
      </c>
      <c r="L17" s="7" t="str">
        <f t="shared" si="7"/>
        <v>No</v>
      </c>
      <c r="M17" s="7" t="s">
        <v>33</v>
      </c>
      <c r="N17" s="7" t="s">
        <v>33</v>
      </c>
      <c r="O17" s="7" t="s">
        <v>34</v>
      </c>
      <c r="P17" s="6"/>
      <c r="Q17" s="6" t="s">
        <v>113</v>
      </c>
      <c r="R17" s="7" t="s">
        <v>34</v>
      </c>
      <c r="S17" s="7" t="s">
        <v>35</v>
      </c>
      <c r="T17" s="6"/>
      <c r="U17" s="6"/>
      <c r="V17" s="7" t="s">
        <v>33</v>
      </c>
      <c r="W17" s="6" t="s">
        <v>114</v>
      </c>
      <c r="X17" s="7" t="s">
        <v>34</v>
      </c>
      <c r="Y17" s="13"/>
      <c r="Z17" s="7" t="s">
        <v>34</v>
      </c>
      <c r="AA17" s="6"/>
      <c r="AB17" s="6" t="s">
        <v>115</v>
      </c>
      <c r="AC17" s="6" t="s">
        <v>39</v>
      </c>
    </row>
    <row r="18" ht="22.5" customHeight="1">
      <c r="A18" s="11" t="str">
        <f>REGEXEXTRACT(D18, "\d{4}\.\s(.*?)\.\sProc\. ACM")"),"The Trumpet of the Swan: Decoding Lip Language for Speech-impaired Users through COTS Earbuds</f>
        <v xml:space="preserve">The Trumpet of the Swan: Decoding Lip Language for Speech-impaired Users through COTS Earbuds</v>
      </c>
      <c r="B18" s="7">
        <f t="shared" si="5"/>
        <v>175</v>
      </c>
      <c r="C18" s="8" t="s">
        <v>116</v>
      </c>
      <c r="D18" s="6" t="s">
        <v>117</v>
      </c>
      <c r="E18" s="9">
        <v>46009</v>
      </c>
      <c r="F18" s="7">
        <v>2025</v>
      </c>
      <c r="G18" s="7" t="s">
        <v>31</v>
      </c>
      <c r="H18" s="6" t="str">
        <f t="shared" si="1"/>
        <v>2025_Dec_175</v>
      </c>
      <c r="I18" s="12" t="str">
        <f t="shared" si="2"/>
        <v>https://doi.org/10.1145/3770648</v>
      </c>
      <c r="J18" s="7">
        <f>IF(D18:D86&lt;&gt;"", VALUE(REGEXEXTRACT(D18:D86, "(\d+)\s+pages")), )
</f>
        <v>32</v>
      </c>
      <c r="K18" s="6" t="s">
        <v>71</v>
      </c>
      <c r="L18" s="7" t="str">
        <f t="shared" si="7"/>
        <v>No</v>
      </c>
      <c r="M18" s="7" t="s">
        <v>94</v>
      </c>
      <c r="N18" s="7" t="s">
        <v>33</v>
      </c>
      <c r="O18" s="7" t="s">
        <v>34</v>
      </c>
      <c r="P18" s="6"/>
      <c r="Q18" s="6"/>
      <c r="R18" s="7" t="s">
        <v>33</v>
      </c>
      <c r="S18" s="7" t="s">
        <v>33</v>
      </c>
      <c r="T18" s="10" t="s">
        <v>118</v>
      </c>
      <c r="U18" s="6"/>
      <c r="V18" s="7" t="s">
        <v>34</v>
      </c>
      <c r="W18" s="6" t="s">
        <v>119</v>
      </c>
      <c r="X18" s="7" t="s">
        <v>33</v>
      </c>
      <c r="Y18" s="6" t="s">
        <v>120</v>
      </c>
      <c r="Z18" s="7" t="s">
        <v>34</v>
      </c>
      <c r="AA18" s="6"/>
      <c r="AB18" s="6" t="s">
        <v>121</v>
      </c>
      <c r="AC18" s="6" t="s">
        <v>39</v>
      </c>
    </row>
    <row r="19" ht="22.5" customHeight="1">
      <c r="A19" s="11" t="str">
        <f>REGEXEXTRACT(D19, "\d{4}\.\s(.*?)\.\sProc\. ACM")"),"DopFone: Doppler-Based Fetal Heart Rate Estimation Using Commodity Smartphones</f>
        <v xml:space="preserve">DopFone: Doppler-Based Fetal Heart Rate Estimation Using Commodity Smartphones</v>
      </c>
      <c r="B19" s="7">
        <f t="shared" si="5"/>
        <v>176</v>
      </c>
      <c r="C19" s="8" t="s">
        <v>122</v>
      </c>
      <c r="D19" s="6" t="s">
        <v>123</v>
      </c>
      <c r="E19" s="9">
        <v>46020</v>
      </c>
      <c r="F19" s="7">
        <v>2025</v>
      </c>
      <c r="G19" s="7" t="s">
        <v>31</v>
      </c>
      <c r="H19" s="6" t="str">
        <f t="shared" si="1"/>
        <v>2025_Dec_176</v>
      </c>
      <c r="I19" s="12" t="str">
        <f t="shared" si="2"/>
        <v>https://doi.org/10.1145/3770671</v>
      </c>
      <c r="J19" s="7">
        <f>IF(D19:D86&lt;&gt;"", VALUE(REGEXEXTRACT(D19:D86, "(\d+)\s+pages")), )
</f>
        <v>24</v>
      </c>
      <c r="K19" s="6" t="s">
        <v>64</v>
      </c>
      <c r="L19" s="7" t="str">
        <f t="shared" si="7"/>
        <v>No</v>
      </c>
      <c r="M19" s="7" t="s">
        <v>33</v>
      </c>
      <c r="N19" s="7" t="s">
        <v>33</v>
      </c>
      <c r="O19" s="7" t="s">
        <v>34</v>
      </c>
      <c r="P19" s="6"/>
      <c r="Q19" s="6"/>
      <c r="R19" s="7" t="s">
        <v>33</v>
      </c>
      <c r="S19" s="7" t="s">
        <v>34</v>
      </c>
      <c r="T19" s="6"/>
      <c r="U19" s="6"/>
      <c r="V19" s="7" t="s">
        <v>34</v>
      </c>
      <c r="W19" s="6" t="s">
        <v>124</v>
      </c>
      <c r="X19" s="7" t="s">
        <v>34</v>
      </c>
      <c r="Y19" s="13"/>
      <c r="Z19" s="7" t="s">
        <v>34</v>
      </c>
      <c r="AA19" s="6"/>
      <c r="AB19" s="6" t="s">
        <v>125</v>
      </c>
      <c r="AC19" s="6" t="s">
        <v>39</v>
      </c>
    </row>
    <row r="20" ht="22.5" customHeight="1">
      <c r="A20" s="11" t="str">
        <f>REGEXEXTRACT(D20, "\d{4}\.\s(.*?)\.\sProc\. ACM")"),"Stick, Swipe, Secure: Acoustic Cross-Device User Authentication via a Low-Cost Passive Fingerprint Sticker</f>
        <v xml:space="preserve">Stick, Swipe, Secure: Acoustic Cross-Device User Authentication via a Low-Cost Passive Fingerprint Sticker</v>
      </c>
      <c r="B20" s="7">
        <f t="shared" si="5"/>
        <v>177</v>
      </c>
      <c r="C20" s="8" t="s">
        <v>126</v>
      </c>
      <c r="D20" s="6" t="s">
        <v>127</v>
      </c>
      <c r="E20" s="9">
        <v>46020</v>
      </c>
      <c r="F20" s="7">
        <v>2025</v>
      </c>
      <c r="G20" s="7" t="s">
        <v>31</v>
      </c>
      <c r="H20" s="6" t="str">
        <f t="shared" si="1"/>
        <v>2025_Dec_177</v>
      </c>
      <c r="I20" s="12" t="str">
        <f t="shared" si="2"/>
        <v>https://doi.org/10.1145/3770636</v>
      </c>
      <c r="J20" s="7">
        <f>IF(D20:D86&lt;&gt;"", VALUE(REGEXEXTRACT(D20:D86, "(\d+)\s+pages")), )
</f>
        <v>30</v>
      </c>
      <c r="K20" s="6" t="s">
        <v>32</v>
      </c>
      <c r="L20" s="7" t="str">
        <f t="shared" si="7"/>
        <v>No</v>
      </c>
      <c r="M20" s="7" t="s">
        <v>94</v>
      </c>
      <c r="N20" s="7" t="s">
        <v>33</v>
      </c>
      <c r="O20" s="7" t="s">
        <v>34</v>
      </c>
      <c r="P20" s="6"/>
      <c r="Q20" s="6" t="s">
        <v>128</v>
      </c>
      <c r="R20" s="7" t="s">
        <v>33</v>
      </c>
      <c r="S20" s="7" t="s">
        <v>34</v>
      </c>
      <c r="T20" s="6"/>
      <c r="U20" s="6"/>
      <c r="V20" s="7" t="s">
        <v>33</v>
      </c>
      <c r="W20" s="6" t="s">
        <v>129</v>
      </c>
      <c r="X20" s="7" t="s">
        <v>34</v>
      </c>
      <c r="Y20" s="13"/>
      <c r="Z20" s="7" t="s">
        <v>34</v>
      </c>
      <c r="AA20" s="6"/>
      <c r="AB20" s="6" t="s">
        <v>130</v>
      </c>
      <c r="AC20" s="6" t="s">
        <v>39</v>
      </c>
    </row>
    <row r="21" ht="22.5" customHeight="1">
      <c r="A21" s="11" t="str">
        <f>REGEXEXTRACT(D21, "\d{4}\.\s(.*?)\.\sProc\. ACM")"),"TapNav: Adaptive Spatiotactile Screen Readers for Tactually Guided Touchscreen Interactions for Blind and Low Vision People</f>
        <v xml:space="preserve">TapNav: Adaptive Spatiotactile Screen Readers for Tactually Guided Touchscreen Interactions for Blind and Low Vision People</v>
      </c>
      <c r="B21" s="7">
        <f t="shared" si="5"/>
        <v>178</v>
      </c>
      <c r="C21" s="8" t="s">
        <v>131</v>
      </c>
      <c r="D21" s="6" t="s">
        <v>132</v>
      </c>
      <c r="E21" s="9">
        <v>46020</v>
      </c>
      <c r="F21" s="7">
        <v>2025</v>
      </c>
      <c r="G21" s="7" t="s">
        <v>31</v>
      </c>
      <c r="H21" s="6" t="str">
        <f t="shared" si="1"/>
        <v>2025_Dec_178</v>
      </c>
      <c r="I21" s="12" t="str">
        <f t="shared" si="2"/>
        <v>https://doi.org/10.1145/3770654</v>
      </c>
      <c r="J21" s="7">
        <f>IF(D21:D86&lt;&gt;"", VALUE(REGEXEXTRACT(D21:D86, "(\d+)\s+pages")), )
</f>
        <v>29</v>
      </c>
      <c r="K21" s="6" t="s">
        <v>133</v>
      </c>
      <c r="L21" s="7" t="str">
        <f t="shared" si="7"/>
        <v>No</v>
      </c>
      <c r="M21" s="7" t="s">
        <v>33</v>
      </c>
      <c r="N21" s="7" t="s">
        <v>33</v>
      </c>
      <c r="O21" s="7" t="s">
        <v>34</v>
      </c>
      <c r="P21" s="6"/>
      <c r="Q21" s="6"/>
      <c r="R21" s="7" t="s">
        <v>34</v>
      </c>
      <c r="S21" s="7" t="s">
        <v>35</v>
      </c>
      <c r="T21" s="6"/>
      <c r="U21" s="6"/>
      <c r="V21" s="7" t="s">
        <v>33</v>
      </c>
      <c r="W21" s="6" t="s">
        <v>134</v>
      </c>
      <c r="X21" s="7" t="s">
        <v>34</v>
      </c>
      <c r="Y21" s="13"/>
      <c r="Z21" s="7" t="s">
        <v>34</v>
      </c>
      <c r="AA21" s="6"/>
      <c r="AB21" s="6" t="s">
        <v>135</v>
      </c>
      <c r="AC21" s="6" t="s">
        <v>39</v>
      </c>
    </row>
    <row r="22" ht="22.5" customHeight="1">
      <c r="A22" s="11" t="str">
        <f>REGEXEXTRACT(D22, "\d{4}\.\s(.*?)\.\sProc\. ACM")"),"We Can Hear You with mmWave Radar! An End-to-End Eavesdropping System</f>
        <v xml:space="preserve">We Can Hear You with mmWave Radar! An End-to-End Eavesdropping System</v>
      </c>
      <c r="B22" s="7">
        <f t="shared" si="5"/>
        <v>179</v>
      </c>
      <c r="C22" s="8" t="s">
        <v>136</v>
      </c>
      <c r="D22" s="6" t="s">
        <v>137</v>
      </c>
      <c r="E22" s="9">
        <v>46020</v>
      </c>
      <c r="F22" s="7">
        <v>2025</v>
      </c>
      <c r="G22" s="7" t="s">
        <v>31</v>
      </c>
      <c r="H22" s="6" t="str">
        <f t="shared" si="1"/>
        <v>2025_Dec_179</v>
      </c>
      <c r="I22" s="12" t="str">
        <f t="shared" si="2"/>
        <v>https://doi.org/10.1145/3770708</v>
      </c>
      <c r="J22" s="7">
        <f>IF(D22:D86&lt;&gt;"", VALUE(REGEXEXTRACT(D22:D86, "(\d+)\s+pages")), )
</f>
        <v>23</v>
      </c>
      <c r="K22" s="6" t="s">
        <v>71</v>
      </c>
      <c r="L22" s="7" t="str">
        <f t="shared" si="7"/>
        <v>No</v>
      </c>
      <c r="M22" s="7" t="s">
        <v>94</v>
      </c>
      <c r="N22" s="7" t="s">
        <v>33</v>
      </c>
      <c r="O22" s="7" t="s">
        <v>34</v>
      </c>
      <c r="P22" s="6"/>
      <c r="Q22" s="6"/>
      <c r="R22" s="7" t="s">
        <v>33</v>
      </c>
      <c r="S22" s="7" t="s">
        <v>34</v>
      </c>
      <c r="T22" s="6"/>
      <c r="U22" s="6"/>
      <c r="V22" s="7" t="s">
        <v>33</v>
      </c>
      <c r="W22" s="6" t="s">
        <v>138</v>
      </c>
      <c r="X22" s="7" t="s">
        <v>34</v>
      </c>
      <c r="Y22" s="13"/>
      <c r="Z22" s="7" t="s">
        <v>34</v>
      </c>
      <c r="AA22" s="6"/>
      <c r="AB22" s="6" t="s">
        <v>139</v>
      </c>
      <c r="AC22" s="6" t="s">
        <v>39</v>
      </c>
    </row>
    <row r="23" ht="22.5" customHeight="1">
      <c r="A23" s="11" t="str">
        <f>REGEXEXTRACT(D23, "\d{4}\.\s(.*?)\.\sProc\. ACM")"),"Collaborative Scheduling of Time-dependent UAVs, Vehicles and Workers for Crowdsensing in Disaster Response</f>
        <v xml:space="preserve">Collaborative Scheduling of Time-dependent UAVs, Vehicles and Workers for Crowdsensing in Disaster Response</v>
      </c>
      <c r="B23" s="7">
        <f t="shared" si="5"/>
        <v>180</v>
      </c>
      <c r="C23" s="8" t="s">
        <v>140</v>
      </c>
      <c r="D23" s="6" t="s">
        <v>141</v>
      </c>
      <c r="E23" s="9">
        <v>46020</v>
      </c>
      <c r="F23" s="7">
        <v>2025</v>
      </c>
      <c r="G23" s="7" t="s">
        <v>31</v>
      </c>
      <c r="H23" s="6" t="str">
        <f t="shared" si="1"/>
        <v>2025_Dec_180</v>
      </c>
      <c r="I23" s="12" t="str">
        <f t="shared" si="2"/>
        <v>https://doi.org/10.1145/3770664</v>
      </c>
      <c r="J23" s="7">
        <f>IF(D23:D86&lt;&gt;"", VALUE(REGEXEXTRACT(D23:D86, "(\d+)\s+pages")), )
</f>
        <v>40</v>
      </c>
      <c r="K23" s="6" t="s">
        <v>71</v>
      </c>
      <c r="L23" s="7" t="str">
        <f t="shared" si="7"/>
        <v>No</v>
      </c>
      <c r="M23" s="7" t="s">
        <v>94</v>
      </c>
      <c r="N23" s="7" t="s">
        <v>33</v>
      </c>
      <c r="O23" s="7" t="s">
        <v>33</v>
      </c>
      <c r="P23" s="10" t="s">
        <v>142</v>
      </c>
      <c r="Q23" s="6" t="s">
        <v>143</v>
      </c>
      <c r="R23" s="7" t="s">
        <v>33</v>
      </c>
      <c r="S23" s="7" t="s">
        <v>144</v>
      </c>
      <c r="T23" s="10" t="s">
        <v>142</v>
      </c>
      <c r="U23" s="6" t="s">
        <v>145</v>
      </c>
      <c r="V23" s="7" t="s">
        <v>34</v>
      </c>
      <c r="W23" s="6"/>
      <c r="X23" s="7" t="s">
        <v>34</v>
      </c>
      <c r="Y23" s="13"/>
      <c r="Z23" s="7" t="s">
        <v>33</v>
      </c>
      <c r="AA23" s="6" t="s">
        <v>146</v>
      </c>
      <c r="AB23" s="6" t="s">
        <v>147</v>
      </c>
      <c r="AC23" s="6" t="s">
        <v>39</v>
      </c>
    </row>
    <row r="24" ht="22.5" customHeight="1">
      <c r="A24" s="11" t="str">
        <f>REGEXEXTRACT(D24, "\d{4}\.\s(.*?)\.\sProc\. ACM")"),"CornerSense: Virtual Path-Augmented WiFi Sensing for Human Proximity Detection Around Corners on Mobile Robots</f>
        <v xml:space="preserve">CornerSense: Virtual Path-Augmented WiFi Sensing for Human Proximity Detection Around Corners on Mobile Robots</v>
      </c>
      <c r="B24" s="7">
        <f t="shared" si="5"/>
        <v>181</v>
      </c>
      <c r="C24" s="8" t="s">
        <v>148</v>
      </c>
      <c r="D24" s="6" t="s">
        <v>149</v>
      </c>
      <c r="E24" s="9">
        <v>46020</v>
      </c>
      <c r="F24" s="7">
        <v>2025</v>
      </c>
      <c r="G24" s="7" t="s">
        <v>31</v>
      </c>
      <c r="H24" s="6" t="str">
        <f t="shared" si="1"/>
        <v>2025_Dec_181</v>
      </c>
      <c r="I24" s="12" t="str">
        <f t="shared" si="2"/>
        <v>https://doi.org/10.1145/3770699</v>
      </c>
      <c r="J24" s="7">
        <f>IF(D24:D86&lt;&gt;"", VALUE(REGEXEXTRACT(D24:D86, "(\d+)\s+pages")), )
</f>
        <v>37</v>
      </c>
      <c r="K24" s="6" t="s">
        <v>71</v>
      </c>
      <c r="L24" s="7" t="str">
        <f t="shared" si="7"/>
        <v>No</v>
      </c>
      <c r="M24" s="7" t="s">
        <v>33</v>
      </c>
      <c r="N24" s="7" t="s">
        <v>33</v>
      </c>
      <c r="O24" s="7" t="s">
        <v>34</v>
      </c>
      <c r="P24" s="12" t="s">
        <v>150</v>
      </c>
      <c r="Q24" s="6" t="s">
        <v>151</v>
      </c>
      <c r="R24" s="7" t="s">
        <v>33</v>
      </c>
      <c r="S24" s="7" t="s">
        <v>34</v>
      </c>
      <c r="T24" s="12" t="s">
        <v>150</v>
      </c>
      <c r="U24" s="6" t="s">
        <v>151</v>
      </c>
      <c r="V24" s="7" t="s">
        <v>34</v>
      </c>
      <c r="W24" s="6"/>
      <c r="X24" s="7" t="s">
        <v>33</v>
      </c>
      <c r="Y24" s="6" t="s">
        <v>152</v>
      </c>
      <c r="Z24" s="7" t="s">
        <v>34</v>
      </c>
      <c r="AA24" s="6" t="s">
        <v>153</v>
      </c>
      <c r="AB24" s="6" t="s">
        <v>154</v>
      </c>
      <c r="AC24" s="6" t="s">
        <v>39</v>
      </c>
    </row>
    <row r="25" ht="22.5" customHeight="1">
      <c r="A25" s="11" t="str">
        <f>REGEXEXTRACT(D25, "\d{4}\.\s(.*?)\.\sProc\. ACM")"),"Tandem: At-Home Behavior Assessment Using Multimodal Signals from the Parent-Child Dyad</f>
        <v xml:space="preserve">Tandem: At-Home Behavior Assessment Using Multimodal Signals from the Parent-Child Dyad</v>
      </c>
      <c r="B25" s="7">
        <f t="shared" si="5"/>
        <v>182</v>
      </c>
      <c r="C25" s="8" t="s">
        <v>155</v>
      </c>
      <c r="D25" s="6" t="s">
        <v>156</v>
      </c>
      <c r="E25" s="9">
        <v>46020</v>
      </c>
      <c r="F25" s="7">
        <v>2025</v>
      </c>
      <c r="G25" s="7" t="s">
        <v>31</v>
      </c>
      <c r="H25" s="6" t="str">
        <f t="shared" si="1"/>
        <v>2025_Dec_182</v>
      </c>
      <c r="I25" s="12" t="str">
        <f t="shared" si="2"/>
        <v>https://doi.org/10.1145/3770705</v>
      </c>
      <c r="J25" s="7">
        <f>IF(D25:D86&lt;&gt;"", VALUE(REGEXEXTRACT(D25:D86, "(\d+)\s+pages")), )
</f>
        <v>25</v>
      </c>
      <c r="K25" s="6" t="s">
        <v>32</v>
      </c>
      <c r="L25" s="7" t="str">
        <f t="shared" si="7"/>
        <v>No</v>
      </c>
      <c r="M25" s="7" t="s">
        <v>33</v>
      </c>
      <c r="N25" s="7" t="s">
        <v>33</v>
      </c>
      <c r="O25" s="7" t="s">
        <v>34</v>
      </c>
      <c r="P25" s="6"/>
      <c r="Q25" s="6"/>
      <c r="R25" s="7" t="s">
        <v>33</v>
      </c>
      <c r="S25" s="7" t="s">
        <v>34</v>
      </c>
      <c r="T25" s="6"/>
      <c r="U25" s="6"/>
      <c r="V25" s="7" t="s">
        <v>34</v>
      </c>
      <c r="W25" s="6"/>
      <c r="X25" s="7" t="s">
        <v>34</v>
      </c>
      <c r="Y25" s="13"/>
      <c r="Z25" s="7" t="s">
        <v>34</v>
      </c>
      <c r="AA25" s="6"/>
      <c r="AB25" s="6" t="s">
        <v>157</v>
      </c>
      <c r="AC25" s="6" t="s">
        <v>39</v>
      </c>
    </row>
    <row r="26" ht="22.5" customHeight="1">
      <c r="A26" s="11" t="str">
        <f>REGEXEXTRACT(D26, "\d{4}\.\s(.*?)\.\sProc\. ACM")"),"Exploring the Emotional Effects of Enhanced Interoception via Heartbeat-Synchronized Haptic Feedback</f>
        <v xml:space="preserve">Exploring the Emotional Effects of Enhanced Interoception via Heartbeat-Synchronized Haptic Feedback</v>
      </c>
      <c r="B26" s="7">
        <f t="shared" si="5"/>
        <v>183</v>
      </c>
      <c r="C26" s="8" t="s">
        <v>158</v>
      </c>
      <c r="D26" s="6" t="s">
        <v>159</v>
      </c>
      <c r="E26" s="9">
        <v>46020</v>
      </c>
      <c r="F26" s="7">
        <v>2025</v>
      </c>
      <c r="G26" s="7" t="s">
        <v>31</v>
      </c>
      <c r="H26" s="6" t="str">
        <f t="shared" si="1"/>
        <v>2025_Dec_183</v>
      </c>
      <c r="I26" s="12" t="str">
        <f t="shared" si="2"/>
        <v>https://doi.org/10.1145/3770663</v>
      </c>
      <c r="J26" s="7">
        <f>IF(D26:D86&lt;&gt;"", VALUE(REGEXEXTRACT(D26:D86, "(\d+)\s+pages")), )
</f>
        <v>21</v>
      </c>
      <c r="K26" s="6" t="s">
        <v>42</v>
      </c>
      <c r="L26" s="7" t="str">
        <f t="shared" si="7"/>
        <v>No</v>
      </c>
      <c r="M26" s="7" t="s">
        <v>33</v>
      </c>
      <c r="N26" s="7" t="s">
        <v>34</v>
      </c>
      <c r="O26" s="7" t="s">
        <v>35</v>
      </c>
      <c r="P26" s="6"/>
      <c r="Q26" s="6"/>
      <c r="R26" s="7" t="s">
        <v>34</v>
      </c>
      <c r="S26" s="7" t="s">
        <v>35</v>
      </c>
      <c r="T26" s="6"/>
      <c r="U26" s="6"/>
      <c r="V26" s="7" t="s">
        <v>35</v>
      </c>
      <c r="W26" s="6"/>
      <c r="X26" s="7" t="s">
        <v>35</v>
      </c>
      <c r="Y26" s="13"/>
      <c r="Z26" s="7" t="s">
        <v>35</v>
      </c>
      <c r="AA26" s="6"/>
      <c r="AB26" s="6"/>
      <c r="AC26" s="6" t="s">
        <v>39</v>
      </c>
    </row>
    <row r="27" ht="22.5" customHeight="1">
      <c r="A27" s="11" t="str">
        <f>REGEXEXTRACT(D27, "\d{4}\.\s(.*?)\.\sProc\. ACM")"),"The Co-Evolution of Language, Technology, and Culture in Autism Computing Research: Lessons Learned From ACM Digital Library</f>
        <v xml:space="preserve">The Co-Evolution of Language, Technology, and Culture in Autism Computing Research: Lessons Learned From ACM Digital Library</v>
      </c>
      <c r="B27" s="7">
        <f t="shared" si="5"/>
        <v>184</v>
      </c>
      <c r="C27" s="8" t="s">
        <v>160</v>
      </c>
      <c r="D27" s="6" t="s">
        <v>161</v>
      </c>
      <c r="E27" s="9">
        <v>46020</v>
      </c>
      <c r="F27" s="7">
        <v>2025</v>
      </c>
      <c r="G27" s="7" t="s">
        <v>31</v>
      </c>
      <c r="H27" s="6" t="str">
        <f t="shared" si="1"/>
        <v>2025_Dec_184</v>
      </c>
      <c r="I27" s="12" t="str">
        <f t="shared" si="2"/>
        <v>https://doi.org/10.1145/3770638</v>
      </c>
      <c r="J27" s="7">
        <f>IF(D27:D86&lt;&gt;"", VALUE(REGEXEXTRACT(D27:D86, "(\d+)\s+pages")), )
</f>
        <v>31</v>
      </c>
      <c r="K27" s="6" t="s">
        <v>110</v>
      </c>
      <c r="L27" s="7" t="str">
        <f t="shared" si="7"/>
        <v>No</v>
      </c>
      <c r="M27" s="7" t="s">
        <v>33</v>
      </c>
      <c r="N27" s="7" t="s">
        <v>34</v>
      </c>
      <c r="O27" s="7" t="s">
        <v>35</v>
      </c>
      <c r="P27" s="6"/>
      <c r="Q27" s="6"/>
      <c r="R27" s="7" t="s">
        <v>34</v>
      </c>
      <c r="S27" s="7" t="s">
        <v>35</v>
      </c>
      <c r="T27" s="6"/>
      <c r="U27" s="6"/>
      <c r="V27" s="7" t="s">
        <v>35</v>
      </c>
      <c r="W27" s="6"/>
      <c r="X27" s="7" t="s">
        <v>35</v>
      </c>
      <c r="Y27" s="13"/>
      <c r="Z27" s="7" t="s">
        <v>35</v>
      </c>
      <c r="AA27" s="6"/>
      <c r="AB27" s="6"/>
      <c r="AC27" s="6" t="s">
        <v>39</v>
      </c>
    </row>
    <row r="28" ht="22.5" customHeight="1">
      <c r="A28" s="11" t="str">
        <f>REGEXEXTRACT(D28, "\d{4}\.\s(.*?)\.\sProc\. ACM")"),"Moving-Press: Pressure-based Moving Phantom Sensation for Immersive VR Hand Interaction</f>
        <v xml:space="preserve">Moving-Press: Pressure-based Moving Phantom Sensation for Immersive VR Hand Interaction</v>
      </c>
      <c r="B28" s="7">
        <f t="shared" si="5"/>
        <v>185</v>
      </c>
      <c r="C28" s="8" t="s">
        <v>162</v>
      </c>
      <c r="D28" s="6" t="s">
        <v>163</v>
      </c>
      <c r="E28" s="9">
        <v>46020</v>
      </c>
      <c r="F28" s="7">
        <v>2025</v>
      </c>
      <c r="G28" s="7" t="s">
        <v>31</v>
      </c>
      <c r="H28" s="6" t="str">
        <f t="shared" si="1"/>
        <v>2025_Dec_185</v>
      </c>
      <c r="I28" s="12" t="str">
        <f t="shared" si="2"/>
        <v>https://doi.org/10.1145/3770682</v>
      </c>
      <c r="J28" s="7">
        <f>IF(D28:D86&lt;&gt;"", VALUE(REGEXEXTRACT(D28:D86, "(\d+)\s+pages")), )
</f>
        <v>24</v>
      </c>
      <c r="K28" s="6" t="s">
        <v>164</v>
      </c>
      <c r="L28" s="7" t="str">
        <f t="shared" si="7"/>
        <v>No</v>
      </c>
      <c r="M28" s="7" t="s">
        <v>33</v>
      </c>
      <c r="N28" s="7" t="s">
        <v>34</v>
      </c>
      <c r="O28" s="7" t="s">
        <v>35</v>
      </c>
      <c r="P28" s="6"/>
      <c r="Q28" s="6"/>
      <c r="R28" s="7" t="s">
        <v>34</v>
      </c>
      <c r="S28" s="7" t="s">
        <v>35</v>
      </c>
      <c r="T28" s="6"/>
      <c r="U28" s="6"/>
      <c r="V28" s="7" t="s">
        <v>33</v>
      </c>
      <c r="W28" s="6" t="s">
        <v>165</v>
      </c>
      <c r="X28" s="7" t="s">
        <v>34</v>
      </c>
      <c r="Y28" s="13"/>
      <c r="Z28" s="7" t="s">
        <v>35</v>
      </c>
      <c r="AA28" s="6"/>
      <c r="AB28" s="6" t="s">
        <v>166</v>
      </c>
      <c r="AC28" s="6" t="s">
        <v>39</v>
      </c>
    </row>
    <row r="29" ht="22.5" customHeight="1">
      <c r="A29" s="11" t="str">
        <f>REGEXEXTRACT(D29, "\d{4}\.\s(.*?)\.\sProc\. ACM")"),"A Context-Assisted, Semi-Automated Activity Recall Interface Allowing Uncertainty</f>
        <v xml:space="preserve">A Context-Assisted, Semi-Automated Activity Recall Interface Allowing Uncertainty</v>
      </c>
      <c r="B29" s="7">
        <f t="shared" si="5"/>
        <v>186</v>
      </c>
      <c r="C29" s="8" t="s">
        <v>167</v>
      </c>
      <c r="D29" s="6" t="s">
        <v>168</v>
      </c>
      <c r="E29" s="9">
        <v>46020</v>
      </c>
      <c r="F29" s="7">
        <v>2025</v>
      </c>
      <c r="G29" s="7" t="s">
        <v>31</v>
      </c>
      <c r="H29" s="6" t="str">
        <f t="shared" si="1"/>
        <v>2025_Dec_186</v>
      </c>
      <c r="I29" s="12" t="str">
        <f t="shared" si="2"/>
        <v>https://doi.org/10.1145/3770710</v>
      </c>
      <c r="J29" s="7">
        <f>IF(D29:D86&lt;&gt;"", VALUE(REGEXEXTRACT(D29:D86, "(\d+)\s+pages")), )
</f>
        <v>34</v>
      </c>
      <c r="K29" s="6" t="s">
        <v>133</v>
      </c>
      <c r="L29" s="7" t="str">
        <f t="shared" si="7"/>
        <v>No</v>
      </c>
      <c r="M29" s="7" t="s">
        <v>33</v>
      </c>
      <c r="N29" s="7" t="s">
        <v>33</v>
      </c>
      <c r="O29" s="7" t="s">
        <v>34</v>
      </c>
      <c r="P29" s="6"/>
      <c r="Q29" s="6"/>
      <c r="R29" s="7" t="s">
        <v>34</v>
      </c>
      <c r="S29" s="7" t="s">
        <v>35</v>
      </c>
      <c r="T29" s="6"/>
      <c r="U29" s="6"/>
      <c r="V29" s="7" t="s">
        <v>33</v>
      </c>
      <c r="W29" s="6" t="s">
        <v>169</v>
      </c>
      <c r="X29" s="7" t="s">
        <v>34</v>
      </c>
      <c r="Y29" s="13"/>
      <c r="Z29" s="7" t="s">
        <v>34</v>
      </c>
      <c r="AA29" s="6"/>
      <c r="AB29" s="6" t="s">
        <v>170</v>
      </c>
      <c r="AC29" s="6" t="s">
        <v>39</v>
      </c>
    </row>
    <row r="30" ht="22.5" customHeight="1">
      <c r="A30" s="14" t="str">
        <f>REGEXEXTRACT(D30, "\d{4}\.\s(.*?)\.\sProc\. ACM")"),"Leveraging Smartphone Human Interaction Routine Behavior Task Mining and Modeling for Daily Stress Monitoring</f>
        <v xml:space="preserve">Leveraging Smartphone Human Interaction Routine Behavior Task Mining and Modeling for Daily Stress Monitoring</v>
      </c>
      <c r="B30" s="15">
        <f t="shared" si="5"/>
        <v>187</v>
      </c>
      <c r="C30" s="16" t="s">
        <v>171</v>
      </c>
      <c r="D30" s="17" t="s">
        <v>172</v>
      </c>
      <c r="E30" s="18">
        <v>46020</v>
      </c>
      <c r="F30" s="15">
        <v>2025</v>
      </c>
      <c r="G30" s="15" t="s">
        <v>31</v>
      </c>
      <c r="H30" s="17" t="str">
        <f t="shared" si="1"/>
        <v>2025_Dec_187</v>
      </c>
      <c r="I30" s="19" t="str">
        <f t="shared" si="2"/>
        <v>https://doi.org/10.1145/3770644</v>
      </c>
      <c r="J30" s="15">
        <f>IF(D30:D86&lt;&gt;"", VALUE(REGEXEXTRACT(D30:D86, "(\d+)\s+pages")), )
</f>
        <v>45</v>
      </c>
      <c r="K30" s="17" t="s">
        <v>133</v>
      </c>
      <c r="L30" s="15" t="str">
        <f t="shared" si="7"/>
        <v>No</v>
      </c>
      <c r="M30" s="15" t="s">
        <v>33</v>
      </c>
      <c r="N30" s="15" t="s">
        <v>33</v>
      </c>
      <c r="O30" s="15" t="s">
        <v>34</v>
      </c>
      <c r="P30" s="17"/>
      <c r="Q30" s="17" t="s">
        <v>173</v>
      </c>
      <c r="R30" s="15" t="s">
        <v>33</v>
      </c>
      <c r="S30" s="15" t="s">
        <v>34</v>
      </c>
      <c r="T30" s="17"/>
      <c r="U30" s="17"/>
      <c r="V30" s="15" t="s">
        <v>34</v>
      </c>
      <c r="W30" s="17"/>
      <c r="X30" s="15" t="s">
        <v>34</v>
      </c>
      <c r="Y30" s="20"/>
      <c r="Z30" s="15" t="s">
        <v>34</v>
      </c>
      <c r="AA30" s="17"/>
      <c r="AB30" s="17" t="s">
        <v>174</v>
      </c>
      <c r="AC30" s="17" t="s">
        <v>39</v>
      </c>
    </row>
    <row r="31" ht="22.5" customHeight="1">
      <c r="A31" s="11" t="str">
        <f>REGEXEXTRACT(D31, "\d{4}\.\s(.*?)\.\sProc\. ACM")"),"Hierarchical Human-UAV Cooperative Task Allocation for Spatiotemporal Crowdsensing in Disaster Response</f>
        <v xml:space="preserve">Hierarchical Human-UAV Cooperative Task Allocation for Spatiotemporal Crowdsensing in Disaster Response</v>
      </c>
      <c r="B31" s="7">
        <f t="shared" si="5"/>
        <v>188</v>
      </c>
      <c r="C31" s="8" t="s">
        <v>175</v>
      </c>
      <c r="D31" s="6" t="s">
        <v>176</v>
      </c>
      <c r="E31" s="9">
        <v>46014</v>
      </c>
      <c r="F31" s="7">
        <v>2025</v>
      </c>
      <c r="G31" s="7" t="s">
        <v>31</v>
      </c>
      <c r="H31" s="6" t="str">
        <f t="shared" si="1"/>
        <v>2025_Dec_188</v>
      </c>
      <c r="I31" s="12" t="str">
        <f t="shared" si="2"/>
        <v>https://doi.org/10.1145/3770651</v>
      </c>
      <c r="J31" s="7">
        <f>IF(D31:D86&lt;&gt;"", VALUE(REGEXEXTRACT(D31:D86, "(\d+)\s+pages")), )
</f>
        <v>33</v>
      </c>
      <c r="K31" s="6" t="s">
        <v>71</v>
      </c>
      <c r="L31" s="7" t="str">
        <f t="shared" si="7"/>
        <v>No</v>
      </c>
      <c r="M31" s="7" t="s">
        <v>34</v>
      </c>
      <c r="N31" s="7" t="s">
        <v>33</v>
      </c>
      <c r="O31" s="7" t="s">
        <v>34</v>
      </c>
      <c r="P31" s="6"/>
      <c r="Q31" s="6" t="s">
        <v>177</v>
      </c>
      <c r="R31" s="7" t="s">
        <v>33</v>
      </c>
      <c r="S31" s="7" t="s">
        <v>34</v>
      </c>
      <c r="T31" s="6"/>
      <c r="U31" s="6"/>
      <c r="V31" s="7" t="s">
        <v>33</v>
      </c>
      <c r="W31" s="6" t="s">
        <v>178</v>
      </c>
      <c r="X31" s="7" t="s">
        <v>33</v>
      </c>
      <c r="Y31" s="6" t="s">
        <v>179</v>
      </c>
      <c r="Z31" s="7" t="s">
        <v>34</v>
      </c>
      <c r="AA31" s="6"/>
      <c r="AB31" s="6" t="s">
        <v>180</v>
      </c>
      <c r="AC31" s="6" t="s">
        <v>181</v>
      </c>
    </row>
    <row r="32" ht="22.5" customHeight="1">
      <c r="A32" s="11" t="str">
        <f>REGEXEXTRACT(D32, "\d{4}\.\s(.*?)\.\sProc\. ACM")"),"Estimating the Effects of Ambient Noise on Mixed Reality Interaction</f>
        <v xml:space="preserve">Estimating the Effects of Ambient Noise on Mixed Reality Interaction</v>
      </c>
      <c r="B32" s="7">
        <f t="shared" si="5"/>
        <v>189</v>
      </c>
      <c r="C32" s="8" t="s">
        <v>182</v>
      </c>
      <c r="D32" s="6" t="s">
        <v>183</v>
      </c>
      <c r="E32" s="9">
        <v>46014</v>
      </c>
      <c r="F32" s="7">
        <v>2025</v>
      </c>
      <c r="G32" s="7" t="s">
        <v>31</v>
      </c>
      <c r="H32" s="6" t="str">
        <f t="shared" si="1"/>
        <v>2025_Dec_189</v>
      </c>
      <c r="I32" s="12" t="str">
        <f t="shared" si="2"/>
        <v>https://doi.org/10.1145/3770715</v>
      </c>
      <c r="J32" s="7">
        <f>IF(D32:D86&lt;&gt;"", VALUE(REGEXEXTRACT(D32:D86, "(\d+)\s+pages")), )
</f>
        <v>34</v>
      </c>
      <c r="K32" s="6" t="s">
        <v>64</v>
      </c>
      <c r="L32" s="7" t="str">
        <f t="shared" si="7"/>
        <v>No</v>
      </c>
      <c r="M32" s="7" t="s">
        <v>33</v>
      </c>
      <c r="N32" s="7" t="s">
        <v>33</v>
      </c>
      <c r="O32" s="7" t="s">
        <v>34</v>
      </c>
      <c r="P32" s="6"/>
      <c r="Q32" s="6" t="s">
        <v>184</v>
      </c>
      <c r="R32" s="7" t="s">
        <v>33</v>
      </c>
      <c r="S32" s="7" t="s">
        <v>34</v>
      </c>
      <c r="T32" s="6"/>
      <c r="U32" s="6"/>
      <c r="V32" s="7" t="s">
        <v>33</v>
      </c>
      <c r="W32" s="6" t="s">
        <v>185</v>
      </c>
      <c r="X32" s="7" t="s">
        <v>33</v>
      </c>
      <c r="Y32" s="6" t="s">
        <v>186</v>
      </c>
      <c r="Z32" s="7" t="s">
        <v>34</v>
      </c>
      <c r="AA32" s="6"/>
      <c r="AB32" s="6" t="s">
        <v>187</v>
      </c>
      <c r="AC32" s="6" t="s">
        <v>181</v>
      </c>
    </row>
    <row r="33" ht="22.5" customHeight="1">
      <c r="A33" s="11" t="str">
        <f>REGEXEXTRACT(D33, "\d{4}\.\s(.*?)\.\sProc\. ACM")"),"Rethinking WiFi-based Angle Estimation for Robust Passive Indoor Localization</f>
        <v xml:space="preserve">Rethinking WiFi-based Angle Estimation for Robust Passive Indoor Localization</v>
      </c>
      <c r="B33" s="7">
        <f t="shared" si="5"/>
        <v>190</v>
      </c>
      <c r="C33" s="8" t="s">
        <v>188</v>
      </c>
      <c r="D33" s="6" t="s">
        <v>189</v>
      </c>
      <c r="E33" s="9">
        <v>46025</v>
      </c>
      <c r="F33" s="7">
        <v>2025</v>
      </c>
      <c r="G33" s="7" t="s">
        <v>31</v>
      </c>
      <c r="H33" s="6" t="str">
        <f t="shared" si="1"/>
        <v>2025_Dec_190</v>
      </c>
      <c r="I33" s="12" t="str">
        <f t="shared" si="2"/>
        <v>https://doi.org/10.1145/3770662</v>
      </c>
      <c r="J33" s="7">
        <f>IF(D33:D86&lt;&gt;"", VALUE(REGEXEXTRACT(D33:D86, "(\d+)\s+pages")), )
</f>
        <v>28</v>
      </c>
      <c r="K33" s="6" t="s">
        <v>71</v>
      </c>
      <c r="L33" s="7" t="str">
        <f t="shared" si="7"/>
        <v>No</v>
      </c>
      <c r="M33" s="7" t="s">
        <v>34</v>
      </c>
      <c r="N33" s="7" t="s">
        <v>33</v>
      </c>
      <c r="O33" s="7" t="s">
        <v>34</v>
      </c>
      <c r="P33" s="6"/>
      <c r="Q33" s="6"/>
      <c r="R33" s="7" t="s">
        <v>34</v>
      </c>
      <c r="S33" s="7" t="s">
        <v>35</v>
      </c>
      <c r="T33" s="6"/>
      <c r="U33" s="6"/>
      <c r="V33" s="7" t="s">
        <v>33</v>
      </c>
      <c r="W33" s="6" t="s">
        <v>190</v>
      </c>
      <c r="X33" s="7" t="s">
        <v>33</v>
      </c>
      <c r="Y33" s="6" t="s">
        <v>191</v>
      </c>
      <c r="Z33" s="7" t="s">
        <v>34</v>
      </c>
      <c r="AA33" s="6"/>
      <c r="AB33" s="6" t="s">
        <v>192</v>
      </c>
      <c r="AC33" s="6" t="s">
        <v>181</v>
      </c>
    </row>
    <row r="34" ht="22.5" customHeight="1">
      <c r="A34" s="11" t="str">
        <f>REGEXEXTRACT(D34, "\d{4}\.\s(.*?)\.\sProc\. ACM")"),"BlinkBud: Detecting Hazards from Behind via Sampled Monocular 3D Detection on a Single Earbud</f>
        <v xml:space="preserve">BlinkBud: Detecting Hazards from Behind via Sampled Monocular 3D Detection on a Single Earbud</v>
      </c>
      <c r="B34" s="7">
        <f t="shared" si="5"/>
        <v>191</v>
      </c>
      <c r="C34" s="8" t="s">
        <v>193</v>
      </c>
      <c r="D34" s="6" t="s">
        <v>194</v>
      </c>
      <c r="E34" s="9">
        <v>46025</v>
      </c>
      <c r="F34" s="7">
        <v>2025</v>
      </c>
      <c r="G34" s="7" t="s">
        <v>31</v>
      </c>
      <c r="H34" s="6" t="str">
        <f t="shared" si="1"/>
        <v>2025_Dec_191</v>
      </c>
      <c r="I34" s="12" t="str">
        <f t="shared" si="2"/>
        <v>https://doi.org/10.1145/3770707</v>
      </c>
      <c r="J34" s="7">
        <f>IF(D34:D86&lt;&gt;"", VALUE(REGEXEXTRACT(D34:D86, "(\d+)\s+pages")), )
</f>
        <v>26</v>
      </c>
      <c r="K34" s="6" t="s">
        <v>45</v>
      </c>
      <c r="L34" s="7" t="str">
        <f t="shared" si="7"/>
        <v>No</v>
      </c>
      <c r="M34" s="7" t="s">
        <v>34</v>
      </c>
      <c r="N34" s="7" t="s">
        <v>33</v>
      </c>
      <c r="O34" s="7" t="s">
        <v>34</v>
      </c>
      <c r="P34" s="6"/>
      <c r="Q34" s="6"/>
      <c r="R34" s="7" t="s">
        <v>33</v>
      </c>
      <c r="S34" s="7" t="s">
        <v>34</v>
      </c>
      <c r="T34" s="13"/>
      <c r="U34" s="6" t="s">
        <v>195</v>
      </c>
      <c r="V34" s="7" t="s">
        <v>33</v>
      </c>
      <c r="W34" s="6" t="s">
        <v>196</v>
      </c>
      <c r="X34" s="7" t="s">
        <v>33</v>
      </c>
      <c r="Y34" s="6" t="s">
        <v>197</v>
      </c>
      <c r="Z34" s="7" t="s">
        <v>34</v>
      </c>
      <c r="AA34" s="6"/>
      <c r="AB34" s="6" t="s">
        <v>198</v>
      </c>
      <c r="AC34" s="6" t="s">
        <v>181</v>
      </c>
    </row>
    <row r="35" ht="22.5" customHeight="1">
      <c r="A35" s="11" t="str">
        <f>REGEXEXTRACT(D35, "\d{4}\.\s(.*?)\.\sProc\. ACM")"),"FuSenseRing: An Open-Source Platform for Robust Cuffless Blood Pressure Monitoring via Multimodal Sensor Fusion and Temperature-Adaptive Attention</f>
        <v xml:space="preserve">FuSenseRing: An Open-Source Platform for Robust Cuffless Blood Pressure Monitoring via Multimodal Sensor Fusion and Temperature-Adaptive Attention</v>
      </c>
      <c r="B35" s="7">
        <f t="shared" si="5"/>
        <v>192</v>
      </c>
      <c r="C35" s="8" t="s">
        <v>199</v>
      </c>
      <c r="D35" s="6" t="s">
        <v>200</v>
      </c>
      <c r="E35" s="9">
        <v>46026</v>
      </c>
      <c r="F35" s="7">
        <v>2025</v>
      </c>
      <c r="G35" s="7" t="s">
        <v>31</v>
      </c>
      <c r="H35" s="6" t="str">
        <f t="shared" si="1"/>
        <v>2025_Dec_192</v>
      </c>
      <c r="I35" s="12" t="str">
        <f t="shared" si="2"/>
        <v>https://doi.org/10.1145/3770689</v>
      </c>
      <c r="J35" s="7">
        <f>IF(D35:D86&lt;&gt;"", VALUE(REGEXEXTRACT(D35:D86, "(\d+)\s+pages")), )
</f>
        <v>34</v>
      </c>
      <c r="K35" s="6" t="s">
        <v>45</v>
      </c>
      <c r="L35" s="7" t="str">
        <f t="shared" si="7"/>
        <v>No</v>
      </c>
      <c r="M35" s="7" t="s">
        <v>34</v>
      </c>
      <c r="N35" s="7" t="s">
        <v>33</v>
      </c>
      <c r="O35" s="7" t="s">
        <v>33</v>
      </c>
      <c r="P35" s="10" t="s">
        <v>201</v>
      </c>
      <c r="Q35" s="6" t="s">
        <v>202</v>
      </c>
      <c r="R35" s="7" t="s">
        <v>33</v>
      </c>
      <c r="S35" s="7" t="s">
        <v>34</v>
      </c>
      <c r="T35" s="13"/>
      <c r="U35" s="6" t="s">
        <v>203</v>
      </c>
      <c r="V35" s="7" t="s">
        <v>33</v>
      </c>
      <c r="W35" s="6" t="s">
        <v>204</v>
      </c>
      <c r="X35" s="7" t="s">
        <v>33</v>
      </c>
      <c r="Y35" s="6" t="s">
        <v>205</v>
      </c>
      <c r="Z35" s="7" t="s">
        <v>33</v>
      </c>
      <c r="AA35" s="6"/>
      <c r="AB35" s="6" t="s">
        <v>206</v>
      </c>
      <c r="AC35" s="6" t="s">
        <v>181</v>
      </c>
    </row>
    <row r="36" ht="22.5" customHeight="1">
      <c r="A36" s="11" t="str">
        <f>REGEXEXTRACT(D36, "\d{4}\.\s(.*?)\.\sProc\. ACM")"),"Gestura: A LVLM-Powered System Bridging Motion and Semantics for Real-Time Free-Form Gesture Understanding</f>
        <v xml:space="preserve">Gestura: A LVLM-Powered System Bridging Motion and Semantics for Real-Time Free-Form Gesture Understanding</v>
      </c>
      <c r="B36" s="7">
        <f t="shared" si="5"/>
        <v>193</v>
      </c>
      <c r="C36" s="8" t="s">
        <v>207</v>
      </c>
      <c r="D36" s="6" t="s">
        <v>208</v>
      </c>
      <c r="E36" s="9">
        <v>46026</v>
      </c>
      <c r="F36" s="7">
        <v>2025</v>
      </c>
      <c r="G36" s="7" t="s">
        <v>31</v>
      </c>
      <c r="H36" s="6" t="str">
        <f t="shared" si="1"/>
        <v>2025_Dec_193</v>
      </c>
      <c r="I36" s="12" t="str">
        <f t="shared" si="2"/>
        <v>https://doi.org/10.1145/3770709</v>
      </c>
      <c r="J36" s="7">
        <f>IF(D36:D86&lt;&gt;"", VALUE(REGEXEXTRACT(D36:D86, "(\d+)\s+pages")), )
</f>
        <v>29</v>
      </c>
      <c r="K36" s="6" t="s">
        <v>209</v>
      </c>
      <c r="L36" s="7" t="str">
        <f t="shared" si="7"/>
        <v>No</v>
      </c>
      <c r="M36" s="7" t="s">
        <v>33</v>
      </c>
      <c r="N36" s="7" t="s">
        <v>33</v>
      </c>
      <c r="O36" s="7" t="s">
        <v>33</v>
      </c>
      <c r="P36" s="10" t="s">
        <v>210</v>
      </c>
      <c r="Q36" s="6"/>
      <c r="R36" s="7" t="s">
        <v>33</v>
      </c>
      <c r="S36" s="7" t="s">
        <v>33</v>
      </c>
      <c r="T36" s="10" t="s">
        <v>210</v>
      </c>
      <c r="U36" s="6"/>
      <c r="V36" s="7" t="s">
        <v>33</v>
      </c>
      <c r="W36" s="6" t="s">
        <v>211</v>
      </c>
      <c r="X36" s="7" t="s">
        <v>33</v>
      </c>
      <c r="Y36" s="6" t="s">
        <v>212</v>
      </c>
      <c r="Z36" s="7" t="s">
        <v>144</v>
      </c>
      <c r="AA36" s="7" t="s">
        <v>213</v>
      </c>
      <c r="AB36" s="6" t="s">
        <v>214</v>
      </c>
      <c r="AC36" s="6" t="s">
        <v>181</v>
      </c>
    </row>
    <row r="37" ht="22.5" customHeight="1">
      <c r="A37" s="11" t="str">
        <f>REGEXEXTRACT(D37, "\d{4}\.\s(.*?)\.\sProc\. ACM")"),"Acoustoscillogram: Unlocking Arterial Health Insights via Acoustic Sensing with Low-cost Wired Earphones</f>
        <v xml:space="preserve">Acoustoscillogram: Unlocking Arterial Health Insights via Acoustic Sensing with Low-cost Wired Earphones</v>
      </c>
      <c r="B37" s="7">
        <f t="shared" si="5"/>
        <v>194</v>
      </c>
      <c r="C37" s="8" t="s">
        <v>215</v>
      </c>
      <c r="D37" s="6" t="s">
        <v>216</v>
      </c>
      <c r="E37" s="9">
        <v>46026</v>
      </c>
      <c r="F37" s="7">
        <v>2025</v>
      </c>
      <c r="G37" s="7" t="s">
        <v>31</v>
      </c>
      <c r="H37" s="6" t="str">
        <f t="shared" si="1"/>
        <v>2025_Dec_194</v>
      </c>
      <c r="I37" s="12" t="str">
        <f t="shared" si="2"/>
        <v>https://doi.org/10.1145/3770690</v>
      </c>
      <c r="J37" s="7">
        <f>IF(D37:D86&lt;&gt;"", VALUE(REGEXEXTRACT(D37:D86, "(\d+)\s+pages")), )
</f>
        <v>27</v>
      </c>
      <c r="K37" s="6" t="s">
        <v>217</v>
      </c>
      <c r="L37" s="7" t="str">
        <f t="shared" si="7"/>
        <v>No</v>
      </c>
      <c r="M37" s="7" t="s">
        <v>33</v>
      </c>
      <c r="N37" s="7" t="s">
        <v>33</v>
      </c>
      <c r="O37" s="7" t="s">
        <v>34</v>
      </c>
      <c r="P37" s="6"/>
      <c r="Q37" s="6"/>
      <c r="R37" s="7" t="s">
        <v>33</v>
      </c>
      <c r="S37" s="7" t="s">
        <v>34</v>
      </c>
      <c r="T37" s="6"/>
      <c r="U37" s="6"/>
      <c r="V37" s="7" t="s">
        <v>33</v>
      </c>
      <c r="W37" s="6" t="s">
        <v>218</v>
      </c>
      <c r="X37" s="7" t="s">
        <v>33</v>
      </c>
      <c r="Y37" s="6" t="s">
        <v>219</v>
      </c>
      <c r="Z37" s="7" t="s">
        <v>34</v>
      </c>
      <c r="AA37" s="6"/>
      <c r="AB37" s="6" t="s">
        <v>220</v>
      </c>
      <c r="AC37" s="6" t="s">
        <v>181</v>
      </c>
    </row>
    <row r="38" ht="22.5" customHeight="1">
      <c r="A38" s="11" t="str">
        <f>REGEXEXTRACT(D38, "\d{4}\.\s(.*?)\.\sProc\. ACM")"),"TactiFold: Electrotactile Aids for Visually Impaired Individuals in Origami</f>
        <v xml:space="preserve">TactiFold: Electrotactile Aids for Visually Impaired Individuals in Origami</v>
      </c>
      <c r="B38" s="7">
        <f t="shared" si="5"/>
        <v>195</v>
      </c>
      <c r="C38" s="8" t="s">
        <v>221</v>
      </c>
      <c r="D38" s="6" t="s">
        <v>222</v>
      </c>
      <c r="E38" s="9">
        <v>46028</v>
      </c>
      <c r="F38" s="7">
        <v>2025</v>
      </c>
      <c r="G38" s="7" t="s">
        <v>31</v>
      </c>
      <c r="H38" s="6" t="str">
        <f t="shared" si="1"/>
        <v>2025_Dec_195</v>
      </c>
      <c r="I38" s="12" t="str">
        <f t="shared" si="2"/>
        <v>https://doi.org/10.1145/3770650</v>
      </c>
      <c r="J38" s="7">
        <f>IF(D38:D86&lt;&gt;"", VALUE(REGEXEXTRACT(D38:D86, "(\d+)\s+pages")), )
</f>
        <v>29</v>
      </c>
      <c r="K38" s="6" t="s">
        <v>164</v>
      </c>
      <c r="L38" s="7" t="str">
        <f t="shared" si="7"/>
        <v>No</v>
      </c>
      <c r="M38" s="7" t="s">
        <v>33</v>
      </c>
      <c r="N38" s="7" t="s">
        <v>33</v>
      </c>
      <c r="O38" s="7" t="s">
        <v>34</v>
      </c>
      <c r="P38" s="6"/>
      <c r="Q38" s="6"/>
      <c r="R38" s="7" t="s">
        <v>33</v>
      </c>
      <c r="S38" s="7" t="s">
        <v>34</v>
      </c>
      <c r="T38" s="6"/>
      <c r="U38" s="6"/>
      <c r="V38" s="7" t="s">
        <v>33</v>
      </c>
      <c r="W38" s="6" t="s">
        <v>223</v>
      </c>
      <c r="X38" s="7" t="s">
        <v>33</v>
      </c>
      <c r="Y38" s="6" t="s">
        <v>224</v>
      </c>
      <c r="Z38" s="7" t="s">
        <v>34</v>
      </c>
      <c r="AA38" s="6"/>
      <c r="AB38" s="6" t="s">
        <v>225</v>
      </c>
      <c r="AC38" s="6" t="s">
        <v>181</v>
      </c>
    </row>
    <row r="39" ht="22.5" customHeight="1">
      <c r="A39" s="11" t="str">
        <f>REGEXEXTRACT(D39, "\d{4}\.\s(.*?)\.\sProc\. ACM")"),"VR-Shuttlecock: Toward Enhancing Older Adults' Balance Through Kicking Shuttlecock in VR with Multi-Sensory Feedback</f>
        <v xml:space="preserve">VR-Shuttlecock: Toward Enhancing Older Adults' Balance Through Kicking Shuttlecock in VR with Multi-Sensory Feedback</v>
      </c>
      <c r="B39" s="7">
        <f t="shared" si="5"/>
        <v>196</v>
      </c>
      <c r="C39" s="8" t="s">
        <v>226</v>
      </c>
      <c r="D39" s="6" t="s">
        <v>227</v>
      </c>
      <c r="E39" s="9">
        <v>46028</v>
      </c>
      <c r="F39" s="7">
        <v>2025</v>
      </c>
      <c r="G39" s="7" t="s">
        <v>31</v>
      </c>
      <c r="H39" s="6" t="str">
        <f t="shared" si="1"/>
        <v>2025_Dec_196</v>
      </c>
      <c r="I39" s="12" t="str">
        <f t="shared" si="2"/>
        <v>https://doi.org/10.1145/3770691</v>
      </c>
      <c r="J39" s="7">
        <f>IF(D39:D86&lt;&gt;"", VALUE(REGEXEXTRACT(D39:D86, "(\d+)\s+pages")), )
</f>
        <v>27</v>
      </c>
      <c r="K39" s="6" t="s">
        <v>133</v>
      </c>
      <c r="L39" s="7" t="str">
        <f t="shared" si="7"/>
        <v>No</v>
      </c>
      <c r="M39" s="7" t="s">
        <v>34</v>
      </c>
      <c r="N39" s="7" t="s">
        <v>33</v>
      </c>
      <c r="O39" s="7" t="s">
        <v>34</v>
      </c>
      <c r="P39" s="6"/>
      <c r="Q39" s="6"/>
      <c r="R39" s="7" t="s">
        <v>34</v>
      </c>
      <c r="S39" s="7" t="s">
        <v>35</v>
      </c>
      <c r="T39" s="6"/>
      <c r="U39" s="6"/>
      <c r="V39" s="7" t="s">
        <v>33</v>
      </c>
      <c r="W39" s="6" t="s">
        <v>228</v>
      </c>
      <c r="X39" s="7" t="s">
        <v>33</v>
      </c>
      <c r="Y39" s="6" t="s">
        <v>229</v>
      </c>
      <c r="Z39" s="7" t="s">
        <v>34</v>
      </c>
      <c r="AA39" s="6"/>
      <c r="AB39" s="6" t="s">
        <v>230</v>
      </c>
      <c r="AC39" s="6" t="s">
        <v>181</v>
      </c>
    </row>
    <row r="40" ht="22.5" customHeight="1">
      <c r="A40" s="11" t="str">
        <f>REGEXEXTRACT(D40, "\d{4}\.\s(.*?)\.\sProc\. ACM")"),"Finding Order in Chaos: Learning Disentangled Features for mmWave Cardiac Sensing</f>
        <v xml:space="preserve">Finding Order in Chaos: Learning Disentangled Features for mmWave Cardiac Sensing</v>
      </c>
      <c r="B40" s="7">
        <f t="shared" si="5"/>
        <v>197</v>
      </c>
      <c r="C40" s="8" t="s">
        <v>231</v>
      </c>
      <c r="D40" s="6" t="s">
        <v>232</v>
      </c>
      <c r="E40" s="9">
        <v>46028</v>
      </c>
      <c r="F40" s="7">
        <v>2025</v>
      </c>
      <c r="G40" s="7" t="s">
        <v>31</v>
      </c>
      <c r="H40" s="6" t="str">
        <f t="shared" si="1"/>
        <v>2025_Dec_197</v>
      </c>
      <c r="I40" s="12" t="str">
        <f t="shared" si="2"/>
        <v>https://doi.org/10.1145/3770685</v>
      </c>
      <c r="J40" s="7">
        <f>IF(D40:D86&lt;&gt;"", VALUE(REGEXEXTRACT(D40:D86, "(\d+)\s+pages")), )
</f>
        <v>33</v>
      </c>
      <c r="K40" s="6" t="s">
        <v>133</v>
      </c>
      <c r="L40" s="7" t="str">
        <f t="shared" si="7"/>
        <v>No</v>
      </c>
      <c r="M40" s="7" t="s">
        <v>34</v>
      </c>
      <c r="N40" s="7" t="s">
        <v>33</v>
      </c>
      <c r="O40" s="7" t="s">
        <v>34</v>
      </c>
      <c r="P40" s="6"/>
      <c r="Q40" s="6"/>
      <c r="R40" s="7" t="s">
        <v>33</v>
      </c>
      <c r="S40" s="7" t="s">
        <v>34</v>
      </c>
      <c r="T40" s="6"/>
      <c r="U40" s="6"/>
      <c r="V40" s="7" t="s">
        <v>33</v>
      </c>
      <c r="W40" s="6" t="s">
        <v>233</v>
      </c>
      <c r="X40" s="7" t="s">
        <v>33</v>
      </c>
      <c r="Y40" s="6" t="s">
        <v>234</v>
      </c>
      <c r="Z40" s="7" t="s">
        <v>34</v>
      </c>
      <c r="AA40" s="6"/>
      <c r="AB40" s="6" t="s">
        <v>235</v>
      </c>
      <c r="AC40" s="6" t="s">
        <v>181</v>
      </c>
    </row>
    <row r="41" ht="22.5" customHeight="1">
      <c r="A41" s="11" t="str">
        <f>REGEXEXTRACT(D41, "\d{4}\.\s(.*?)\.\sProc\. ACM")"),"EarMeter: Continuous Respiration Volume Monitoring with Earables</f>
        <v xml:space="preserve">EarMeter: Continuous Respiration Volume Monitoring with Earables</v>
      </c>
      <c r="B41" s="7">
        <f t="shared" si="5"/>
        <v>198</v>
      </c>
      <c r="C41" s="8" t="s">
        <v>236</v>
      </c>
      <c r="D41" s="6" t="s">
        <v>237</v>
      </c>
      <c r="E41" s="9">
        <v>46028</v>
      </c>
      <c r="F41" s="7">
        <v>2025</v>
      </c>
      <c r="G41" s="7" t="s">
        <v>31</v>
      </c>
      <c r="H41" s="6" t="str">
        <f t="shared" si="1"/>
        <v>2025_Dec_198</v>
      </c>
      <c r="I41" s="12" t="str">
        <f t="shared" si="2"/>
        <v>https://doi.org/10.1145/3770655</v>
      </c>
      <c r="J41" s="7">
        <f>IF(D41:D86&lt;&gt;"", VALUE(REGEXEXTRACT(D41:D86, "(\d+)\s+pages")), )
</f>
        <v>29</v>
      </c>
      <c r="K41" s="6" t="s">
        <v>217</v>
      </c>
      <c r="L41" s="7" t="str">
        <f t="shared" si="7"/>
        <v>No</v>
      </c>
      <c r="M41" s="7" t="s">
        <v>33</v>
      </c>
      <c r="N41" s="7" t="s">
        <v>33</v>
      </c>
      <c r="O41" s="7" t="s">
        <v>34</v>
      </c>
      <c r="P41" s="6"/>
      <c r="Q41" s="6"/>
      <c r="R41" s="7" t="s">
        <v>33</v>
      </c>
      <c r="S41" s="7" t="s">
        <v>34</v>
      </c>
      <c r="T41" s="6"/>
      <c r="U41" s="6"/>
      <c r="V41" s="7" t="s">
        <v>33</v>
      </c>
      <c r="W41" s="6" t="s">
        <v>238</v>
      </c>
      <c r="X41" s="7" t="s">
        <v>33</v>
      </c>
      <c r="Y41" s="6" t="s">
        <v>239</v>
      </c>
      <c r="Z41" s="7" t="s">
        <v>34</v>
      </c>
      <c r="AA41" s="6"/>
      <c r="AB41" s="6" t="s">
        <v>240</v>
      </c>
      <c r="AC41" s="6" t="s">
        <v>181</v>
      </c>
    </row>
    <row r="42" ht="22.5" customHeight="1">
      <c r="A42" s="11" t="str">
        <f>REGEXEXTRACT(D42, "\d{4}\.\s(.*?)\.\sProc\. ACM")"),"Hi-OSCAR: Hierarchical Open-set Classifier for Human Activity Recognition</f>
        <v xml:space="preserve">Hi-OSCAR: Hierarchical Open-set Classifier for Human Activity Recognition</v>
      </c>
      <c r="B42" s="7">
        <f t="shared" si="5"/>
        <v>199</v>
      </c>
      <c r="C42" s="8" t="s">
        <v>241</v>
      </c>
      <c r="D42" s="6" t="s">
        <v>242</v>
      </c>
      <c r="E42" s="9">
        <v>46028</v>
      </c>
      <c r="F42" s="7">
        <v>2025</v>
      </c>
      <c r="G42" s="7" t="s">
        <v>31</v>
      </c>
      <c r="H42" s="6" t="str">
        <f t="shared" si="1"/>
        <v>2025_Dec_199</v>
      </c>
      <c r="I42" s="12" t="str">
        <f t="shared" si="2"/>
        <v>https://doi.org/10.1145/3770681</v>
      </c>
      <c r="J42" s="7">
        <f>IF(D42:D86&lt;&gt;"", VALUE(REGEXEXTRACT(D42:D86, "(\d+)\s+pages")), )
</f>
        <v>27</v>
      </c>
      <c r="K42" s="6" t="s">
        <v>243</v>
      </c>
      <c r="L42" s="7" t="str">
        <f t="shared" si="7"/>
        <v>No</v>
      </c>
      <c r="M42" s="7" t="s">
        <v>33</v>
      </c>
      <c r="N42" s="7" t="s">
        <v>33</v>
      </c>
      <c r="O42" s="7" t="s">
        <v>33</v>
      </c>
      <c r="P42" s="10" t="s">
        <v>244</v>
      </c>
      <c r="Q42" s="6"/>
      <c r="R42" s="7" t="s">
        <v>33</v>
      </c>
      <c r="S42" s="7" t="s">
        <v>33</v>
      </c>
      <c r="T42" s="10" t="s">
        <v>245</v>
      </c>
      <c r="U42" s="6"/>
      <c r="V42" s="7" t="s">
        <v>33</v>
      </c>
      <c r="W42" s="6" t="s">
        <v>246</v>
      </c>
      <c r="X42" s="7" t="s">
        <v>33</v>
      </c>
      <c r="Y42" s="6" t="s">
        <v>247</v>
      </c>
      <c r="Z42" s="7" t="s">
        <v>33</v>
      </c>
      <c r="AA42" s="6" t="s">
        <v>248</v>
      </c>
      <c r="AB42" s="6" t="s">
        <v>249</v>
      </c>
      <c r="AC42" s="6" t="s">
        <v>181</v>
      </c>
    </row>
    <row r="43" ht="22.5" customHeight="1">
      <c r="A43" s="11" t="str">
        <f>REGEXEXTRACT(D43, "\d{4}\.\s(.*?)\.\sProc\. ACM")"),"MetaTrack: Enabling Wi-Fi Device Free Tracking in Complex Scenarios</f>
        <v xml:space="preserve">MetaTrack: Enabling Wi-Fi Device Free Tracking in Complex Scenarios</v>
      </c>
      <c r="B43" s="7">
        <f t="shared" si="5"/>
        <v>200</v>
      </c>
      <c r="C43" s="8" t="s">
        <v>250</v>
      </c>
      <c r="D43" s="6" t="s">
        <v>251</v>
      </c>
      <c r="E43" s="9">
        <v>46029</v>
      </c>
      <c r="F43" s="7">
        <v>2025</v>
      </c>
      <c r="G43" s="7" t="s">
        <v>31</v>
      </c>
      <c r="H43" s="6" t="str">
        <f t="shared" si="1"/>
        <v>2025_Dec_200</v>
      </c>
      <c r="I43" s="12" t="str">
        <f t="shared" si="2"/>
        <v>https://doi.org/10.1145/3770686</v>
      </c>
      <c r="J43" s="7">
        <f>IF(D43:D86&lt;&gt;"", VALUE(REGEXEXTRACT(D43:D86, "(\d+)\s+pages")), )
</f>
        <v>26</v>
      </c>
      <c r="K43" s="6" t="s">
        <v>64</v>
      </c>
      <c r="L43" s="7" t="str">
        <f t="shared" si="7"/>
        <v>No</v>
      </c>
      <c r="M43" s="7" t="s">
        <v>34</v>
      </c>
      <c r="N43" s="7" t="s">
        <v>33</v>
      </c>
      <c r="O43" s="7" t="s">
        <v>34</v>
      </c>
      <c r="P43" s="6"/>
      <c r="Q43" s="6"/>
      <c r="R43" s="7" t="s">
        <v>34</v>
      </c>
      <c r="S43" s="7" t="s">
        <v>35</v>
      </c>
      <c r="T43" s="6" t="s">
        <v>252</v>
      </c>
      <c r="U43" s="6"/>
      <c r="V43" s="7" t="s">
        <v>33</v>
      </c>
      <c r="W43" s="6" t="s">
        <v>253</v>
      </c>
      <c r="X43" s="7" t="s">
        <v>33</v>
      </c>
      <c r="Y43" s="6" t="s">
        <v>254</v>
      </c>
      <c r="Z43" s="7" t="s">
        <v>34</v>
      </c>
      <c r="AA43" s="6"/>
      <c r="AB43" s="6" t="s">
        <v>255</v>
      </c>
      <c r="AC43" s="6" t="s">
        <v>181</v>
      </c>
    </row>
    <row r="44" ht="22.5" customHeight="1">
      <c r="A44" s="11" t="str">
        <f>REGEXEXTRACT(D44, "\d{4}\.\s(.*?)\.\sProc\. ACM")"),"MobiLyzer: Fine-grained Mobile Liquid Analyzer</f>
        <v xml:space="preserve">MobiLyzer: Fine-grained Mobile Liquid Analyzer</v>
      </c>
      <c r="B44" s="7">
        <f t="shared" si="5"/>
        <v>201</v>
      </c>
      <c r="C44" s="8" t="s">
        <v>256</v>
      </c>
      <c r="D44" s="6" t="s">
        <v>257</v>
      </c>
      <c r="E44" s="9">
        <v>46029</v>
      </c>
      <c r="F44" s="7">
        <v>2025</v>
      </c>
      <c r="G44" s="7" t="s">
        <v>31</v>
      </c>
      <c r="H44" s="6" t="str">
        <f t="shared" si="1"/>
        <v>2025_Dec_201</v>
      </c>
      <c r="I44" s="12" t="str">
        <f t="shared" si="2"/>
        <v>https://doi.org/10.1145/3770678</v>
      </c>
      <c r="J44" s="7">
        <f>IF(D44:D86&lt;&gt;"", VALUE(REGEXEXTRACT(D44:D86, "(\d+)\s+pages")), )
</f>
        <v>37</v>
      </c>
      <c r="K44" s="6" t="s">
        <v>64</v>
      </c>
      <c r="L44" s="7" t="str">
        <f t="shared" si="7"/>
        <v>No</v>
      </c>
      <c r="M44" s="7" t="s">
        <v>33</v>
      </c>
      <c r="N44" s="7" t="s">
        <v>33</v>
      </c>
      <c r="O44" s="7" t="s">
        <v>33</v>
      </c>
      <c r="P44" s="10" t="s">
        <v>258</v>
      </c>
      <c r="Q44" s="6"/>
      <c r="R44" s="7" t="s">
        <v>33</v>
      </c>
      <c r="S44" s="7" t="s">
        <v>33</v>
      </c>
      <c r="T44" s="10" t="s">
        <v>258</v>
      </c>
      <c r="U44" s="6"/>
      <c r="V44" s="7" t="s">
        <v>33</v>
      </c>
      <c r="W44" s="6" t="s">
        <v>259</v>
      </c>
      <c r="X44" s="7" t="s">
        <v>33</v>
      </c>
      <c r="Y44" s="6" t="s">
        <v>260</v>
      </c>
      <c r="Z44" s="7" t="s">
        <v>33</v>
      </c>
      <c r="AA44" s="6" t="s">
        <v>261</v>
      </c>
      <c r="AB44" s="6" t="s">
        <v>262</v>
      </c>
      <c r="AC44" s="6" t="s">
        <v>181</v>
      </c>
    </row>
    <row r="45" ht="22.5" customHeight="1">
      <c r="A45" s="11" t="str">
        <f>REGEXEXTRACT(D45, "\d{4}\.\s(.*?)\.\sProc\. ACM")"),"CareInsights: AI-enabled Infrastructure for Person-centered Dementia Care in Resource-constrained Facilities</f>
        <v xml:space="preserve">CareInsights: AI-enabled Infrastructure for Person-centered Dementia Care in Resource-constrained Facilities</v>
      </c>
      <c r="B45" s="7">
        <f t="shared" si="5"/>
        <v>202</v>
      </c>
      <c r="C45" s="8" t="s">
        <v>263</v>
      </c>
      <c r="D45" s="6" t="s">
        <v>264</v>
      </c>
      <c r="E45" s="9">
        <v>46029</v>
      </c>
      <c r="F45" s="7">
        <v>2025</v>
      </c>
      <c r="G45" s="7" t="s">
        <v>31</v>
      </c>
      <c r="H45" s="6" t="str">
        <f t="shared" si="1"/>
        <v>2025_Dec_202</v>
      </c>
      <c r="I45" s="12" t="str">
        <f t="shared" si="2"/>
        <v>https://doi.org/10.1145/3770687</v>
      </c>
      <c r="J45" s="7">
        <f>IF(D45:D86&lt;&gt;"", VALUE(REGEXEXTRACT(D45:D86, "(\d+)\s+pages")), )
</f>
        <v>42</v>
      </c>
      <c r="K45" s="6" t="s">
        <v>64</v>
      </c>
      <c r="L45" s="7" t="str">
        <f t="shared" si="7"/>
        <v>No</v>
      </c>
      <c r="M45" s="7" t="s">
        <v>33</v>
      </c>
      <c r="N45" s="7" t="s">
        <v>33</v>
      </c>
      <c r="O45" s="7" t="s">
        <v>34</v>
      </c>
      <c r="P45" s="6"/>
      <c r="Q45" s="6"/>
      <c r="R45" s="7" t="s">
        <v>33</v>
      </c>
      <c r="S45" s="7" t="s">
        <v>34</v>
      </c>
      <c r="T45" s="6"/>
      <c r="U45" s="6"/>
      <c r="V45" s="7" t="s">
        <v>33</v>
      </c>
      <c r="W45" s="6" t="s">
        <v>265</v>
      </c>
      <c r="X45" s="7" t="s">
        <v>33</v>
      </c>
      <c r="Y45" s="6" t="s">
        <v>266</v>
      </c>
      <c r="Z45" s="7" t="s">
        <v>34</v>
      </c>
      <c r="AA45" s="6"/>
      <c r="AB45" s="6" t="s">
        <v>267</v>
      </c>
      <c r="AC45" s="6" t="s">
        <v>181</v>
      </c>
    </row>
    <row r="46" ht="22.5" customHeight="1">
      <c r="A46" s="11" t="str">
        <f>REGEXEXTRACT(D46, "\d{4}\.\s(.*?)\.\sProc\. ACM")"),"OrganicHAR: Towards Activity Discovery in Organic Settings for Privacy Preserving Sensors Using Efficient Video Analysis</f>
        <v xml:space="preserve">OrganicHAR: Towards Activity Discovery in Organic Settings for Privacy Preserving Sensors Using Efficient Video Analysis</v>
      </c>
      <c r="B46" s="7">
        <f t="shared" si="5"/>
        <v>203</v>
      </c>
      <c r="C46" s="8" t="s">
        <v>268</v>
      </c>
      <c r="D46" s="6" t="s">
        <v>269</v>
      </c>
      <c r="E46" s="9">
        <v>46030</v>
      </c>
      <c r="F46" s="7">
        <v>2025</v>
      </c>
      <c r="G46" s="7" t="s">
        <v>31</v>
      </c>
      <c r="H46" s="6" t="str">
        <f t="shared" si="1"/>
        <v>2025_Dec_203</v>
      </c>
      <c r="I46" s="12" t="str">
        <f t="shared" si="2"/>
        <v>https://doi.org/10.1145/3770674</v>
      </c>
      <c r="J46" s="7">
        <f>IF(D46:D86&lt;&gt;"", VALUE(REGEXEXTRACT(D46:D86, "(\d+)\s+pages")), )
</f>
        <v>32</v>
      </c>
      <c r="K46" s="6" t="s">
        <v>270</v>
      </c>
      <c r="L46" s="7" t="str">
        <f t="shared" si="7"/>
        <v>No</v>
      </c>
      <c r="M46" s="7" t="s">
        <v>33</v>
      </c>
      <c r="N46" s="7" t="s">
        <v>33</v>
      </c>
      <c r="O46" s="7" t="s">
        <v>33</v>
      </c>
      <c r="P46" s="10" t="s">
        <v>271</v>
      </c>
      <c r="Q46" s="6"/>
      <c r="R46" s="7" t="s">
        <v>33</v>
      </c>
      <c r="S46" s="7" t="s">
        <v>34</v>
      </c>
      <c r="T46" s="10" t="s">
        <v>271</v>
      </c>
      <c r="U46" s="6" t="s">
        <v>272</v>
      </c>
      <c r="V46" s="7" t="s">
        <v>33</v>
      </c>
      <c r="W46" s="6" t="s">
        <v>273</v>
      </c>
      <c r="X46" s="7" t="s">
        <v>33</v>
      </c>
      <c r="Y46" s="6" t="s">
        <v>274</v>
      </c>
      <c r="Z46" s="7" t="s">
        <v>33</v>
      </c>
      <c r="AA46" s="6" t="s">
        <v>275</v>
      </c>
      <c r="AB46" s="6" t="s">
        <v>276</v>
      </c>
      <c r="AC46" s="6" t="s">
        <v>181</v>
      </c>
    </row>
    <row r="47" ht="22.5" customHeight="1">
      <c r="A47" s="11" t="str">
        <f>REGEXEXTRACT(D47, "\d{4}\.\s(.*?)\.\sProc\. ACM")"),"The Physical Activity Assessment Using Wearable Sensors (PAAWS) Dataset: Labeled Laboratory and Free-Living Accelerometer Data</f>
        <v xml:space="preserve">The Physical Activity Assessment Using Wearable Sensors (PAAWS) Dataset: Labeled Laboratory and Free-Living Accelerometer Data</v>
      </c>
      <c r="B47" s="7">
        <f t="shared" si="5"/>
        <v>204</v>
      </c>
      <c r="C47" s="8" t="s">
        <v>277</v>
      </c>
      <c r="D47" s="6" t="s">
        <v>278</v>
      </c>
      <c r="E47" s="9">
        <v>46030</v>
      </c>
      <c r="F47" s="7">
        <v>2025</v>
      </c>
      <c r="G47" s="7" t="s">
        <v>31</v>
      </c>
      <c r="H47" s="6" t="str">
        <f t="shared" si="1"/>
        <v>2025_Dec_204</v>
      </c>
      <c r="I47" s="12" t="str">
        <f t="shared" si="2"/>
        <v>https://doi.org/10.1145/3770639</v>
      </c>
      <c r="J47" s="7">
        <f>IF(D47:D86&lt;&gt;"", VALUE(REGEXEXTRACT(D47:D86, "(\d+)\s+pages")), )
</f>
        <v>32</v>
      </c>
      <c r="K47" s="6" t="s">
        <v>99</v>
      </c>
      <c r="L47" s="7" t="str">
        <f>IF(REGEXMATCH(LOWER($A47),"(^|[^a-z])dataset(s)?([^a-z]|$)"),"Yes","No")"),"Yes</f>
        <v>Yes</v>
      </c>
      <c r="M47" s="7" t="s">
        <v>33</v>
      </c>
      <c r="N47" s="7" t="s">
        <v>33</v>
      </c>
      <c r="O47" s="7" t="s">
        <v>33</v>
      </c>
      <c r="P47" s="10" t="s">
        <v>279</v>
      </c>
      <c r="Q47" s="6"/>
      <c r="R47" s="7" t="s">
        <v>33</v>
      </c>
      <c r="S47" s="7" t="s">
        <v>33</v>
      </c>
      <c r="T47" s="10" t="s">
        <v>280</v>
      </c>
      <c r="U47" s="6"/>
      <c r="V47" s="7" t="s">
        <v>34</v>
      </c>
      <c r="W47" s="6"/>
      <c r="X47" s="7" t="s">
        <v>33</v>
      </c>
      <c r="Y47" s="6" t="s">
        <v>281</v>
      </c>
      <c r="Z47" s="7" t="s">
        <v>33</v>
      </c>
      <c r="AA47" s="6" t="s">
        <v>282</v>
      </c>
      <c r="AB47" s="6" t="s">
        <v>283</v>
      </c>
      <c r="AC47" s="6" t="s">
        <v>181</v>
      </c>
    </row>
    <row r="48" ht="22.5" customHeight="1">
      <c r="A48" s="11" t="str">
        <f>REGEXEXTRACT(D48, "\d{4}\.\s(.*?)\.\sProc\. ACM")"),"Forecasting Occupational Survivability of Rickshaw Pullers in a Changing Climate with Wearable Data</f>
        <v xml:space="preserve">Forecasting Occupational Survivability of Rickshaw Pullers in a Changing Climate with Wearable Data</v>
      </c>
      <c r="B48" s="7">
        <f t="shared" si="5"/>
        <v>205</v>
      </c>
      <c r="C48" s="8" t="s">
        <v>284</v>
      </c>
      <c r="D48" s="6" t="s">
        <v>285</v>
      </c>
      <c r="E48" s="9">
        <v>46030</v>
      </c>
      <c r="F48" s="7">
        <v>2025</v>
      </c>
      <c r="G48" s="7" t="s">
        <v>31</v>
      </c>
      <c r="H48" s="6" t="str">
        <f t="shared" si="1"/>
        <v>2025_Dec_205</v>
      </c>
      <c r="I48" s="12" t="str">
        <f t="shared" si="2"/>
        <v>https://doi.org/10.1145/3770712</v>
      </c>
      <c r="J48" s="7">
        <f>IF(D48:D86&lt;&gt;"", VALUE(REGEXEXTRACT(D48:D86, "(\d+)\s+pages")), )
</f>
        <v>25</v>
      </c>
      <c r="K48" s="6" t="s">
        <v>286</v>
      </c>
      <c r="L48" s="7" t="str">
        <f>IF(REGEXMATCH(LOWER($A48),"(^|[^a-z])dataset(s)?([^a-z]|$)"),"Yes","No")"),"No</f>
        <v>No</v>
      </c>
      <c r="M48" s="7" t="s">
        <v>33</v>
      </c>
      <c r="N48" s="7" t="s">
        <v>33</v>
      </c>
      <c r="O48" s="7" t="s">
        <v>34</v>
      </c>
      <c r="P48" s="6"/>
      <c r="Q48" s="6"/>
      <c r="R48" s="7" t="s">
        <v>33</v>
      </c>
      <c r="S48" s="7" t="s">
        <v>34</v>
      </c>
      <c r="T48" s="6"/>
      <c r="U48" s="6"/>
      <c r="V48" s="7" t="s">
        <v>33</v>
      </c>
      <c r="W48" s="6" t="s">
        <v>287</v>
      </c>
      <c r="X48" s="7" t="s">
        <v>33</v>
      </c>
      <c r="Y48" s="6" t="s">
        <v>288</v>
      </c>
      <c r="Z48" s="7" t="s">
        <v>34</v>
      </c>
      <c r="AA48" s="6"/>
      <c r="AB48" s="6" t="s">
        <v>289</v>
      </c>
      <c r="AC48" s="6" t="s">
        <v>181</v>
      </c>
    </row>
    <row r="49" ht="22.5" customHeight="1">
      <c r="A49" s="11" t="str">
        <f>REGEXEXTRACT(D49, "\d{4}\.\s(.*?)\.\sProc\. ACM")"),"MAD: A Multimodal Physiological and Self-Reported Dataset for Anxiety Research from a Low-to-Middle-Income Country</f>
        <v xml:space="preserve">MAD: A Multimodal Physiological and Self-Reported Dataset for Anxiety Research from a Low-to-Middle-Income Country</v>
      </c>
      <c r="B49" s="7">
        <f t="shared" si="5"/>
        <v>206</v>
      </c>
      <c r="C49" s="8" t="s">
        <v>290</v>
      </c>
      <c r="D49" s="6" t="s">
        <v>291</v>
      </c>
      <c r="E49" s="9">
        <v>46030</v>
      </c>
      <c r="F49" s="7">
        <v>2025</v>
      </c>
      <c r="G49" s="7" t="s">
        <v>31</v>
      </c>
      <c r="H49" s="6" t="str">
        <f t="shared" si="1"/>
        <v>2025_Dec_206</v>
      </c>
      <c r="I49" s="12" t="str">
        <f t="shared" si="2"/>
        <v>https://doi.org/10.1145/3770632</v>
      </c>
      <c r="J49" s="7">
        <f>IF(D49:D86&lt;&gt;"", VALUE(REGEXEXTRACT(D49:D86, "(\d+)\s+pages")), )
</f>
        <v>34</v>
      </c>
      <c r="K49" s="6" t="s">
        <v>53</v>
      </c>
      <c r="L49" s="7" t="str">
        <f>IF(REGEXMATCH(LOWER($A49),"(^|[^a-z])dataset(s)?([^a-z]|$)"),"Yes","No")"),"Yes</f>
        <v>Yes</v>
      </c>
      <c r="M49" s="7" t="s">
        <v>33</v>
      </c>
      <c r="N49" s="7" t="s">
        <v>33</v>
      </c>
      <c r="O49" s="7" t="s">
        <v>33</v>
      </c>
      <c r="P49" s="10" t="s">
        <v>292</v>
      </c>
      <c r="Q49" s="6"/>
      <c r="R49" s="7" t="s">
        <v>33</v>
      </c>
      <c r="S49" s="7" t="s">
        <v>33</v>
      </c>
      <c r="T49" s="10" t="s">
        <v>292</v>
      </c>
      <c r="U49" s="6"/>
      <c r="V49" s="7" t="s">
        <v>34</v>
      </c>
      <c r="W49" s="6"/>
      <c r="X49" s="7" t="s">
        <v>33</v>
      </c>
      <c r="Y49" s="6" t="s">
        <v>293</v>
      </c>
      <c r="Z49" s="7" t="s">
        <v>33</v>
      </c>
      <c r="AA49" s="6" t="s">
        <v>294</v>
      </c>
      <c r="AB49" s="6" t="s">
        <v>295</v>
      </c>
      <c r="AC49" s="6" t="s">
        <v>181</v>
      </c>
    </row>
    <row r="50" ht="22.5" customHeight="1">
      <c r="A50" s="11" t="str">
        <f>REGEXEXTRACT(D50, "\d{4}\.\s(.*?)\.\sProc\. ACM")"),"THOR: Thermal-Guided Hand-Object Reasoning via Adaptive Vision Sampling</f>
        <v xml:space="preserve">THOR: Thermal-Guided Hand-Object Reasoning via Adaptive Vision Sampling</v>
      </c>
      <c r="B50" s="7">
        <f t="shared" si="5"/>
        <v>207</v>
      </c>
      <c r="C50" s="8" t="s">
        <v>296</v>
      </c>
      <c r="D50" s="6" t="s">
        <v>297</v>
      </c>
      <c r="E50" s="9">
        <v>46031</v>
      </c>
      <c r="F50" s="7">
        <v>2025</v>
      </c>
      <c r="G50" s="7" t="s">
        <v>31</v>
      </c>
      <c r="H50" s="6" t="str">
        <f t="shared" si="1"/>
        <v>2025_Dec_207</v>
      </c>
      <c r="I50" s="12" t="str">
        <f t="shared" si="2"/>
        <v>https://doi.org/10.1145/3770695</v>
      </c>
      <c r="J50" s="7">
        <f>IF(D50:D86&lt;&gt;"", VALUE(REGEXEXTRACT(D50:D86, "(\d+)\s+pages")), )
</f>
        <v>25</v>
      </c>
      <c r="K50" s="6" t="s">
        <v>32</v>
      </c>
      <c r="L50" s="7" t="str">
        <f t="shared" ref="L50:L86" si="8">IF(REGEXMATCH(LOWER($A50),"(^|[^a-z])dataset(s)?([^a-z]|$)"),"Yes","No")"),"No</f>
        <v>No</v>
      </c>
      <c r="M50" s="7" t="s">
        <v>33</v>
      </c>
      <c r="N50" s="7" t="s">
        <v>34</v>
      </c>
      <c r="O50" s="7" t="s">
        <v>35</v>
      </c>
      <c r="P50" s="6"/>
      <c r="Q50" s="6"/>
      <c r="R50" s="7" t="s">
        <v>33</v>
      </c>
      <c r="S50" s="7" t="s">
        <v>34</v>
      </c>
      <c r="T50" s="6"/>
      <c r="U50" s="6" t="s">
        <v>298</v>
      </c>
      <c r="V50" s="7" t="s">
        <v>33</v>
      </c>
      <c r="W50" s="6" t="s">
        <v>299</v>
      </c>
      <c r="X50" s="7" t="s">
        <v>34</v>
      </c>
      <c r="Y50" s="6" t="s">
        <v>300</v>
      </c>
      <c r="Z50" s="7" t="s">
        <v>34</v>
      </c>
      <c r="AA50" s="6"/>
      <c r="AB50" s="6" t="s">
        <v>301</v>
      </c>
      <c r="AC50" s="6" t="s">
        <v>181</v>
      </c>
    </row>
    <row r="51" ht="22.5" customHeight="1">
      <c r="A51" s="11" t="str">
        <f>REGEXEXTRACT(D51, "\d{4}\.\s(.*?)\.\sProc\. ACM")"),"From Coarse to Fine: Fast and Effortless Facial Landmark Detection via mmWave Signals</f>
        <v xml:space="preserve">From Coarse to Fine: Fast and Effortless Facial Landmark Detection via mmWave Signals</v>
      </c>
      <c r="B51" s="7">
        <f t="shared" si="5"/>
        <v>208</v>
      </c>
      <c r="C51" s="8" t="s">
        <v>302</v>
      </c>
      <c r="D51" s="6" t="s">
        <v>303</v>
      </c>
      <c r="E51" s="9">
        <v>46031</v>
      </c>
      <c r="F51" s="7">
        <v>2025</v>
      </c>
      <c r="G51" s="7" t="s">
        <v>31</v>
      </c>
      <c r="H51" s="6" t="str">
        <f t="shared" si="1"/>
        <v>2025_Dec_208</v>
      </c>
      <c r="I51" s="12" t="str">
        <f t="shared" si="2"/>
        <v>https://doi.org/10.1145/3770656</v>
      </c>
      <c r="J51" s="7">
        <f>IF(D51:D86&lt;&gt;"", VALUE(REGEXEXTRACT(D51:D86, "(\d+)\s+pages")), )
</f>
        <v>25</v>
      </c>
      <c r="K51" s="6" t="s">
        <v>133</v>
      </c>
      <c r="L51" s="7" t="str">
        <f t="shared" si="8"/>
        <v>No</v>
      </c>
      <c r="M51" s="7" t="s">
        <v>34</v>
      </c>
      <c r="N51" s="7" t="s">
        <v>33</v>
      </c>
      <c r="O51" s="7" t="s">
        <v>34</v>
      </c>
      <c r="P51" s="6"/>
      <c r="Q51" s="6"/>
      <c r="R51" s="7" t="s">
        <v>33</v>
      </c>
      <c r="S51" s="7" t="s">
        <v>34</v>
      </c>
      <c r="T51" s="6"/>
      <c r="U51" s="6"/>
      <c r="V51" s="7" t="s">
        <v>33</v>
      </c>
      <c r="W51" s="6" t="s">
        <v>304</v>
      </c>
      <c r="X51" s="7" t="s">
        <v>33</v>
      </c>
      <c r="Y51" s="6" t="s">
        <v>305</v>
      </c>
      <c r="Z51" s="7" t="s">
        <v>34</v>
      </c>
      <c r="AA51" s="6"/>
      <c r="AB51" s="6" t="s">
        <v>306</v>
      </c>
      <c r="AC51" s="6" t="s">
        <v>181</v>
      </c>
    </row>
    <row r="52" ht="22.5" customHeight="1">
      <c r="A52" s="11" t="str">
        <f>REGEXEXTRACT(D52, "\d{4}\.\s(.*?)\.\sProc\. ACM")"),"Enhancing Smartphone-based Inertial Indoor Tracking with Conversational User Input</f>
        <v xml:space="preserve">Enhancing Smartphone-based Inertial Indoor Tracking with Conversational User Input</v>
      </c>
      <c r="B52" s="7">
        <f t="shared" si="5"/>
        <v>209</v>
      </c>
      <c r="C52" s="8" t="s">
        <v>307</v>
      </c>
      <c r="D52" s="6" t="s">
        <v>308</v>
      </c>
      <c r="E52" s="9">
        <v>46031</v>
      </c>
      <c r="F52" s="7">
        <v>2025</v>
      </c>
      <c r="G52" s="7" t="s">
        <v>31</v>
      </c>
      <c r="H52" s="6" t="str">
        <f t="shared" si="1"/>
        <v>2025_Dec_209</v>
      </c>
      <c r="I52" s="12" t="str">
        <f t="shared" si="2"/>
        <v>https://doi.org/10.1145/3770643</v>
      </c>
      <c r="J52" s="7">
        <f>IF(D52:D86&lt;&gt;"", VALUE(REGEXEXTRACT(D52:D86, "(\d+)\s+pages")), )
</f>
        <v>37</v>
      </c>
      <c r="K52" s="6" t="s">
        <v>133</v>
      </c>
      <c r="L52" s="7" t="str">
        <f t="shared" si="8"/>
        <v>No</v>
      </c>
      <c r="M52" s="7" t="s">
        <v>33</v>
      </c>
      <c r="N52" s="7" t="s">
        <v>33</v>
      </c>
      <c r="O52" s="7" t="s">
        <v>34</v>
      </c>
      <c r="P52" s="6"/>
      <c r="Q52" s="6"/>
      <c r="R52" s="7" t="s">
        <v>34</v>
      </c>
      <c r="S52" s="7" t="s">
        <v>35</v>
      </c>
      <c r="T52" s="6"/>
      <c r="U52" s="6"/>
      <c r="V52" s="7" t="s">
        <v>33</v>
      </c>
      <c r="W52" s="6" t="s">
        <v>309</v>
      </c>
      <c r="X52" s="7" t="s">
        <v>33</v>
      </c>
      <c r="Y52" s="6" t="s">
        <v>310</v>
      </c>
      <c r="Z52" s="7" t="s">
        <v>34</v>
      </c>
      <c r="AA52" s="6"/>
      <c r="AB52" s="6" t="s">
        <v>311</v>
      </c>
      <c r="AC52" s="6" t="s">
        <v>181</v>
      </c>
    </row>
    <row r="53" ht="22.5" customHeight="1">
      <c r="A53" s="11" t="str">
        <f>REGEXEXTRACT(D53, "\d{4}\.\s(.*?)\.\sProc\. ACM")"),"Beyond the Feature Level: A Cluster Analysis of Feature-Level Social Media Behaviour Patterns, Maladaptive Use, and Psychological Well-Being</f>
        <v xml:space="preserve">Beyond the Feature Level: A Cluster Analysis of Feature-Level Social Media Behaviour Patterns, Maladaptive Use, and Psychological Well-Being</v>
      </c>
      <c r="B53" s="7">
        <f t="shared" si="5"/>
        <v>210</v>
      </c>
      <c r="C53" s="8" t="s">
        <v>312</v>
      </c>
      <c r="D53" s="6" t="s">
        <v>313</v>
      </c>
      <c r="E53" s="9">
        <v>46031</v>
      </c>
      <c r="F53" s="7">
        <v>2025</v>
      </c>
      <c r="G53" s="7" t="s">
        <v>31</v>
      </c>
      <c r="H53" s="6" t="str">
        <f t="shared" si="1"/>
        <v>2025_Dec_210</v>
      </c>
      <c r="I53" s="12" t="str">
        <f t="shared" si="2"/>
        <v>https://doi.org/10.1145/3770713</v>
      </c>
      <c r="J53" s="7">
        <f>IF(D53:D86&lt;&gt;"", VALUE(REGEXEXTRACT(D53:D86, "(\d+)\s+pages")), )
</f>
        <v>42</v>
      </c>
      <c r="K53" s="6" t="s">
        <v>42</v>
      </c>
      <c r="L53" s="7" t="str">
        <f t="shared" si="8"/>
        <v>No</v>
      </c>
      <c r="M53" s="7" t="s">
        <v>34</v>
      </c>
      <c r="N53" s="7" t="s">
        <v>34</v>
      </c>
      <c r="O53" s="7" t="s">
        <v>35</v>
      </c>
      <c r="P53" s="6"/>
      <c r="Q53" s="6"/>
      <c r="R53" s="7" t="s">
        <v>34</v>
      </c>
      <c r="S53" s="7" t="s">
        <v>35</v>
      </c>
      <c r="T53" s="6"/>
      <c r="U53" s="6"/>
      <c r="V53" s="7" t="s">
        <v>35</v>
      </c>
      <c r="W53" s="6"/>
      <c r="X53" s="7" t="s">
        <v>35</v>
      </c>
      <c r="Y53" s="13"/>
      <c r="Z53" s="7" t="s">
        <v>35</v>
      </c>
      <c r="AA53" s="6"/>
      <c r="AB53" s="6" t="s">
        <v>314</v>
      </c>
      <c r="AC53" s="6" t="s">
        <v>181</v>
      </c>
    </row>
    <row r="54" ht="22.5" customHeight="1">
      <c r="A54" s="11" t="str">
        <f>REGEXEXTRACT(D54, "\d{4}\.\s(.*?)\.\sProc\. ACM")"),"IMUZero: Zero-Shot Human Activity Recognition by Language-Based Cross Modality Fusion</f>
        <v xml:space="preserve">IMUZero: Zero-Shot Human Activity Recognition by Language-Based Cross Modality Fusion</v>
      </c>
      <c r="B54" s="7">
        <f t="shared" si="5"/>
        <v>211</v>
      </c>
      <c r="C54" s="8" t="s">
        <v>315</v>
      </c>
      <c r="D54" s="6" t="s">
        <v>316</v>
      </c>
      <c r="E54" s="9">
        <v>46031</v>
      </c>
      <c r="F54" s="7">
        <v>2025</v>
      </c>
      <c r="G54" s="7" t="s">
        <v>31</v>
      </c>
      <c r="H54" s="6" t="str">
        <f t="shared" si="1"/>
        <v>2025_Dec_211</v>
      </c>
      <c r="I54" s="12" t="str">
        <f t="shared" si="2"/>
        <v>https://doi.org/10.1145/3770669</v>
      </c>
      <c r="J54" s="7">
        <f>IF(D54:D86&lt;&gt;"", VALUE(REGEXEXTRACT(D54:D86, "(\d+)\s+pages")), )
</f>
        <v>28</v>
      </c>
      <c r="K54" s="6" t="s">
        <v>64</v>
      </c>
      <c r="L54" s="7" t="str">
        <f t="shared" si="8"/>
        <v>No</v>
      </c>
      <c r="M54" s="7" t="s">
        <v>34</v>
      </c>
      <c r="N54" s="7" t="s">
        <v>33</v>
      </c>
      <c r="O54" s="7" t="s">
        <v>33</v>
      </c>
      <c r="P54" s="10" t="s">
        <v>317</v>
      </c>
      <c r="Q54" s="6"/>
      <c r="R54" s="7" t="s">
        <v>33</v>
      </c>
      <c r="S54" s="7" t="s">
        <v>33</v>
      </c>
      <c r="T54" s="6"/>
      <c r="U54" s="6" t="s">
        <v>318</v>
      </c>
      <c r="V54" s="7" t="s">
        <v>33</v>
      </c>
      <c r="W54" s="6" t="s">
        <v>319</v>
      </c>
      <c r="X54" s="7" t="s">
        <v>33</v>
      </c>
      <c r="Y54" s="6" t="s">
        <v>320</v>
      </c>
      <c r="Z54" s="7" t="s">
        <v>34</v>
      </c>
      <c r="AA54" s="6"/>
      <c r="AB54" s="6" t="s">
        <v>321</v>
      </c>
      <c r="AC54" s="6" t="s">
        <v>181</v>
      </c>
    </row>
    <row r="55" ht="22.5" customHeight="1">
      <c r="A55" s="11" t="str">
        <f>REGEXEXTRACT(D55, "\d{4}\.\s(.*?)\.\sProc\. ACM")"),"WiMap: Autonomous Wi-Fi Mapping for Device-free Tracking in Smart Homes</f>
        <v xml:space="preserve">WiMap: Autonomous Wi-Fi Mapping for Device-free Tracking in Smart Homes</v>
      </c>
      <c r="B55" s="7">
        <f t="shared" si="5"/>
        <v>212</v>
      </c>
      <c r="C55" s="8" t="s">
        <v>322</v>
      </c>
      <c r="D55" s="6" t="s">
        <v>323</v>
      </c>
      <c r="E55" s="9">
        <v>46032</v>
      </c>
      <c r="F55" s="7">
        <v>2025</v>
      </c>
      <c r="G55" s="7" t="s">
        <v>31</v>
      </c>
      <c r="H55" s="6" t="str">
        <f t="shared" si="1"/>
        <v>2025_Dec_212</v>
      </c>
      <c r="I55" s="12" t="str">
        <f t="shared" si="2"/>
        <v>https://doi.org/10.1145/3770700</v>
      </c>
      <c r="J55" s="7">
        <f>IF(D55:D86&lt;&gt;"", VALUE(REGEXEXTRACT(D55:D86, "(\d+)\s+pages")), )
</f>
        <v>23</v>
      </c>
      <c r="K55" s="6" t="s">
        <v>71</v>
      </c>
      <c r="L55" s="7" t="str">
        <f t="shared" si="8"/>
        <v>No</v>
      </c>
      <c r="M55" s="7" t="s">
        <v>34</v>
      </c>
      <c r="N55" s="7" t="s">
        <v>33</v>
      </c>
      <c r="O55" s="7" t="s">
        <v>34</v>
      </c>
      <c r="P55" s="6"/>
      <c r="Q55" s="6" t="s">
        <v>324</v>
      </c>
      <c r="R55" s="7" t="s">
        <v>33</v>
      </c>
      <c r="S55" s="7" t="s">
        <v>34</v>
      </c>
      <c r="T55" s="6"/>
      <c r="U55" s="6"/>
      <c r="V55" s="7" t="s">
        <v>33</v>
      </c>
      <c r="W55" s="6" t="s">
        <v>325</v>
      </c>
      <c r="X55" s="7" t="s">
        <v>33</v>
      </c>
      <c r="Y55" s="6" t="s">
        <v>326</v>
      </c>
      <c r="Z55" s="7" t="s">
        <v>34</v>
      </c>
      <c r="AA55" s="6"/>
      <c r="AB55" s="6" t="s">
        <v>327</v>
      </c>
      <c r="AC55" s="6" t="s">
        <v>181</v>
      </c>
    </row>
    <row r="56" ht="22.5" customHeight="1">
      <c r="A56" s="11" t="str">
        <f>REGEXEXTRACT(D56, "\d{4}\.\s(.*?)\.\sProc\. ACM")"),"Ads that Talk Back: Implications and Perceptions of Injecting Personalized Advertising into LLM Chatbots</f>
        <v xml:space="preserve">Ads that Talk Back: Implications and Perceptions of Injecting Personalized Advertising into LLM Chatbots</v>
      </c>
      <c r="B56" s="7">
        <f t="shared" si="5"/>
        <v>213</v>
      </c>
      <c r="C56" s="8" t="s">
        <v>328</v>
      </c>
      <c r="D56" s="10" t="s">
        <v>329</v>
      </c>
      <c r="E56" s="9">
        <v>46032</v>
      </c>
      <c r="F56" s="7">
        <v>2025</v>
      </c>
      <c r="G56" s="7" t="s">
        <v>31</v>
      </c>
      <c r="H56" s="6" t="str">
        <f t="shared" si="1"/>
        <v>2025_Dec_213</v>
      </c>
      <c r="I56" s="12" t="str">
        <f t="shared" si="2"/>
        <v>https://doi.org/10.1145/3770640</v>
      </c>
      <c r="J56" s="7">
        <f>IF(D56:D86&lt;&gt;"", VALUE(REGEXEXTRACT(D56:D86, "(\d+)\s+pages")), )
</f>
        <v>47</v>
      </c>
      <c r="K56" s="6" t="s">
        <v>71</v>
      </c>
      <c r="L56" s="7" t="str">
        <f t="shared" si="8"/>
        <v>No</v>
      </c>
      <c r="M56" s="7" t="s">
        <v>33</v>
      </c>
      <c r="N56" s="7" t="s">
        <v>33</v>
      </c>
      <c r="O56" s="7" t="s">
        <v>33</v>
      </c>
      <c r="P56" s="10" t="s">
        <v>330</v>
      </c>
      <c r="Q56" s="10" t="s">
        <v>331</v>
      </c>
      <c r="R56" s="7" t="s">
        <v>33</v>
      </c>
      <c r="S56" s="7" t="s">
        <v>33</v>
      </c>
      <c r="T56" s="10" t="s">
        <v>330</v>
      </c>
      <c r="U56" s="6"/>
      <c r="V56" s="7" t="s">
        <v>34</v>
      </c>
      <c r="W56" s="6"/>
      <c r="X56" s="7" t="s">
        <v>33</v>
      </c>
      <c r="Y56" s="6" t="s">
        <v>332</v>
      </c>
      <c r="Z56" s="7" t="s">
        <v>33</v>
      </c>
      <c r="AA56" s="6" t="s">
        <v>333</v>
      </c>
      <c r="AB56" s="6" t="s">
        <v>334</v>
      </c>
      <c r="AC56" s="6" t="s">
        <v>181</v>
      </c>
    </row>
    <row r="57" ht="22.5" customHeight="1">
      <c r="A57" s="11" t="str">
        <f>REGEXEXTRACT(D57, "\d{4}\.\s(.*?)\.\sProc\. ACM")"),"Audio Augmentation of Manual Interactions to Support Mindfulness</f>
        <v xml:space="preserve">Audio Augmentation of Manual Interactions to Support Mindfulness</v>
      </c>
      <c r="B57" s="7">
        <f t="shared" si="5"/>
        <v>214</v>
      </c>
      <c r="C57" s="8" t="s">
        <v>335</v>
      </c>
      <c r="D57" s="21" t="s">
        <v>336</v>
      </c>
      <c r="E57" s="9">
        <v>46032</v>
      </c>
      <c r="F57" s="7">
        <v>2025</v>
      </c>
      <c r="G57" s="7" t="s">
        <v>31</v>
      </c>
      <c r="H57" s="6" t="str">
        <f t="shared" si="1"/>
        <v>2025_Dec_214</v>
      </c>
      <c r="I57" s="12" t="str">
        <f t="shared" si="2"/>
        <v>https://doi.org/10.1145/3770706</v>
      </c>
      <c r="J57" s="7">
        <f>IF(D57:D86&lt;&gt;"", VALUE(REGEXEXTRACT(D57:D86, "(\d+)\s+pages")), )
</f>
        <v>27</v>
      </c>
      <c r="K57" s="6" t="s">
        <v>164</v>
      </c>
      <c r="L57" s="7" t="str">
        <f t="shared" si="8"/>
        <v>No</v>
      </c>
      <c r="M57" s="7" t="s">
        <v>34</v>
      </c>
      <c r="N57" s="7" t="s">
        <v>34</v>
      </c>
      <c r="O57" s="7" t="s">
        <v>35</v>
      </c>
      <c r="P57" s="6"/>
      <c r="Q57" s="6"/>
      <c r="R57" s="7" t="s">
        <v>34</v>
      </c>
      <c r="S57" s="7" t="s">
        <v>35</v>
      </c>
      <c r="T57" s="6"/>
      <c r="U57" s="6"/>
      <c r="V57" s="7" t="s">
        <v>33</v>
      </c>
      <c r="W57" s="6" t="s">
        <v>337</v>
      </c>
      <c r="X57" s="7" t="s">
        <v>33</v>
      </c>
      <c r="Y57" s="6" t="s">
        <v>338</v>
      </c>
      <c r="Z57" s="7" t="s">
        <v>34</v>
      </c>
      <c r="AA57" s="6"/>
      <c r="AB57" s="6" t="s">
        <v>339</v>
      </c>
      <c r="AC57" s="6" t="s">
        <v>181</v>
      </c>
    </row>
    <row r="58" ht="22.5" customHeight="1">
      <c r="A58" s="14" t="str">
        <f>REGEXEXTRACT(D58, "\d{4}\.\s(.*?)\.\sProc\. ACM")"),"Evaluating the Potential of Data-Driven Surveys for Fitness-Tracking Research</f>
        <v xml:space="preserve">Evaluating the Potential of Data-Driven Surveys for Fitness-Tracking Research</v>
      </c>
      <c r="B58" s="15">
        <f t="shared" si="5"/>
        <v>215</v>
      </c>
      <c r="C58" s="16" t="s">
        <v>340</v>
      </c>
      <c r="D58" s="17" t="s">
        <v>341</v>
      </c>
      <c r="E58" s="18">
        <v>46032</v>
      </c>
      <c r="F58" s="15">
        <v>2025</v>
      </c>
      <c r="G58" s="15" t="s">
        <v>31</v>
      </c>
      <c r="H58" s="17" t="str">
        <f t="shared" si="1"/>
        <v>2025_Dec_215</v>
      </c>
      <c r="I58" s="19" t="str">
        <f t="shared" si="2"/>
        <v>https://doi.org/10.1145/3770665</v>
      </c>
      <c r="J58" s="15">
        <f>IF(D58:D86&lt;&gt;"", VALUE(REGEXEXTRACT(D58:D86, "(\d+)\s+pages")), )
</f>
        <v>40</v>
      </c>
      <c r="K58" s="17" t="s">
        <v>32</v>
      </c>
      <c r="L58" s="15" t="str">
        <f t="shared" si="8"/>
        <v>No</v>
      </c>
      <c r="M58" s="15" t="s">
        <v>33</v>
      </c>
      <c r="N58" s="15" t="s">
        <v>34</v>
      </c>
      <c r="O58" s="15" t="s">
        <v>35</v>
      </c>
      <c r="P58" s="17"/>
      <c r="Q58" s="17"/>
      <c r="R58" s="15" t="s">
        <v>33</v>
      </c>
      <c r="S58" s="15" t="s">
        <v>33</v>
      </c>
      <c r="T58" s="22" t="s">
        <v>342</v>
      </c>
      <c r="U58" s="17"/>
      <c r="V58" s="15" t="s">
        <v>33</v>
      </c>
      <c r="W58" s="17" t="s">
        <v>343</v>
      </c>
      <c r="X58" s="15" t="s">
        <v>33</v>
      </c>
      <c r="Y58" s="17" t="s">
        <v>344</v>
      </c>
      <c r="Z58" s="15" t="s">
        <v>34</v>
      </c>
      <c r="AA58" s="17"/>
      <c r="AB58" s="17" t="s">
        <v>345</v>
      </c>
      <c r="AC58" s="17" t="s">
        <v>181</v>
      </c>
    </row>
    <row r="59" ht="22.5" customHeight="1">
      <c r="A59" s="11" t="str">
        <f>REGEXEXTRACT(D59, "\d{4}\.\s(.*?)\.\sProc\. ACM")"),"Z-Band: On-world Interactions Using Wrist-based Electrical Impedance Sensing</f>
        <v xml:space="preserve">Z-Band: On-world Interactions Using Wrist-based Electrical Impedance Sensing</v>
      </c>
      <c r="B59" s="7">
        <f t="shared" si="5"/>
        <v>216</v>
      </c>
      <c r="C59" s="8" t="s">
        <v>346</v>
      </c>
      <c r="D59" s="6" t="s">
        <v>347</v>
      </c>
      <c r="E59" s="9">
        <v>45994</v>
      </c>
      <c r="F59" s="7">
        <v>2025</v>
      </c>
      <c r="G59" s="7" t="s">
        <v>31</v>
      </c>
      <c r="H59" s="6" t="str">
        <f t="shared" si="1"/>
        <v>2025_Dec_216</v>
      </c>
      <c r="I59" s="12" t="str">
        <f t="shared" si="2"/>
        <v>https://doi.org/10.1145/3770637</v>
      </c>
      <c r="J59" s="7">
        <f>IF(D59:D86&lt;&gt;"", VALUE(REGEXEXTRACT(D59:D86, "(\d+)\s+pages")), )
</f>
        <v>45</v>
      </c>
      <c r="K59" s="6" t="s">
        <v>348</v>
      </c>
      <c r="L59" s="7" t="str">
        <f t="shared" si="8"/>
        <v>No</v>
      </c>
      <c r="M59" s="7" t="s">
        <v>33</v>
      </c>
      <c r="N59" s="7" t="s">
        <v>33</v>
      </c>
      <c r="O59" s="7" t="s">
        <v>34</v>
      </c>
      <c r="P59" s="6"/>
      <c r="Q59" s="6" t="s">
        <v>349</v>
      </c>
      <c r="R59" s="7" t="s">
        <v>33</v>
      </c>
      <c r="S59" s="7" t="s">
        <v>34</v>
      </c>
      <c r="T59" s="6"/>
      <c r="U59" s="6" t="s">
        <v>350</v>
      </c>
      <c r="V59" s="7" t="s">
        <v>33</v>
      </c>
      <c r="W59" s="6" t="s">
        <v>351</v>
      </c>
      <c r="X59" s="7" t="s">
        <v>33</v>
      </c>
      <c r="Y59" s="6" t="s">
        <v>352</v>
      </c>
      <c r="Z59" s="7" t="s">
        <v>34</v>
      </c>
      <c r="AA59" s="6" t="s">
        <v>353</v>
      </c>
      <c r="AB59" s="6" t="s">
        <v>354</v>
      </c>
      <c r="AC59" s="6" t="s">
        <v>355</v>
      </c>
    </row>
    <row r="60" ht="22.5" customHeight="1">
      <c r="A60" s="11" t="str">
        <f>REGEXEXTRACT(D60, "\d{4}\.\s(.*?)\.\sProc\. ACM")"),"FreeBFI: Enabling Fine-grained BFI Sensing with an Arbitrary Number of Antennas</f>
        <v xml:space="preserve">FreeBFI: Enabling Fine-grained BFI Sensing with an Arbitrary Number of Antennas</v>
      </c>
      <c r="B60" s="7">
        <f t="shared" si="5"/>
        <v>217</v>
      </c>
      <c r="C60" s="8" t="s">
        <v>356</v>
      </c>
      <c r="D60" s="6" t="s">
        <v>357</v>
      </c>
      <c r="E60" s="9">
        <v>45994</v>
      </c>
      <c r="F60" s="7">
        <v>2025</v>
      </c>
      <c r="G60" s="7" t="s">
        <v>31</v>
      </c>
      <c r="H60" s="6" t="str">
        <f t="shared" si="1"/>
        <v>2025_Dec_217</v>
      </c>
      <c r="I60" s="12" t="str">
        <f t="shared" si="2"/>
        <v>https://doi.org/10.1145/3770670</v>
      </c>
      <c r="J60" s="7">
        <f>IF(D60:D86&lt;&gt;"", VALUE(REGEXEXTRACT(D60:D86, "(\d+)\s+pages")), )
</f>
        <v>32</v>
      </c>
      <c r="K60" s="6" t="s">
        <v>133</v>
      </c>
      <c r="L60" s="7" t="str">
        <f t="shared" si="8"/>
        <v>No</v>
      </c>
      <c r="M60" s="7" t="s">
        <v>34</v>
      </c>
      <c r="N60" s="7" t="s">
        <v>33</v>
      </c>
      <c r="O60" s="7" t="s">
        <v>34</v>
      </c>
      <c r="P60" s="6"/>
      <c r="Q60" s="6" t="s">
        <v>358</v>
      </c>
      <c r="R60" s="7" t="s">
        <v>33</v>
      </c>
      <c r="S60" s="7" t="s">
        <v>34</v>
      </c>
      <c r="T60" s="6"/>
      <c r="U60" s="6" t="s">
        <v>359</v>
      </c>
      <c r="V60" s="7" t="s">
        <v>33</v>
      </c>
      <c r="W60" s="6" t="s">
        <v>360</v>
      </c>
      <c r="X60" s="7" t="s">
        <v>34</v>
      </c>
      <c r="Y60" s="6" t="s">
        <v>361</v>
      </c>
      <c r="Z60" s="7" t="s">
        <v>34</v>
      </c>
      <c r="AA60" s="6" t="s">
        <v>362</v>
      </c>
      <c r="AB60" s="6" t="s">
        <v>363</v>
      </c>
      <c r="AC60" s="6" t="s">
        <v>355</v>
      </c>
    </row>
    <row r="61" ht="22.5" customHeight="1">
      <c r="A61" s="11" t="str">
        <f>REGEXEXTRACT(D61, "\d{4}\.\s(.*?)\.\sProc\. ACM")"),"MmMUSE: An mmWave-based Motion-resilient Universal Speech Enhancement System</f>
        <v xml:space="preserve">MmMUSE: An mmWave-based Motion-resilient Universal Speech Enhancement System</v>
      </c>
      <c r="B61" s="7">
        <f t="shared" si="5"/>
        <v>218</v>
      </c>
      <c r="C61" s="8" t="s">
        <v>364</v>
      </c>
      <c r="D61" s="6" t="s">
        <v>365</v>
      </c>
      <c r="E61" s="9">
        <v>45995</v>
      </c>
      <c r="F61" s="7">
        <v>2025</v>
      </c>
      <c r="G61" s="7" t="s">
        <v>31</v>
      </c>
      <c r="H61" s="6" t="str">
        <f t="shared" si="1"/>
        <v>2025_Dec_218</v>
      </c>
      <c r="I61" s="12" t="str">
        <f t="shared" si="2"/>
        <v>https://doi.org/10.1145/3770672</v>
      </c>
      <c r="J61" s="7">
        <f>IF(D61:D86&lt;&gt;"", VALUE(REGEXEXTRACT(D61:D86, "(\d+)\s+pages")), )
</f>
        <v>33</v>
      </c>
      <c r="K61" s="6" t="s">
        <v>133</v>
      </c>
      <c r="L61" s="7" t="str">
        <f t="shared" si="8"/>
        <v>No</v>
      </c>
      <c r="M61" s="7" t="s">
        <v>34</v>
      </c>
      <c r="N61" s="7" t="s">
        <v>33</v>
      </c>
      <c r="O61" s="7" t="s">
        <v>34</v>
      </c>
      <c r="P61" s="6"/>
      <c r="Q61" s="6" t="s">
        <v>349</v>
      </c>
      <c r="R61" s="7" t="s">
        <v>33</v>
      </c>
      <c r="S61" s="7" t="s">
        <v>34</v>
      </c>
      <c r="T61" s="6"/>
      <c r="U61" s="6" t="s">
        <v>366</v>
      </c>
      <c r="V61" s="7" t="s">
        <v>33</v>
      </c>
      <c r="W61" s="6" t="s">
        <v>367</v>
      </c>
      <c r="X61" s="7" t="s">
        <v>33</v>
      </c>
      <c r="Y61" s="6" t="s">
        <v>368</v>
      </c>
      <c r="Z61" s="7" t="s">
        <v>34</v>
      </c>
      <c r="AA61" s="6" t="s">
        <v>369</v>
      </c>
      <c r="AB61" s="6" t="s">
        <v>370</v>
      </c>
      <c r="AC61" s="6" t="s">
        <v>355</v>
      </c>
    </row>
    <row r="62" ht="22.5" customHeight="1">
      <c r="A62" s="11" t="str">
        <f>REGEXEXTRACT(D62, "\d{4}\.\s(.*?)\.\sProc\. ACM")"),"A Batteryless Wireless Microphone Using RF Backscatter</f>
        <v xml:space="preserve">A Batteryless Wireless Microphone Using RF Backscatter</v>
      </c>
      <c r="B62" s="7">
        <f t="shared" si="5"/>
        <v>219</v>
      </c>
      <c r="C62" s="8" t="s">
        <v>371</v>
      </c>
      <c r="D62" s="6" t="s">
        <v>372</v>
      </c>
      <c r="E62" s="9">
        <v>45995</v>
      </c>
      <c r="F62" s="7">
        <v>2025</v>
      </c>
      <c r="G62" s="7" t="s">
        <v>31</v>
      </c>
      <c r="H62" s="6" t="str">
        <f t="shared" si="1"/>
        <v>2025_Dec_219</v>
      </c>
      <c r="I62" s="12" t="str">
        <f t="shared" si="2"/>
        <v>https://doi.org/10.1145/3770673</v>
      </c>
      <c r="J62" s="7">
        <f>IF(D62:D86&lt;&gt;"", VALUE(REGEXEXTRACT(D62:D86, "(\d+)\s+pages")), )
</f>
        <v>18</v>
      </c>
      <c r="K62" s="6" t="s">
        <v>217</v>
      </c>
      <c r="L62" s="7" t="str">
        <f t="shared" si="8"/>
        <v>No</v>
      </c>
      <c r="M62" s="7" t="s">
        <v>33</v>
      </c>
      <c r="N62" s="7" t="s">
        <v>33</v>
      </c>
      <c r="O62" s="7" t="s">
        <v>34</v>
      </c>
      <c r="P62" s="6"/>
      <c r="Q62" s="6" t="s">
        <v>373</v>
      </c>
      <c r="R62" s="7" t="s">
        <v>33</v>
      </c>
      <c r="S62" s="7" t="s">
        <v>34</v>
      </c>
      <c r="T62" s="6"/>
      <c r="U62" s="6" t="s">
        <v>374</v>
      </c>
      <c r="V62" s="7" t="s">
        <v>33</v>
      </c>
      <c r="W62" s="6" t="s">
        <v>375</v>
      </c>
      <c r="X62" s="7" t="s">
        <v>34</v>
      </c>
      <c r="Y62" s="6" t="s">
        <v>376</v>
      </c>
      <c r="Z62" s="7" t="s">
        <v>34</v>
      </c>
      <c r="AA62" s="6" t="s">
        <v>377</v>
      </c>
      <c r="AB62" s="6" t="s">
        <v>378</v>
      </c>
      <c r="AC62" s="6" t="s">
        <v>355</v>
      </c>
    </row>
    <row r="63" ht="22.5" customHeight="1">
      <c r="A63" s="11" t="str">
        <f>REGEXEXTRACT(D63, "\d{4}\.\s(.*?)\.\sProc\. ACM")"),"CHEF-VL: Detecting Cognitive Sequencing Errors in Cooking with Vision-language Models</f>
        <v xml:space="preserve">CHEF-VL: Detecting Cognitive Sequencing Errors in Cooking with Vision-language Models</v>
      </c>
      <c r="B63" s="7">
        <f t="shared" si="5"/>
        <v>220</v>
      </c>
      <c r="C63" s="8" t="s">
        <v>379</v>
      </c>
      <c r="D63" s="6" t="s">
        <v>380</v>
      </c>
      <c r="E63" s="9">
        <v>45995</v>
      </c>
      <c r="F63" s="7">
        <v>2025</v>
      </c>
      <c r="G63" s="7" t="s">
        <v>31</v>
      </c>
      <c r="H63" s="6" t="str">
        <f t="shared" si="1"/>
        <v>2025_Dec_220</v>
      </c>
      <c r="I63" s="12" t="str">
        <f t="shared" si="2"/>
        <v>https://doi.org/10.1145/3770714</v>
      </c>
      <c r="J63" s="7">
        <f>IF(D63:D86&lt;&gt;"", VALUE(REGEXEXTRACT(D63:D86, "(\d+)\s+pages")), )
</f>
        <v>35</v>
      </c>
      <c r="K63" s="6" t="s">
        <v>133</v>
      </c>
      <c r="L63" s="7" t="str">
        <f t="shared" si="8"/>
        <v>No</v>
      </c>
      <c r="M63" s="7" t="s">
        <v>33</v>
      </c>
      <c r="N63" s="7" t="s">
        <v>33</v>
      </c>
      <c r="O63" s="7" t="s">
        <v>34</v>
      </c>
      <c r="P63" s="6"/>
      <c r="Q63" s="6" t="s">
        <v>381</v>
      </c>
      <c r="R63" s="7" t="s">
        <v>33</v>
      </c>
      <c r="S63" s="7" t="s">
        <v>34</v>
      </c>
      <c r="T63" s="6"/>
      <c r="U63" s="6" t="s">
        <v>382</v>
      </c>
      <c r="V63" s="7" t="s">
        <v>33</v>
      </c>
      <c r="W63" s="6" t="s">
        <v>383</v>
      </c>
      <c r="X63" s="7" t="s">
        <v>34</v>
      </c>
      <c r="Y63" s="6" t="s">
        <v>384</v>
      </c>
      <c r="Z63" s="7" t="s">
        <v>34</v>
      </c>
      <c r="AA63" s="6" t="s">
        <v>385</v>
      </c>
      <c r="AB63" s="6" t="s">
        <v>386</v>
      </c>
      <c r="AC63" s="6" t="s">
        <v>355</v>
      </c>
    </row>
    <row r="64" ht="22.5" customHeight="1">
      <c r="A64" s="11" t="str">
        <f>REGEXEXTRACT(D64, "\d{4}\.\s(.*?)\.\sProc\. ACM")"),"Wi-Hand: 3D Hand Mesh Construction Using WiFi</f>
        <v xml:space="preserve">Wi-Hand: 3D Hand Mesh Construction Using WiFi</v>
      </c>
      <c r="B64" s="7">
        <f t="shared" si="5"/>
        <v>221</v>
      </c>
      <c r="C64" s="8" t="s">
        <v>387</v>
      </c>
      <c r="D64" s="6" t="s">
        <v>388</v>
      </c>
      <c r="E64" s="9">
        <v>45995</v>
      </c>
      <c r="F64" s="7">
        <v>2025</v>
      </c>
      <c r="G64" s="7" t="s">
        <v>31</v>
      </c>
      <c r="H64" s="6" t="str">
        <f t="shared" si="1"/>
        <v>2025_Dec_221</v>
      </c>
      <c r="I64" s="12" t="str">
        <f t="shared" si="2"/>
        <v>https://doi.org/10.1145/3770703</v>
      </c>
      <c r="J64" s="7">
        <f>IF(D64:D86&lt;&gt;"", VALUE(REGEXEXTRACT(D64:D86, "(\d+)\s+pages")), )
</f>
        <v>32</v>
      </c>
      <c r="K64" s="6" t="s">
        <v>133</v>
      </c>
      <c r="L64" s="7" t="str">
        <f t="shared" si="8"/>
        <v>No</v>
      </c>
      <c r="M64" s="7" t="s">
        <v>34</v>
      </c>
      <c r="N64" s="7" t="s">
        <v>33</v>
      </c>
      <c r="O64" s="7" t="s">
        <v>34</v>
      </c>
      <c r="P64" s="6"/>
      <c r="Q64" s="6" t="s">
        <v>381</v>
      </c>
      <c r="R64" s="7" t="s">
        <v>33</v>
      </c>
      <c r="S64" s="7" t="s">
        <v>34</v>
      </c>
      <c r="T64" s="6"/>
      <c r="U64" s="6" t="s">
        <v>389</v>
      </c>
      <c r="V64" s="7" t="s">
        <v>33</v>
      </c>
      <c r="W64" s="6" t="s">
        <v>390</v>
      </c>
      <c r="X64" s="7" t="s">
        <v>34</v>
      </c>
      <c r="Y64" s="6" t="s">
        <v>391</v>
      </c>
      <c r="Z64" s="7" t="s">
        <v>34</v>
      </c>
      <c r="AA64" s="6" t="s">
        <v>392</v>
      </c>
      <c r="AB64" s="6" t="s">
        <v>393</v>
      </c>
      <c r="AC64" s="6" t="s">
        <v>355</v>
      </c>
    </row>
    <row r="65" ht="22.5" customHeight="1">
      <c r="A65" s="11" t="str">
        <f>REGEXEXTRACT(D65, "\d{4}\.\s(.*?)\.\sProc\. ACM")"),"Enabling Older Adults to Provide High-quality Activity Labels: Unpacking Accuracy, Precision, and Granularity in Activity Labeling</f>
        <v xml:space="preserve">Enabling Older Adults to Provide High-quality Activity Labels: Unpacking Accuracy, Precision, and Granularity in Activity Labeling</v>
      </c>
      <c r="B65" s="7">
        <f t="shared" si="5"/>
        <v>222</v>
      </c>
      <c r="C65" s="8" t="s">
        <v>394</v>
      </c>
      <c r="D65" s="6" t="s">
        <v>395</v>
      </c>
      <c r="E65" s="9">
        <v>45995</v>
      </c>
      <c r="F65" s="7">
        <v>2025</v>
      </c>
      <c r="G65" s="7" t="s">
        <v>31</v>
      </c>
      <c r="H65" s="6" t="str">
        <f t="shared" si="1"/>
        <v>2025_Dec_222</v>
      </c>
      <c r="I65" s="12" t="str">
        <f t="shared" si="2"/>
        <v>https://doi.org/10.1145/3770649</v>
      </c>
      <c r="J65" s="7">
        <f>IF(D65:D86&lt;&gt;"", VALUE(REGEXEXTRACT(D65:D86, "(\d+)\s+pages")), )
</f>
        <v>24</v>
      </c>
      <c r="K65" s="6" t="s">
        <v>42</v>
      </c>
      <c r="L65" s="7" t="str">
        <f t="shared" si="8"/>
        <v>No</v>
      </c>
      <c r="M65" s="7" t="s">
        <v>33</v>
      </c>
      <c r="N65" s="7" t="s">
        <v>34</v>
      </c>
      <c r="O65" s="7" t="s">
        <v>35</v>
      </c>
      <c r="P65" s="6"/>
      <c r="Q65" s="6"/>
      <c r="R65" s="7" t="s">
        <v>34</v>
      </c>
      <c r="S65" s="7" t="s">
        <v>35</v>
      </c>
      <c r="T65" s="6"/>
      <c r="U65" s="6"/>
      <c r="V65" s="7" t="s">
        <v>35</v>
      </c>
      <c r="W65" s="6"/>
      <c r="X65" s="7" t="s">
        <v>35</v>
      </c>
      <c r="Y65" s="13"/>
      <c r="Z65" s="7" t="s">
        <v>35</v>
      </c>
      <c r="AA65" s="6"/>
      <c r="AB65" s="6"/>
      <c r="AC65" s="6" t="s">
        <v>355</v>
      </c>
    </row>
    <row r="66" ht="22.5" customHeight="1">
      <c r="A66" s="11" t="str">
        <f>REGEXEXTRACT(D66, "\d{4}\.\s(.*?)\.\sProc\. ACM")"),"Where to Improve? A Systematic Evaluation of Sampling Parameters for Pressure Sensor Matrix</f>
        <v xml:space="preserve">Where to Improve? A Systematic Evaluation of Sampling Parameters for Pressure Sensor Matrix</v>
      </c>
      <c r="B66" s="7">
        <f t="shared" si="5"/>
        <v>223</v>
      </c>
      <c r="C66" s="8" t="s">
        <v>396</v>
      </c>
      <c r="D66" s="6" t="s">
        <v>397</v>
      </c>
      <c r="E66" s="9">
        <v>45996</v>
      </c>
      <c r="F66" s="7">
        <v>2025</v>
      </c>
      <c r="G66" s="7" t="s">
        <v>31</v>
      </c>
      <c r="H66" s="6" t="str">
        <f t="shared" ref="H66:H86" si="9">TEXT($F66,"0000")&amp;"_"&amp;$G66&amp;"_"&amp;TEXT($B66,"000")</f>
        <v>2025_Dec_223</v>
      </c>
      <c r="I66" s="12" t="str">
        <f t="shared" ref="I66:I86" si="10">CONCATENATE("https",RIGHT(D66,LEN(D66)-(FIND("://",D66)-1)))</f>
        <v>https://doi.org/10.1145/3770694</v>
      </c>
      <c r="J66" s="7">
        <f>IF(D66:D86&lt;&gt;"", VALUE(REGEXEXTRACT(D66:D86, "(\d+)\s+pages")), )
</f>
        <v>26</v>
      </c>
      <c r="K66" s="6" t="s">
        <v>71</v>
      </c>
      <c r="L66" s="7" t="str">
        <f t="shared" si="8"/>
        <v>No</v>
      </c>
      <c r="M66" s="7" t="s">
        <v>34</v>
      </c>
      <c r="N66" s="7" t="s">
        <v>33</v>
      </c>
      <c r="O66" s="7" t="s">
        <v>34</v>
      </c>
      <c r="P66" s="6"/>
      <c r="Q66" s="6" t="s">
        <v>398</v>
      </c>
      <c r="R66" s="7" t="s">
        <v>33</v>
      </c>
      <c r="S66" s="7" t="s">
        <v>33</v>
      </c>
      <c r="T66" s="6"/>
      <c r="U66" s="6" t="s">
        <v>399</v>
      </c>
      <c r="V66" s="7" t="s">
        <v>34</v>
      </c>
      <c r="W66" s="6" t="s">
        <v>400</v>
      </c>
      <c r="X66" s="7" t="s">
        <v>34</v>
      </c>
      <c r="Y66" s="6" t="s">
        <v>401</v>
      </c>
      <c r="Z66" s="7" t="s">
        <v>34</v>
      </c>
      <c r="AA66" s="6" t="s">
        <v>402</v>
      </c>
      <c r="AB66" s="6" t="s">
        <v>403</v>
      </c>
      <c r="AC66" s="6" t="s">
        <v>355</v>
      </c>
    </row>
    <row r="67" ht="22.5" customHeight="1">
      <c r="A67" s="11" t="str">
        <f>REGEXEXTRACT(D67, "\d{4}\.\s(.*?)\.\sProc\. ACM")"),"Toward Designing Motor Imagery-driven Hand Redirection in Virtual Reality for Upper Limb Rehabilitation</f>
        <v xml:space="preserve">Toward Designing Motor Imagery-driven Hand Redirection in Virtual Reality for Upper Limb Rehabilitation</v>
      </c>
      <c r="B67" s="7">
        <f t="shared" si="5"/>
        <v>224</v>
      </c>
      <c r="C67" s="8" t="s">
        <v>404</v>
      </c>
      <c r="D67" s="6" t="s">
        <v>405</v>
      </c>
      <c r="E67" s="9">
        <v>45996</v>
      </c>
      <c r="F67" s="7">
        <v>2025</v>
      </c>
      <c r="G67" s="7" t="s">
        <v>31</v>
      </c>
      <c r="H67" s="6" t="str">
        <f t="shared" si="9"/>
        <v>2025_Dec_224</v>
      </c>
      <c r="I67" s="12" t="str">
        <f t="shared" si="10"/>
        <v>https://doi.org/10.1145/3770642</v>
      </c>
      <c r="J67" s="7">
        <f>IF(D67:D86&lt;&gt;"", VALUE(REGEXEXTRACT(D67:D86, "(\d+)\s+pages")), )
</f>
        <v>27</v>
      </c>
      <c r="K67" s="6" t="s">
        <v>133</v>
      </c>
      <c r="L67" s="7" t="str">
        <f t="shared" si="8"/>
        <v>No</v>
      </c>
      <c r="M67" s="7" t="s">
        <v>34</v>
      </c>
      <c r="N67" s="7" t="s">
        <v>33</v>
      </c>
      <c r="O67" s="7" t="s">
        <v>34</v>
      </c>
      <c r="P67" s="6"/>
      <c r="Q67" s="6" t="s">
        <v>406</v>
      </c>
      <c r="R67" s="7" t="s">
        <v>33</v>
      </c>
      <c r="S67" s="7" t="s">
        <v>34</v>
      </c>
      <c r="T67" s="6"/>
      <c r="U67" s="6" t="s">
        <v>407</v>
      </c>
      <c r="V67" s="7" t="s">
        <v>33</v>
      </c>
      <c r="W67" s="6" t="s">
        <v>408</v>
      </c>
      <c r="X67" s="7" t="s">
        <v>34</v>
      </c>
      <c r="Y67" s="6" t="s">
        <v>409</v>
      </c>
      <c r="Z67" s="7" t="s">
        <v>34</v>
      </c>
      <c r="AA67" s="6" t="s">
        <v>410</v>
      </c>
      <c r="AB67" s="6" t="s">
        <v>411</v>
      </c>
      <c r="AC67" s="6" t="s">
        <v>355</v>
      </c>
    </row>
    <row r="68" ht="22.5" customHeight="1">
      <c r="A68" s="11" t="str">
        <f>REGEXEXTRACT(D68, "\d{4}\.\s(.*?)\.\sProc\. ACM")"),"Robust HRV Monitoring via Massive Radio Sensing</f>
        <v xml:space="preserve">Robust HRV Monitoring via Massive Radio Sensing</v>
      </c>
      <c r="B68" s="7">
        <f t="shared" si="5"/>
        <v>225</v>
      </c>
      <c r="C68" s="8" t="s">
        <v>412</v>
      </c>
      <c r="D68" s="6" t="s">
        <v>413</v>
      </c>
      <c r="E68" s="9">
        <v>45996</v>
      </c>
      <c r="F68" s="7">
        <v>2025</v>
      </c>
      <c r="G68" s="7" t="s">
        <v>31</v>
      </c>
      <c r="H68" s="6" t="str">
        <f t="shared" si="9"/>
        <v>2025_Dec_225</v>
      </c>
      <c r="I68" s="12" t="str">
        <f t="shared" si="10"/>
        <v>https://doi.org/10.1145/3770711</v>
      </c>
      <c r="J68" s="7">
        <f>IF(D68:D86&lt;&gt;"", VALUE(REGEXEXTRACT(D68:D86, "(\d+)\s+pages")), )
</f>
        <v>30</v>
      </c>
      <c r="K68" s="6" t="s">
        <v>414</v>
      </c>
      <c r="L68" s="7" t="str">
        <f t="shared" si="8"/>
        <v>No</v>
      </c>
      <c r="M68" s="7" t="s">
        <v>34</v>
      </c>
      <c r="N68" s="7" t="s">
        <v>33</v>
      </c>
      <c r="O68" s="7" t="s">
        <v>34</v>
      </c>
      <c r="P68" s="6"/>
      <c r="Q68" s="6" t="s">
        <v>415</v>
      </c>
      <c r="R68" s="7" t="s">
        <v>33</v>
      </c>
      <c r="S68" s="7" t="s">
        <v>34</v>
      </c>
      <c r="T68" s="10" t="s">
        <v>416</v>
      </c>
      <c r="U68" s="6" t="s">
        <v>417</v>
      </c>
      <c r="V68" s="7" t="s">
        <v>33</v>
      </c>
      <c r="W68" s="6" t="s">
        <v>418</v>
      </c>
      <c r="X68" s="7" t="s">
        <v>34</v>
      </c>
      <c r="Y68" s="6" t="s">
        <v>419</v>
      </c>
      <c r="Z68" s="7" t="s">
        <v>34</v>
      </c>
      <c r="AA68" s="6" t="s">
        <v>420</v>
      </c>
      <c r="AB68" s="6" t="s">
        <v>421</v>
      </c>
      <c r="AC68" s="6" t="s">
        <v>355</v>
      </c>
    </row>
    <row r="69" ht="22.5" customHeight="1">
      <c r="A69" s="11" t="str">
        <f>REGEXEXTRACT(D69, "\d{4}\.\s(.*?)\.\sProc\. ACM")"),"AutoLife: Automatic Life Journaling with Smartphones and LLMs</f>
        <v xml:space="preserve">AutoLife: Automatic Life Journaling with Smartphones and LLMs</v>
      </c>
      <c r="B69" s="7">
        <f t="shared" si="5"/>
        <v>226</v>
      </c>
      <c r="C69" s="8" t="s">
        <v>422</v>
      </c>
      <c r="D69" s="6" t="s">
        <v>423</v>
      </c>
      <c r="E69" s="9">
        <v>45996</v>
      </c>
      <c r="F69" s="7">
        <v>2025</v>
      </c>
      <c r="G69" s="7" t="s">
        <v>31</v>
      </c>
      <c r="H69" s="6" t="str">
        <f t="shared" si="9"/>
        <v>2025_Dec_226</v>
      </c>
      <c r="I69" s="12" t="str">
        <f t="shared" si="10"/>
        <v>https://doi.org/10.1145/3770683</v>
      </c>
      <c r="J69" s="7">
        <f>IF(D69:D86&lt;&gt;"", VALUE(REGEXEXTRACT(D69:D86, "(\d+)\s+pages")), )
</f>
        <v>29</v>
      </c>
      <c r="K69" s="6" t="s">
        <v>414</v>
      </c>
      <c r="L69" s="7" t="str">
        <f t="shared" si="8"/>
        <v>No</v>
      </c>
      <c r="M69" s="7" t="s">
        <v>34</v>
      </c>
      <c r="N69" s="7" t="s">
        <v>33</v>
      </c>
      <c r="O69" s="7" t="s">
        <v>34</v>
      </c>
      <c r="P69" s="6"/>
      <c r="Q69" s="6" t="s">
        <v>424</v>
      </c>
      <c r="R69" s="7" t="s">
        <v>33</v>
      </c>
      <c r="S69" s="7" t="s">
        <v>34</v>
      </c>
      <c r="T69" s="10" t="s">
        <v>425</v>
      </c>
      <c r="U69" s="6" t="s">
        <v>426</v>
      </c>
      <c r="V69" s="7" t="s">
        <v>33</v>
      </c>
      <c r="W69" s="6" t="s">
        <v>427</v>
      </c>
      <c r="X69" s="7" t="s">
        <v>33</v>
      </c>
      <c r="Y69" s="6" t="s">
        <v>428</v>
      </c>
      <c r="Z69" s="7" t="s">
        <v>34</v>
      </c>
      <c r="AA69" s="6" t="s">
        <v>429</v>
      </c>
      <c r="AB69" s="6" t="s">
        <v>430</v>
      </c>
      <c r="AC69" s="6" t="s">
        <v>355</v>
      </c>
    </row>
    <row r="70" ht="22.5" customHeight="1">
      <c r="A70" s="11" t="str">
        <f>REGEXEXTRACT(D70, "\d{4}\.\s(.*?)\.\sProc\. ACM")"),"HandiSense: Left/Right Operating Hand Recognition for Multi-finger Touchscreen Interactions</f>
        <v xml:space="preserve">HandiSense: Left/Right Operating Hand Recognition for Multi-finger Touchscreen Interactions</v>
      </c>
      <c r="B70" s="7">
        <f t="shared" si="5"/>
        <v>227</v>
      </c>
      <c r="C70" s="8" t="s">
        <v>431</v>
      </c>
      <c r="D70" s="10" t="s">
        <v>432</v>
      </c>
      <c r="E70" s="9">
        <v>45996</v>
      </c>
      <c r="F70" s="7">
        <v>2025</v>
      </c>
      <c r="G70" s="7" t="s">
        <v>31</v>
      </c>
      <c r="H70" s="6" t="str">
        <f t="shared" si="9"/>
        <v>2025_Dec_227</v>
      </c>
      <c r="I70" s="12" t="str">
        <f t="shared" si="10"/>
        <v>https://doi.org/10.1145/3770677</v>
      </c>
      <c r="J70" s="7">
        <f>IF(D70:D86&lt;&gt;"", VALUE(REGEXEXTRACT(D70:D86, "(\d+)\s+pages")), )
</f>
        <v>24</v>
      </c>
      <c r="K70" s="6" t="s">
        <v>133</v>
      </c>
      <c r="L70" s="7" t="str">
        <f t="shared" si="8"/>
        <v>No</v>
      </c>
      <c r="M70" s="7" t="s">
        <v>34</v>
      </c>
      <c r="N70" s="7" t="s">
        <v>33</v>
      </c>
      <c r="O70" s="7" t="s">
        <v>34</v>
      </c>
      <c r="P70" s="6"/>
      <c r="Q70" s="6" t="s">
        <v>433</v>
      </c>
      <c r="R70" s="7" t="s">
        <v>33</v>
      </c>
      <c r="S70" s="7" t="s">
        <v>34</v>
      </c>
      <c r="T70" s="6"/>
      <c r="U70" s="6" t="s">
        <v>434</v>
      </c>
      <c r="V70" s="7" t="s">
        <v>33</v>
      </c>
      <c r="W70" s="6" t="s">
        <v>435</v>
      </c>
      <c r="X70" s="7" t="s">
        <v>34</v>
      </c>
      <c r="Y70" s="6" t="s">
        <v>436</v>
      </c>
      <c r="Z70" s="7" t="s">
        <v>34</v>
      </c>
      <c r="AA70" s="6" t="s">
        <v>437</v>
      </c>
      <c r="AB70" s="6" t="s">
        <v>438</v>
      </c>
      <c r="AC70" s="6" t="s">
        <v>355</v>
      </c>
    </row>
    <row r="71" ht="22.5" customHeight="1">
      <c r="A71" s="11" t="str">
        <f>REGEXEXTRACT(D71, "\d{4}\.\s(.*?)\.\sProc\. ACM")"),"ActiveEye: Enabling Continuous and Responsive Video Understanding for Smart Eyewear Systems</f>
        <v xml:space="preserve">ActiveEye: Enabling Continuous and Responsive Video Understanding for Smart Eyewear Systems</v>
      </c>
      <c r="B71" s="7">
        <f t="shared" si="5"/>
        <v>228</v>
      </c>
      <c r="C71" s="8" t="s">
        <v>439</v>
      </c>
      <c r="D71" s="10" t="s">
        <v>440</v>
      </c>
      <c r="E71" s="9">
        <v>45997</v>
      </c>
      <c r="F71" s="7">
        <v>2025</v>
      </c>
      <c r="G71" s="7" t="s">
        <v>31</v>
      </c>
      <c r="H71" s="6" t="str">
        <f t="shared" si="9"/>
        <v>2025_Dec_228</v>
      </c>
      <c r="I71" s="12" t="str">
        <f t="shared" si="10"/>
        <v>https://doi.org/10.1145/3770641</v>
      </c>
      <c r="J71" s="7">
        <f>IF(D71:D86&lt;&gt;"", VALUE(REGEXEXTRACT(D71:D86, "(\d+)\s+pages")), )
</f>
        <v>33</v>
      </c>
      <c r="K71" s="6" t="s">
        <v>217</v>
      </c>
      <c r="L71" s="7" t="str">
        <f t="shared" si="8"/>
        <v>No</v>
      </c>
      <c r="M71" s="7" t="s">
        <v>34</v>
      </c>
      <c r="N71" s="7" t="s">
        <v>33</v>
      </c>
      <c r="O71" s="7" t="s">
        <v>34</v>
      </c>
      <c r="P71" s="6"/>
      <c r="Q71" s="6" t="s">
        <v>441</v>
      </c>
      <c r="R71" s="7" t="s">
        <v>33</v>
      </c>
      <c r="S71" s="7" t="s">
        <v>33</v>
      </c>
      <c r="T71" s="6"/>
      <c r="U71" s="6" t="s">
        <v>442</v>
      </c>
      <c r="V71" s="7" t="s">
        <v>33</v>
      </c>
      <c r="W71" s="6" t="s">
        <v>443</v>
      </c>
      <c r="X71" s="7" t="s">
        <v>34</v>
      </c>
      <c r="Y71" s="6" t="s">
        <v>444</v>
      </c>
      <c r="Z71" s="7" t="s">
        <v>34</v>
      </c>
      <c r="AA71" s="6" t="s">
        <v>445</v>
      </c>
      <c r="AB71" s="6" t="s">
        <v>446</v>
      </c>
      <c r="AC71" s="6" t="s">
        <v>355</v>
      </c>
    </row>
    <row r="72" ht="22.5" customHeight="1">
      <c r="A72" s="11" t="str">
        <f>REGEXEXTRACT(D72, "\d{4}\.\s(.*?)\.\sProc\. ACM")"),"Design and Evaluation of Generative Agent-based Platform for Human-Assistant Interaction Research: A Tale of 10 User Studies</f>
        <v xml:space="preserve">Design and Evaluation of Generative Agent-based Platform for Human-Assistant Interaction Research: A Tale of 10 User Studies</v>
      </c>
      <c r="B72" s="7">
        <f t="shared" si="5"/>
        <v>229</v>
      </c>
      <c r="C72" s="8" t="s">
        <v>447</v>
      </c>
      <c r="D72" s="6" t="s">
        <v>448</v>
      </c>
      <c r="E72" s="9">
        <v>45997</v>
      </c>
      <c r="F72" s="7">
        <v>2025</v>
      </c>
      <c r="G72" s="7" t="s">
        <v>31</v>
      </c>
      <c r="H72" s="6" t="str">
        <f t="shared" si="9"/>
        <v>2025_Dec_229</v>
      </c>
      <c r="I72" s="12" t="str">
        <f t="shared" si="10"/>
        <v>https://doi.org/10.1145/3770661</v>
      </c>
      <c r="J72" s="7">
        <f>IF(D72:D86&lt;&gt;"", VALUE(REGEXEXTRACT(D72:D86, "(\d+)\s+pages")), )
</f>
        <v>46</v>
      </c>
      <c r="K72" s="6" t="s">
        <v>64</v>
      </c>
      <c r="L72" s="7" t="str">
        <f t="shared" si="8"/>
        <v>No</v>
      </c>
      <c r="M72" s="7" t="s">
        <v>33</v>
      </c>
      <c r="N72" s="7" t="s">
        <v>33</v>
      </c>
      <c r="O72" s="7" t="s">
        <v>94</v>
      </c>
      <c r="P72" s="10" t="s">
        <v>449</v>
      </c>
      <c r="Q72" s="6" t="s">
        <v>450</v>
      </c>
      <c r="R72" s="7" t="s">
        <v>33</v>
      </c>
      <c r="S72" s="7" t="s">
        <v>94</v>
      </c>
      <c r="T72" s="10" t="s">
        <v>449</v>
      </c>
      <c r="U72" s="6" t="s">
        <v>451</v>
      </c>
      <c r="V72" s="7" t="s">
        <v>34</v>
      </c>
      <c r="W72" s="6" t="s">
        <v>452</v>
      </c>
      <c r="X72" s="7" t="s">
        <v>33</v>
      </c>
      <c r="Y72" s="6" t="s">
        <v>453</v>
      </c>
      <c r="Z72" s="7" t="s">
        <v>94</v>
      </c>
      <c r="AA72" s="6" t="s">
        <v>454</v>
      </c>
      <c r="AB72" s="6" t="s">
        <v>455</v>
      </c>
      <c r="AC72" s="6" t="s">
        <v>355</v>
      </c>
    </row>
    <row r="73" ht="22.5" customHeight="1">
      <c r="A73" s="11" t="str">
        <f>REGEXEXTRACT(D73, "\d{4}\.\s(.*?)\.\sProc\. ACM")"),"Large Language Model-guided Semantic Alignment for Human Activity Recognition</f>
        <v xml:space="preserve">Large Language Model-guided Semantic Alignment for Human Activity Recognition</v>
      </c>
      <c r="B73" s="7">
        <f t="shared" si="5"/>
        <v>230</v>
      </c>
      <c r="C73" s="8" t="s">
        <v>456</v>
      </c>
      <c r="D73" s="6" t="s">
        <v>457</v>
      </c>
      <c r="E73" s="9">
        <v>45997</v>
      </c>
      <c r="F73" s="7">
        <v>2025</v>
      </c>
      <c r="G73" s="7" t="s">
        <v>31</v>
      </c>
      <c r="H73" s="6" t="str">
        <f t="shared" si="9"/>
        <v>2025_Dec_230</v>
      </c>
      <c r="I73" s="12" t="str">
        <f t="shared" si="10"/>
        <v>https://doi.org/10.1145/3770652</v>
      </c>
      <c r="J73" s="7">
        <f>IF(D73:D86&lt;&gt;"", VALUE(REGEXEXTRACT(D73:D86, "(\d+)\s+pages")), )
</f>
        <v>25</v>
      </c>
      <c r="K73" s="6" t="s">
        <v>64</v>
      </c>
      <c r="L73" s="7" t="str">
        <f t="shared" si="8"/>
        <v>No</v>
      </c>
      <c r="M73" s="7" t="s">
        <v>33</v>
      </c>
      <c r="N73" s="7" t="s">
        <v>33</v>
      </c>
      <c r="O73" s="7" t="s">
        <v>33</v>
      </c>
      <c r="P73" s="10" t="s">
        <v>458</v>
      </c>
      <c r="Q73" s="6" t="s">
        <v>459</v>
      </c>
      <c r="R73" s="7" t="s">
        <v>33</v>
      </c>
      <c r="S73" s="7" t="s">
        <v>33</v>
      </c>
      <c r="T73" s="6"/>
      <c r="U73" s="6" t="s">
        <v>460</v>
      </c>
      <c r="V73" s="7" t="s">
        <v>34</v>
      </c>
      <c r="W73" s="6" t="s">
        <v>461</v>
      </c>
      <c r="X73" s="7" t="s">
        <v>33</v>
      </c>
      <c r="Y73" s="6" t="s">
        <v>462</v>
      </c>
      <c r="Z73" s="7" t="s">
        <v>33</v>
      </c>
      <c r="AA73" s="6" t="s">
        <v>463</v>
      </c>
      <c r="AB73" s="6" t="s">
        <v>464</v>
      </c>
      <c r="AC73" s="6" t="s">
        <v>355</v>
      </c>
    </row>
    <row r="74" ht="22.5" customHeight="1">
      <c r="A74" s="11" t="str">
        <f>REGEXEXTRACT(D74, "\d{4}\.\s(.*?)\.\sProc\. ACM")"),"ACLGuard: Physics-Aware Knee Loading Monitoring System for Anterior Cruciate Ligament Injury Prevention Training</f>
        <v xml:space="preserve">ACLGuard: Physics-Aware Knee Loading Monitoring System for Anterior Cruciate Ligament Injury Prevention Training</v>
      </c>
      <c r="B74" s="7">
        <f t="shared" ref="B74:B86" si="11">IFERROR(VALUE(_xlfn.REGEXEXTRACT(D74,"Article\s+(\d+)")),"")</f>
        <v>231</v>
      </c>
      <c r="C74" s="8" t="s">
        <v>465</v>
      </c>
      <c r="D74" s="23" t="s">
        <v>466</v>
      </c>
      <c r="E74" s="9">
        <v>45997</v>
      </c>
      <c r="F74" s="7">
        <v>2025</v>
      </c>
      <c r="G74" s="7" t="s">
        <v>31</v>
      </c>
      <c r="H74" s="6" t="str">
        <f t="shared" si="9"/>
        <v>2025_Dec_231</v>
      </c>
      <c r="I74" s="12" t="str">
        <f t="shared" si="10"/>
        <v>https://doi.org/10.1145/3770692</v>
      </c>
      <c r="J74" s="7">
        <f>IF(D74:D86&lt;&gt;"", VALUE(REGEXEXTRACT(D74:D86, "(\d+)\s+pages")), )
</f>
        <v>28</v>
      </c>
      <c r="K74" s="6" t="s">
        <v>133</v>
      </c>
      <c r="L74" s="7" t="str">
        <f t="shared" si="8"/>
        <v>No</v>
      </c>
      <c r="M74" s="7" t="s">
        <v>34</v>
      </c>
      <c r="N74" s="7" t="s">
        <v>33</v>
      </c>
      <c r="O74" s="7" t="s">
        <v>33</v>
      </c>
      <c r="P74" s="10" t="s">
        <v>467</v>
      </c>
      <c r="Q74" s="6" t="s">
        <v>468</v>
      </c>
      <c r="R74" s="7" t="s">
        <v>33</v>
      </c>
      <c r="S74" s="7" t="s">
        <v>34</v>
      </c>
      <c r="T74" s="6"/>
      <c r="U74" s="6" t="s">
        <v>469</v>
      </c>
      <c r="V74" s="7" t="s">
        <v>33</v>
      </c>
      <c r="W74" s="6" t="s">
        <v>470</v>
      </c>
      <c r="X74" s="7" t="s">
        <v>34</v>
      </c>
      <c r="Y74" s="6" t="s">
        <v>471</v>
      </c>
      <c r="Z74" s="7" t="s">
        <v>34</v>
      </c>
      <c r="AA74" s="6" t="s">
        <v>472</v>
      </c>
      <c r="AB74" s="6" t="s">
        <v>473</v>
      </c>
      <c r="AC74" s="6" t="s">
        <v>355</v>
      </c>
    </row>
    <row r="75" ht="22.5" customHeight="1">
      <c r="A75" s="11" t="str">
        <f>REGEXEXTRACT(D75, "\d{4}\.\s(.*?)\.\sProc\. ACM")"),"HearForce: Force Estimation for Manual Toothbrushing with Earables</f>
        <v xml:space="preserve">HearForce: Force Estimation for Manual Toothbrushing with Earables</v>
      </c>
      <c r="B75" s="7">
        <f t="shared" si="11"/>
        <v>232</v>
      </c>
      <c r="C75" s="8" t="s">
        <v>474</v>
      </c>
      <c r="D75" s="6" t="s">
        <v>475</v>
      </c>
      <c r="E75" s="9">
        <v>45997</v>
      </c>
      <c r="F75" s="7">
        <v>2025</v>
      </c>
      <c r="G75" s="7" t="s">
        <v>31</v>
      </c>
      <c r="H75" s="6" t="str">
        <f t="shared" si="9"/>
        <v>2025_Dec_232</v>
      </c>
      <c r="I75" s="12" t="str">
        <f t="shared" si="10"/>
        <v>https://doi.org/10.1145/3770688</v>
      </c>
      <c r="J75" s="7">
        <f>IF(D75:D86&lt;&gt;"", VALUE(REGEXEXTRACT(D75:D86, "(\d+)\s+pages")), )
</f>
        <v>22</v>
      </c>
      <c r="K75" s="6" t="s">
        <v>348</v>
      </c>
      <c r="L75" s="7" t="str">
        <f t="shared" si="8"/>
        <v>No</v>
      </c>
      <c r="M75" s="7" t="s">
        <v>33</v>
      </c>
      <c r="N75" s="7" t="s">
        <v>33</v>
      </c>
      <c r="O75" s="7" t="s">
        <v>34</v>
      </c>
      <c r="P75" s="6"/>
      <c r="Q75" s="6" t="s">
        <v>476</v>
      </c>
      <c r="R75" s="7" t="s">
        <v>33</v>
      </c>
      <c r="S75" s="7" t="s">
        <v>34</v>
      </c>
      <c r="T75" s="6"/>
      <c r="U75" s="6" t="s">
        <v>477</v>
      </c>
      <c r="V75" s="7" t="s">
        <v>33</v>
      </c>
      <c r="W75" s="6" t="s">
        <v>478</v>
      </c>
      <c r="X75" s="7" t="s">
        <v>34</v>
      </c>
      <c r="Y75" s="6" t="s">
        <v>479</v>
      </c>
      <c r="Z75" s="7" t="s">
        <v>34</v>
      </c>
      <c r="AA75" s="6" t="s">
        <v>480</v>
      </c>
      <c r="AB75" s="6" t="s">
        <v>481</v>
      </c>
      <c r="AC75" s="6" t="s">
        <v>355</v>
      </c>
    </row>
    <row r="76" ht="22.5" customHeight="1">
      <c r="A76" s="11" t="str">
        <f>REGEXEXTRACT(D76, "\d{4}\.\s(.*?)\.\sProc\. ACM")"),"WiMU: Real-time Indoor Localization via Wi-Fi/IMU Fusion with Minimal Site Survey</f>
        <v xml:space="preserve">WiMU: Real-time Indoor Localization via Wi-Fi/IMU Fusion with Minimal Site Survey</v>
      </c>
      <c r="B76" s="7">
        <f t="shared" si="11"/>
        <v>233</v>
      </c>
      <c r="C76" s="8" t="s">
        <v>482</v>
      </c>
      <c r="D76" s="6" t="s">
        <v>483</v>
      </c>
      <c r="E76" s="9">
        <v>45997</v>
      </c>
      <c r="F76" s="7">
        <v>2025</v>
      </c>
      <c r="G76" s="7" t="s">
        <v>31</v>
      </c>
      <c r="H76" s="6" t="str">
        <f t="shared" si="9"/>
        <v>2025_Dec_233</v>
      </c>
      <c r="I76" s="12" t="str">
        <f t="shared" si="10"/>
        <v>https://doi.org/10.1145/3770667</v>
      </c>
      <c r="J76" s="7">
        <f>IF(D76:D86&lt;&gt;"", VALUE(REGEXEXTRACT(D76:D86, "(\d+)\s+pages")), )
</f>
        <v>25</v>
      </c>
      <c r="K76" s="6" t="s">
        <v>133</v>
      </c>
      <c r="L76" s="7" t="str">
        <f t="shared" si="8"/>
        <v>No</v>
      </c>
      <c r="M76" s="7" t="s">
        <v>34</v>
      </c>
      <c r="N76" s="7" t="s">
        <v>33</v>
      </c>
      <c r="O76" s="7" t="s">
        <v>34</v>
      </c>
      <c r="P76" s="6"/>
      <c r="Q76" s="6" t="s">
        <v>484</v>
      </c>
      <c r="R76" s="7" t="s">
        <v>33</v>
      </c>
      <c r="S76" s="7" t="s">
        <v>144</v>
      </c>
      <c r="T76" s="10" t="s">
        <v>485</v>
      </c>
      <c r="U76" s="6" t="s">
        <v>486</v>
      </c>
      <c r="V76" s="7" t="s">
        <v>33</v>
      </c>
      <c r="W76" s="6" t="s">
        <v>487</v>
      </c>
      <c r="X76" s="7" t="s">
        <v>34</v>
      </c>
      <c r="Y76" s="6" t="s">
        <v>488</v>
      </c>
      <c r="Z76" s="7" t="s">
        <v>34</v>
      </c>
      <c r="AA76" s="6" t="s">
        <v>489</v>
      </c>
      <c r="AB76" s="6" t="s">
        <v>490</v>
      </c>
      <c r="AC76" s="6" t="s">
        <v>355</v>
      </c>
    </row>
    <row r="77" ht="22.5" customHeight="1">
      <c r="A77" s="11" t="str">
        <f>REGEXEXTRACT(D77, "\d{4}\.\s(.*?)\.\sProc\. ACM")"),"TourismMinds: A Geo-augmented LLM Framework for Semantic-aware Trajectory Analytics and Generation</f>
        <v xml:space="preserve">TourismMinds: A Geo-augmented LLM Framework for Semantic-aware Trajectory Analytics and Generation</v>
      </c>
      <c r="B77" s="7">
        <f t="shared" si="11"/>
        <v>234</v>
      </c>
      <c r="C77" s="8" t="s">
        <v>491</v>
      </c>
      <c r="D77" s="6" t="s">
        <v>492</v>
      </c>
      <c r="E77" s="9">
        <v>45998</v>
      </c>
      <c r="F77" s="7">
        <v>2025</v>
      </c>
      <c r="G77" s="7" t="s">
        <v>31</v>
      </c>
      <c r="H77" s="6" t="str">
        <f t="shared" si="9"/>
        <v>2025_Dec_234</v>
      </c>
      <c r="I77" s="12" t="str">
        <f t="shared" si="10"/>
        <v>https://doi.org/10.1145/3770697</v>
      </c>
      <c r="J77" s="7">
        <f>IF(D77:D86&lt;&gt;"", VALUE(REGEXEXTRACT(D77:D86, "(\d+)\s+pages")), )
</f>
        <v>32</v>
      </c>
      <c r="K77" s="6" t="s">
        <v>133</v>
      </c>
      <c r="L77" s="7" t="str">
        <f t="shared" si="8"/>
        <v>No</v>
      </c>
      <c r="M77" s="7" t="s">
        <v>34</v>
      </c>
      <c r="N77" s="7" t="s">
        <v>33</v>
      </c>
      <c r="O77" s="7" t="s">
        <v>34</v>
      </c>
      <c r="P77" s="6"/>
      <c r="Q77" s="6" t="s">
        <v>493</v>
      </c>
      <c r="R77" s="7" t="s">
        <v>33</v>
      </c>
      <c r="S77" s="7" t="s">
        <v>144</v>
      </c>
      <c r="T77" s="10" t="s">
        <v>494</v>
      </c>
      <c r="U77" s="6" t="s">
        <v>495</v>
      </c>
      <c r="V77" s="7" t="s">
        <v>33</v>
      </c>
      <c r="W77" s="6" t="s">
        <v>496</v>
      </c>
      <c r="X77" s="7" t="s">
        <v>34</v>
      </c>
      <c r="Y77" s="6" t="s">
        <v>497</v>
      </c>
      <c r="Z77" s="7" t="s">
        <v>34</v>
      </c>
      <c r="AA77" s="6" t="s">
        <v>498</v>
      </c>
      <c r="AB77" s="6" t="s">
        <v>499</v>
      </c>
      <c r="AC77" s="6" t="s">
        <v>355</v>
      </c>
    </row>
    <row r="78" ht="22.5" customHeight="1">
      <c r="A78" s="11" t="str">
        <f>REGEXEXTRACT(D78, "\d{4}\.\s(.*?)\.\sProc\. ACM")"),"BEE: Opportunistic Heat-based Bio-sensing for Produce Quality Monitoring</f>
        <v xml:space="preserve">BEE: Opportunistic Heat-based Bio-sensing for Produce Quality Monitoring</v>
      </c>
      <c r="B78" s="7">
        <f t="shared" si="11"/>
        <v>235</v>
      </c>
      <c r="C78" s="8" t="s">
        <v>500</v>
      </c>
      <c r="D78" s="6" t="s">
        <v>501</v>
      </c>
      <c r="E78" s="9">
        <v>45998</v>
      </c>
      <c r="F78" s="7">
        <v>2025</v>
      </c>
      <c r="G78" s="7" t="s">
        <v>31</v>
      </c>
      <c r="H78" s="6" t="str">
        <f t="shared" si="9"/>
        <v>2025_Dec_235</v>
      </c>
      <c r="I78" s="12" t="str">
        <f t="shared" si="10"/>
        <v>https://doi.org/10.1145/3770645</v>
      </c>
      <c r="J78" s="7">
        <f>IF(D78:D86&lt;&gt;"", VALUE(REGEXEXTRACT(D78:D86, "(\d+)\s+pages")), )
</f>
        <v>32</v>
      </c>
      <c r="K78" s="6" t="s">
        <v>45</v>
      </c>
      <c r="L78" s="7" t="str">
        <f t="shared" si="8"/>
        <v>No</v>
      </c>
      <c r="M78" s="7" t="s">
        <v>33</v>
      </c>
      <c r="N78" s="7" t="s">
        <v>33</v>
      </c>
      <c r="O78" s="7" t="s">
        <v>34</v>
      </c>
      <c r="P78" s="6"/>
      <c r="Q78" s="6" t="s">
        <v>502</v>
      </c>
      <c r="R78" s="7" t="s">
        <v>33</v>
      </c>
      <c r="S78" s="7" t="s">
        <v>34</v>
      </c>
      <c r="T78" s="6"/>
      <c r="U78" s="6" t="s">
        <v>503</v>
      </c>
      <c r="V78" s="7" t="s">
        <v>33</v>
      </c>
      <c r="W78" s="6" t="s">
        <v>504</v>
      </c>
      <c r="X78" s="7" t="s">
        <v>34</v>
      </c>
      <c r="Y78" s="6" t="s">
        <v>505</v>
      </c>
      <c r="Z78" s="7" t="s">
        <v>34</v>
      </c>
      <c r="AA78" s="6" t="s">
        <v>506</v>
      </c>
      <c r="AB78" s="6" t="s">
        <v>507</v>
      </c>
      <c r="AC78" s="6" t="s">
        <v>355</v>
      </c>
    </row>
    <row r="79" ht="22.5" customHeight="1">
      <c r="A79" s="11" t="str">
        <f>REGEXEXTRACT(D79, "\d{4}\.\s(.*?)\.\sProc\. ACM")"),"Multimodal Sensing and Modeling of Endocrine Therapy Adherence in Breast Cancer Survivors</f>
        <v xml:space="preserve">Multimodal Sensing and Modeling of Endocrine Therapy Adherence in Breast Cancer Survivors</v>
      </c>
      <c r="B79" s="7">
        <f t="shared" si="11"/>
        <v>236</v>
      </c>
      <c r="C79" s="8" t="s">
        <v>508</v>
      </c>
      <c r="D79" s="6" t="s">
        <v>509</v>
      </c>
      <c r="E79" s="9">
        <v>45998</v>
      </c>
      <c r="F79" s="7">
        <v>2025</v>
      </c>
      <c r="G79" s="7" t="s">
        <v>31</v>
      </c>
      <c r="H79" s="6" t="str">
        <f t="shared" si="9"/>
        <v>2025_Dec_236</v>
      </c>
      <c r="I79" s="12" t="str">
        <f t="shared" si="10"/>
        <v>https://doi.org/10.1145/3770864</v>
      </c>
      <c r="J79" s="7">
        <f>IF(D79:D86&lt;&gt;"", VALUE(REGEXEXTRACT(D79:D86, "(\d+)\s+pages")), )
</f>
        <v>33</v>
      </c>
      <c r="K79" s="6" t="s">
        <v>32</v>
      </c>
      <c r="L79" s="7" t="str">
        <f t="shared" si="8"/>
        <v>No</v>
      </c>
      <c r="M79" s="7" t="s">
        <v>33</v>
      </c>
      <c r="N79" s="7" t="s">
        <v>33</v>
      </c>
      <c r="O79" s="7" t="s">
        <v>33</v>
      </c>
      <c r="P79" s="10" t="s">
        <v>510</v>
      </c>
      <c r="Q79" s="6" t="s">
        <v>511</v>
      </c>
      <c r="R79" s="7" t="s">
        <v>33</v>
      </c>
      <c r="S79" s="7" t="s">
        <v>55</v>
      </c>
      <c r="T79" s="6"/>
      <c r="U79" s="6" t="s">
        <v>512</v>
      </c>
      <c r="V79" s="7" t="s">
        <v>33</v>
      </c>
      <c r="W79" s="6" t="s">
        <v>513</v>
      </c>
      <c r="X79" s="7" t="s">
        <v>33</v>
      </c>
      <c r="Y79" s="6" t="s">
        <v>514</v>
      </c>
      <c r="Z79" s="7" t="s">
        <v>144</v>
      </c>
      <c r="AA79" s="6" t="s">
        <v>515</v>
      </c>
      <c r="AB79" s="6" t="s">
        <v>516</v>
      </c>
      <c r="AC79" s="6" t="s">
        <v>355</v>
      </c>
    </row>
    <row r="80" ht="22.5" customHeight="1">
      <c r="A80" s="11" t="str">
        <f>REGEXEXTRACT(D80, "\d{4}\.\s(.*?)\.\sProc\. ACM")"),"Translation of Radar Signals into Latent Cardiac Event Space for Scalable, Annotation-free Heart Disease Diagnosis</f>
        <v xml:space="preserve">Translation of Radar Signals into Latent Cardiac Event Space for Scalable, Annotation-free Heart Disease Diagnosis</v>
      </c>
      <c r="B80" s="7">
        <f t="shared" si="11"/>
        <v>237</v>
      </c>
      <c r="C80" s="8" t="s">
        <v>517</v>
      </c>
      <c r="D80" s="6" t="s">
        <v>518</v>
      </c>
      <c r="E80" s="9">
        <v>45998</v>
      </c>
      <c r="F80" s="7">
        <v>2025</v>
      </c>
      <c r="G80" s="7" t="s">
        <v>31</v>
      </c>
      <c r="H80" s="6" t="str">
        <f t="shared" si="9"/>
        <v>2025_Dec_237</v>
      </c>
      <c r="I80" s="12" t="str">
        <f t="shared" si="10"/>
        <v>https://doi.org/10.1145/3770693</v>
      </c>
      <c r="J80" s="7">
        <f>IF(D80:D86&lt;&gt;"", VALUE(REGEXEXTRACT(D80:D86, "(\d+)\s+pages")), )
</f>
        <v>30</v>
      </c>
      <c r="K80" s="6" t="s">
        <v>348</v>
      </c>
      <c r="L80" s="7" t="str">
        <f t="shared" si="8"/>
        <v>No</v>
      </c>
      <c r="M80" s="7" t="s">
        <v>34</v>
      </c>
      <c r="N80" s="7" t="s">
        <v>33</v>
      </c>
      <c r="O80" s="7" t="s">
        <v>34</v>
      </c>
      <c r="P80" s="6"/>
      <c r="Q80" s="6" t="s">
        <v>519</v>
      </c>
      <c r="R80" s="7" t="s">
        <v>33</v>
      </c>
      <c r="S80" s="7" t="s">
        <v>144</v>
      </c>
      <c r="T80" s="6"/>
      <c r="U80" s="6" t="s">
        <v>520</v>
      </c>
      <c r="V80" s="7" t="s">
        <v>33</v>
      </c>
      <c r="W80" s="6" t="s">
        <v>521</v>
      </c>
      <c r="X80" s="7" t="s">
        <v>34</v>
      </c>
      <c r="Y80" s="6" t="s">
        <v>522</v>
      </c>
      <c r="Z80" s="7" t="s">
        <v>34</v>
      </c>
      <c r="AA80" s="6" t="s">
        <v>523</v>
      </c>
      <c r="AB80" s="6" t="s">
        <v>524</v>
      </c>
      <c r="AC80" s="6" t="s">
        <v>355</v>
      </c>
    </row>
    <row r="81" ht="22.5" customHeight="1">
      <c r="A81" s="11" t="str">
        <f>REGEXEXTRACT(D81, "\d{4}\.\s(.*?)\.\sProc\. ACM")"),"PocketMap: An Interaction-centric 3D Map Serving System for Spatial Understanding on Mobile Devices</f>
        <v xml:space="preserve">PocketMap: An Interaction-centric 3D Map Serving System for Spatial Understanding on Mobile Devices</v>
      </c>
      <c r="B81" s="7">
        <f t="shared" si="11"/>
        <v>238</v>
      </c>
      <c r="C81" s="8" t="s">
        <v>525</v>
      </c>
      <c r="D81" s="6" t="s">
        <v>526</v>
      </c>
      <c r="E81" s="9">
        <v>45998</v>
      </c>
      <c r="F81" s="7">
        <v>2025</v>
      </c>
      <c r="G81" s="7" t="s">
        <v>31</v>
      </c>
      <c r="H81" s="6" t="str">
        <f t="shared" si="9"/>
        <v>2025_Dec_238</v>
      </c>
      <c r="I81" s="12" t="str">
        <f t="shared" si="10"/>
        <v>https://doi.org/10.1145/3770680</v>
      </c>
      <c r="J81" s="7">
        <f>IF(D81:D86&lt;&gt;"", VALUE(REGEXEXTRACT(D81:D86, "(\d+)\s+pages")), )
</f>
        <v>28</v>
      </c>
      <c r="K81" s="6" t="s">
        <v>133</v>
      </c>
      <c r="L81" s="7" t="str">
        <f t="shared" si="8"/>
        <v>No</v>
      </c>
      <c r="M81" s="7" t="s">
        <v>34</v>
      </c>
      <c r="N81" s="7" t="s">
        <v>33</v>
      </c>
      <c r="O81" s="7" t="s">
        <v>34</v>
      </c>
      <c r="P81" s="6"/>
      <c r="Q81" s="6" t="s">
        <v>519</v>
      </c>
      <c r="R81" s="7" t="s">
        <v>33</v>
      </c>
      <c r="S81" s="7" t="s">
        <v>144</v>
      </c>
      <c r="T81" s="6"/>
      <c r="U81" s="6" t="s">
        <v>527</v>
      </c>
      <c r="V81" s="7" t="s">
        <v>33</v>
      </c>
      <c r="W81" s="6" t="s">
        <v>528</v>
      </c>
      <c r="X81" s="7" t="s">
        <v>33</v>
      </c>
      <c r="Y81" s="6" t="s">
        <v>529</v>
      </c>
      <c r="Z81" s="7" t="s">
        <v>34</v>
      </c>
      <c r="AA81" s="6" t="s">
        <v>530</v>
      </c>
      <c r="AB81" s="6" t="s">
        <v>531</v>
      </c>
      <c r="AC81" s="6" t="s">
        <v>355</v>
      </c>
    </row>
    <row r="82" ht="22.5" customHeight="1">
      <c r="A82" s="11" t="str">
        <f>REGEXEXTRACT(D82, "\d{4}\.\s(.*?)\.\sProc\. ACM")"),"VibeAlign: Maximizing Variation of Heart Beat in CSI of COTS Wi-Fi Devices via Signal Alignment</f>
        <v xml:space="preserve">VibeAlign: Maximizing Variation of Heart Beat in CSI of COTS Wi-Fi Devices via Signal Alignment</v>
      </c>
      <c r="B82" s="7">
        <f t="shared" si="11"/>
        <v>239</v>
      </c>
      <c r="C82" s="8" t="s">
        <v>532</v>
      </c>
      <c r="D82" s="6" t="s">
        <v>533</v>
      </c>
      <c r="E82" s="9">
        <v>45998</v>
      </c>
      <c r="F82" s="7">
        <v>2025</v>
      </c>
      <c r="G82" s="7" t="s">
        <v>31</v>
      </c>
      <c r="H82" s="6" t="str">
        <f t="shared" si="9"/>
        <v>2025_Dec_239</v>
      </c>
      <c r="I82" s="12" t="str">
        <f t="shared" si="10"/>
        <v>https://doi.org/10.1145/3770704</v>
      </c>
      <c r="J82" s="7">
        <f>IF(D82:D86&lt;&gt;"", VALUE(REGEXEXTRACT(D82:D86, "(\d+)\s+pages")), )
</f>
        <v>31</v>
      </c>
      <c r="K82" s="6" t="s">
        <v>32</v>
      </c>
      <c r="L82" s="7" t="str">
        <f t="shared" si="8"/>
        <v>No</v>
      </c>
      <c r="M82" s="7" t="s">
        <v>33</v>
      </c>
      <c r="N82" s="7" t="s">
        <v>33</v>
      </c>
      <c r="O82" s="7" t="s">
        <v>34</v>
      </c>
      <c r="P82" s="6"/>
      <c r="Q82" s="6" t="s">
        <v>534</v>
      </c>
      <c r="R82" s="7" t="s">
        <v>33</v>
      </c>
      <c r="S82" s="7" t="s">
        <v>34</v>
      </c>
      <c r="T82" s="6"/>
      <c r="U82" s="6" t="s">
        <v>535</v>
      </c>
      <c r="V82" s="7" t="s">
        <v>33</v>
      </c>
      <c r="W82" s="6" t="s">
        <v>536</v>
      </c>
      <c r="X82" s="7" t="s">
        <v>33</v>
      </c>
      <c r="Y82" s="6" t="s">
        <v>537</v>
      </c>
      <c r="Z82" s="7" t="s">
        <v>34</v>
      </c>
      <c r="AA82" s="6" t="s">
        <v>538</v>
      </c>
      <c r="AB82" s="6" t="s">
        <v>539</v>
      </c>
      <c r="AC82" s="6" t="s">
        <v>355</v>
      </c>
    </row>
    <row r="83" ht="22.5" customHeight="1">
      <c r="A83" s="11" t="str">
        <f>REGEXEXTRACT(D83, "\d{4}\.\s(.*?)\.\sProc\. ACM")"),"MagSkin: Enabling Touchless Human-Computer Interaction with Soft Epidermal Magnetic Material</f>
        <v xml:space="preserve">MagSkin: Enabling Touchless Human-Computer Interaction with Soft Epidermal Magnetic Material</v>
      </c>
      <c r="B83" s="7">
        <f t="shared" si="11"/>
        <v>240</v>
      </c>
      <c r="C83" s="8" t="s">
        <v>540</v>
      </c>
      <c r="D83" s="6" t="s">
        <v>541</v>
      </c>
      <c r="E83" s="9">
        <v>45998</v>
      </c>
      <c r="F83" s="7">
        <v>2025</v>
      </c>
      <c r="G83" s="7" t="s">
        <v>31</v>
      </c>
      <c r="H83" s="6" t="str">
        <f t="shared" si="9"/>
        <v>2025_Dec_240</v>
      </c>
      <c r="I83" s="12" t="str">
        <f t="shared" si="10"/>
        <v>https://doi.org/10.1145/3770675</v>
      </c>
      <c r="J83" s="7">
        <f>IF(D83:D86&lt;&gt;"", VALUE(REGEXEXTRACT(D83:D86, "(\d+)\s+pages")), )
</f>
        <v>30</v>
      </c>
      <c r="K83" s="6" t="s">
        <v>348</v>
      </c>
      <c r="L83" s="7" t="str">
        <f t="shared" si="8"/>
        <v>No</v>
      </c>
      <c r="M83" s="7" t="s">
        <v>34</v>
      </c>
      <c r="N83" s="7" t="s">
        <v>33</v>
      </c>
      <c r="O83" s="7" t="s">
        <v>34</v>
      </c>
      <c r="P83" s="6"/>
      <c r="Q83" s="6" t="s">
        <v>542</v>
      </c>
      <c r="R83" s="7" t="s">
        <v>33</v>
      </c>
      <c r="S83" s="7" t="s">
        <v>34</v>
      </c>
      <c r="T83" s="6"/>
      <c r="U83" s="6" t="s">
        <v>543</v>
      </c>
      <c r="V83" s="7" t="s">
        <v>33</v>
      </c>
      <c r="W83" s="6" t="s">
        <v>544</v>
      </c>
      <c r="X83" s="7" t="s">
        <v>34</v>
      </c>
      <c r="Y83" s="6" t="s">
        <v>545</v>
      </c>
      <c r="Z83" s="7" t="s">
        <v>34</v>
      </c>
      <c r="AA83" s="6" t="s">
        <v>546</v>
      </c>
      <c r="AB83" s="6" t="s">
        <v>547</v>
      </c>
      <c r="AC83" s="6" t="s">
        <v>355</v>
      </c>
    </row>
    <row r="84" ht="22.5" customHeight="1">
      <c r="A84" s="11" t="str">
        <f>REGEXEXTRACT(D84, "\d{4}\.\s(.*?)\.\sProc\. ACM")"),"Biobehavioral Rhythms in Everyday Life: Data and Models for Capturing Cyclic Behavior in Naturalistic Settings</f>
        <v xml:space="preserve">Biobehavioral Rhythms in Everyday Life: Data and Models for Capturing Cyclic Behavior in Naturalistic Settings</v>
      </c>
      <c r="B84" s="7">
        <f t="shared" si="11"/>
        <v>241</v>
      </c>
      <c r="C84" s="8" t="s">
        <v>548</v>
      </c>
      <c r="D84" s="6" t="s">
        <v>549</v>
      </c>
      <c r="E84" s="9">
        <v>45999</v>
      </c>
      <c r="F84" s="7">
        <v>2025</v>
      </c>
      <c r="G84" s="7" t="s">
        <v>31</v>
      </c>
      <c r="H84" s="6" t="str">
        <f t="shared" si="9"/>
        <v>2025_Dec_241</v>
      </c>
      <c r="I84" s="12" t="str">
        <f t="shared" si="10"/>
        <v>https://doi.org/10.1145/3770698</v>
      </c>
      <c r="J84" s="7">
        <f>IF(D84:D86&lt;&gt;"", VALUE(REGEXEXTRACT(D84:D86, "(\d+)\s+pages")), )
</f>
        <v>36</v>
      </c>
      <c r="K84" s="6" t="s">
        <v>53</v>
      </c>
      <c r="L84" s="7" t="str">
        <f t="shared" si="8"/>
        <v>No</v>
      </c>
      <c r="M84" s="7" t="s">
        <v>33</v>
      </c>
      <c r="N84" s="7" t="s">
        <v>33</v>
      </c>
      <c r="O84" s="7" t="s">
        <v>33</v>
      </c>
      <c r="P84" s="10" t="s">
        <v>550</v>
      </c>
      <c r="Q84" s="6" t="s">
        <v>551</v>
      </c>
      <c r="R84" s="7" t="s">
        <v>33</v>
      </c>
      <c r="S84" s="7" t="s">
        <v>33</v>
      </c>
      <c r="T84" s="12" t="s">
        <v>550</v>
      </c>
      <c r="U84" s="6" t="s">
        <v>552</v>
      </c>
      <c r="V84" s="7" t="s">
        <v>33</v>
      </c>
      <c r="W84" s="6" t="s">
        <v>553</v>
      </c>
      <c r="X84" s="7" t="s">
        <v>34</v>
      </c>
      <c r="Y84" s="6" t="s">
        <v>554</v>
      </c>
      <c r="Z84" s="7" t="s">
        <v>34</v>
      </c>
      <c r="AA84" s="6" t="s">
        <v>555</v>
      </c>
      <c r="AB84" s="6" t="s">
        <v>556</v>
      </c>
      <c r="AC84" s="6" t="s">
        <v>355</v>
      </c>
    </row>
    <row r="85" ht="22.5" customHeight="1">
      <c r="A85" s="11" t="str">
        <f>REGEXEXTRACT(D85, "\d{4}\.\s(.*?)\.\sProc\. ACM")"),"SpikeTouch: Optimizing Spike Neural Networks for Tactile Perception</f>
        <v xml:space="preserve">SpikeTouch: Optimizing Spike Neural Networks for Tactile Perception</v>
      </c>
      <c r="B85" s="7">
        <f t="shared" si="11"/>
        <v>242</v>
      </c>
      <c r="C85" s="8" t="s">
        <v>557</v>
      </c>
      <c r="D85" s="6" t="s">
        <v>558</v>
      </c>
      <c r="E85" s="9">
        <v>45999</v>
      </c>
      <c r="F85" s="7">
        <v>2025</v>
      </c>
      <c r="G85" s="7" t="s">
        <v>31</v>
      </c>
      <c r="H85" s="6" t="str">
        <f t="shared" si="9"/>
        <v>2025_Dec_242</v>
      </c>
      <c r="I85" s="12" t="str">
        <f t="shared" si="10"/>
        <v>https://doi.org/10.1145/3770658</v>
      </c>
      <c r="J85" s="7">
        <f>IF(D85:D86&lt;&gt;"", VALUE(REGEXEXTRACT(D85:D86, "(\d+)\s+pages")), )
</f>
        <v>24</v>
      </c>
      <c r="K85" s="6" t="s">
        <v>32</v>
      </c>
      <c r="L85" s="7" t="str">
        <f t="shared" si="8"/>
        <v>No</v>
      </c>
      <c r="M85" s="7" t="s">
        <v>34</v>
      </c>
      <c r="N85" s="7" t="s">
        <v>33</v>
      </c>
      <c r="O85" s="7" t="s">
        <v>34</v>
      </c>
      <c r="P85" s="6"/>
      <c r="Q85" s="6" t="s">
        <v>559</v>
      </c>
      <c r="R85" s="7" t="s">
        <v>33</v>
      </c>
      <c r="S85" s="7" t="s">
        <v>34</v>
      </c>
      <c r="T85" s="6"/>
      <c r="U85" s="6" t="s">
        <v>560</v>
      </c>
      <c r="V85" s="7" t="s">
        <v>33</v>
      </c>
      <c r="W85" s="6" t="s">
        <v>561</v>
      </c>
      <c r="X85" s="7" t="s">
        <v>33</v>
      </c>
      <c r="Y85" s="6" t="s">
        <v>562</v>
      </c>
      <c r="Z85" s="7" t="s">
        <v>34</v>
      </c>
      <c r="AA85" s="6" t="s">
        <v>563</v>
      </c>
      <c r="AB85" s="6" t="s">
        <v>564</v>
      </c>
      <c r="AC85" s="6" t="s">
        <v>355</v>
      </c>
    </row>
    <row r="86" ht="22.5" customHeight="1">
      <c r="A86" s="11" t="str">
        <f>REGEXEXTRACT(D86, "\d{4}\.\s(.*?)\.\sProc\. ACM")"),"From Motion to Localization: Cross-view Optimization with Stationary Event and RGB Cameras for Enhanced Pose Estimation</f>
        <v xml:space="preserve">From Motion to Localization: Cross-view Optimization with Stationary Event and RGB Cameras for Enhanced Pose Estimation</v>
      </c>
      <c r="B86" s="7">
        <f t="shared" si="11"/>
        <v>243</v>
      </c>
      <c r="C86" s="8" t="s">
        <v>565</v>
      </c>
      <c r="D86" s="6" t="s">
        <v>566</v>
      </c>
      <c r="E86" s="9">
        <v>45999</v>
      </c>
      <c r="F86" s="7">
        <v>2025</v>
      </c>
      <c r="G86" s="7" t="s">
        <v>31</v>
      </c>
      <c r="H86" s="6" t="str">
        <f t="shared" si="9"/>
        <v>2025_Dec_243</v>
      </c>
      <c r="I86" s="12" t="str">
        <f t="shared" si="10"/>
        <v>https://doi.org/10.1145/3770631</v>
      </c>
      <c r="J86" s="7">
        <f>IF(D86&lt;&gt;"", VALUE(REGEXEXTRACT(D86, "(\d+)\s+pages")), )
</f>
        <v>25</v>
      </c>
      <c r="K86" s="6" t="s">
        <v>209</v>
      </c>
      <c r="L86" s="7" t="str">
        <f t="shared" si="8"/>
        <v>No</v>
      </c>
      <c r="M86" s="7" t="s">
        <v>34</v>
      </c>
      <c r="N86" s="7" t="s">
        <v>33</v>
      </c>
      <c r="O86" s="7" t="s">
        <v>34</v>
      </c>
      <c r="P86" s="6"/>
      <c r="Q86" s="6" t="s">
        <v>567</v>
      </c>
      <c r="R86" s="7" t="s">
        <v>33</v>
      </c>
      <c r="S86" s="7" t="s">
        <v>34</v>
      </c>
      <c r="T86" s="6"/>
      <c r="U86" s="6" t="s">
        <v>568</v>
      </c>
      <c r="V86" s="7" t="s">
        <v>33</v>
      </c>
      <c r="W86" s="6" t="s">
        <v>569</v>
      </c>
      <c r="X86" s="7" t="s">
        <v>33</v>
      </c>
      <c r="Y86" s="6" t="s">
        <v>570</v>
      </c>
      <c r="Z86" s="7" t="s">
        <v>34</v>
      </c>
      <c r="AA86" s="6" t="s">
        <v>571</v>
      </c>
      <c r="AB86" s="6" t="s">
        <v>572</v>
      </c>
      <c r="AC86" s="6" t="s">
        <v>355</v>
      </c>
    </row>
  </sheetData>
  <conditionalFormatting sqref="P1 P3:P86 T24 T56">
    <cfRule type="colorScale" priority="3">
      <colorScale>
        <cfvo type="min"/>
        <cfvo type="max"/>
        <color indexed="65"/>
        <color rgb="FF57BB8A"/>
      </colorScale>
    </cfRule>
  </conditionalFormatting>
  <dataValidations count="2" disablePrompts="0">
    <dataValidation sqref="A2:A86 H2:I86 K2:K86 P2:Q86 T2:U86 W2:W86 Y2:Y86 AA2:AB86" type="none" allowBlank="1" errorStyle="stop" imeMode="noControl" operator="between" showDropDown="1" showErrorMessage="0" showInputMessage="0"/>
    <dataValidation sqref="D2:D86" type="none" allowBlank="1" errorStyle="stop" imeMode="noControl" operator="between" showDropDown="1" showErrorMessage="0" showInputMessage="0"/>
  </dataValidations>
  <hyperlinks>
    <hyperlink r:id="rId1" ref="C2"/>
    <hyperlink r:id="rId2" ref="C3"/>
    <hyperlink r:id="rId3" ref="C4"/>
    <hyperlink r:id="rId4" ref="P4"/>
    <hyperlink r:id="rId5" ref="C5"/>
    <hyperlink r:id="rId6" ref="P5"/>
    <hyperlink r:id="rId7" ref="T5"/>
    <hyperlink r:id="rId8" ref="C6"/>
    <hyperlink r:id="rId9" ref="C7"/>
    <hyperlink r:id="rId10" ref="P7"/>
    <hyperlink r:id="rId11" ref="C8"/>
    <hyperlink r:id="rId12" ref="C9"/>
    <hyperlink r:id="rId13" ref="T9"/>
    <hyperlink r:id="rId14" ref="C10"/>
    <hyperlink r:id="rId15" ref="C11"/>
    <hyperlink r:id="rId16" ref="P11"/>
    <hyperlink r:id="rId17" ref="C12"/>
    <hyperlink r:id="rId18" ref="C13"/>
    <hyperlink r:id="rId19" ref="P13"/>
    <hyperlink r:id="rId19" ref="T13"/>
    <hyperlink r:id="rId20" ref="C14"/>
    <hyperlink r:id="rId21" ref="C15"/>
    <hyperlink r:id="rId22" ref="C16"/>
    <hyperlink r:id="rId23" ref="C17"/>
    <hyperlink r:id="rId24" ref="C18"/>
    <hyperlink r:id="rId25" ref="T18"/>
    <hyperlink r:id="rId26" ref="C19"/>
    <hyperlink r:id="rId27" ref="C20"/>
    <hyperlink r:id="rId28" ref="C21"/>
    <hyperlink r:id="rId29" ref="C22"/>
    <hyperlink r:id="rId30" ref="C23"/>
    <hyperlink r:id="rId31" ref="P23"/>
    <hyperlink r:id="rId31" ref="T23"/>
    <hyperlink r:id="rId32" ref="C24"/>
    <hyperlink r:id="rId33" ref="P24"/>
    <hyperlink r:id="rId33" ref="T24"/>
    <hyperlink r:id="rId34" ref="C25"/>
    <hyperlink r:id="rId35" ref="C26"/>
    <hyperlink r:id="rId36" ref="C27"/>
    <hyperlink r:id="rId37" ref="C28"/>
    <hyperlink r:id="rId38" ref="C29"/>
    <hyperlink r:id="rId39" ref="C30"/>
    <hyperlink r:id="rId40" ref="C31"/>
    <hyperlink r:id="rId41" ref="C32"/>
    <hyperlink r:id="rId42" ref="C33"/>
    <hyperlink r:id="rId43" ref="C34"/>
    <hyperlink r:id="rId44" ref="C35"/>
    <hyperlink r:id="rId45" ref="P35"/>
    <hyperlink r:id="rId46" ref="C36"/>
    <hyperlink r:id="rId47" ref="P36"/>
    <hyperlink r:id="rId47" ref="T36"/>
    <hyperlink r:id="rId48" ref="C37"/>
    <hyperlink r:id="rId49" ref="C38"/>
    <hyperlink r:id="rId50" ref="C39"/>
    <hyperlink r:id="rId51" ref="C40"/>
    <hyperlink r:id="rId52" ref="C41"/>
    <hyperlink r:id="rId53" ref="C42"/>
    <hyperlink r:id="rId54" ref="P42"/>
    <hyperlink r:id="rId55" ref="T42"/>
    <hyperlink r:id="rId56" ref="C43"/>
    <hyperlink r:id="rId57" ref="C44"/>
    <hyperlink r:id="rId58" ref="P44"/>
    <hyperlink r:id="rId58" ref="T44"/>
    <hyperlink r:id="rId59" ref="C45"/>
    <hyperlink r:id="rId60" ref="C46"/>
    <hyperlink r:id="rId61" ref="P46"/>
    <hyperlink r:id="rId61" ref="T46"/>
    <hyperlink r:id="rId62" ref="C47"/>
    <hyperlink r:id="rId63" ref="P47"/>
    <hyperlink r:id="rId64" ref="T47"/>
    <hyperlink r:id="rId65" ref="C48"/>
    <hyperlink r:id="rId66" ref="C49"/>
    <hyperlink r:id="rId67" ref="P49"/>
    <hyperlink r:id="rId67" ref="T49"/>
    <hyperlink r:id="rId68" ref="C50"/>
    <hyperlink r:id="rId69" ref="C51"/>
    <hyperlink r:id="rId70" ref="C52"/>
    <hyperlink r:id="rId71" ref="C53"/>
    <hyperlink r:id="rId72" ref="C54"/>
    <hyperlink r:id="rId73" ref="P54"/>
    <hyperlink r:id="rId74" ref="C55"/>
    <hyperlink r:id="rId75" ref="C56"/>
    <hyperlink r:id="rId76" ref="D56"/>
    <hyperlink r:id="rId77" ref="P56"/>
    <hyperlink r:id="rId78" ref="Q56"/>
    <hyperlink r:id="rId77" ref="T56"/>
    <hyperlink r:id="rId79" ref="C57"/>
    <hyperlink r:id="rId80" ref="D57"/>
    <hyperlink r:id="rId81" ref="C58"/>
    <hyperlink r:id="rId82" ref="T58"/>
    <hyperlink r:id="rId83" ref="C59"/>
    <hyperlink r:id="rId84" ref="C60"/>
    <hyperlink r:id="rId85" ref="C61"/>
    <hyperlink r:id="rId86" ref="C62"/>
    <hyperlink r:id="rId87" ref="C63"/>
    <hyperlink r:id="rId88" ref="C64"/>
    <hyperlink r:id="rId89" ref="C65"/>
    <hyperlink r:id="rId90" ref="C66"/>
    <hyperlink r:id="rId91" ref="C67"/>
    <hyperlink r:id="rId92" ref="C68"/>
    <hyperlink r:id="rId93" ref="T68"/>
    <hyperlink r:id="rId94" ref="C69"/>
    <hyperlink r:id="rId95" ref="T69"/>
    <hyperlink r:id="rId96" ref="C70"/>
    <hyperlink r:id="rId97" ref="D70"/>
    <hyperlink r:id="rId98" ref="C71"/>
    <hyperlink r:id="rId99" ref="D71"/>
    <hyperlink r:id="rId100" ref="C72"/>
    <hyperlink r:id="rId101" ref="P72"/>
    <hyperlink r:id="rId101" ref="T72"/>
    <hyperlink r:id="rId102" ref="C73"/>
    <hyperlink r:id="rId103" ref="P73"/>
    <hyperlink r:id="rId104" ref="C74"/>
    <hyperlink r:id="rId105" ref="P74"/>
    <hyperlink r:id="rId106" ref="C75"/>
    <hyperlink r:id="rId107" ref="C76"/>
    <hyperlink r:id="rId108" ref="T76"/>
    <hyperlink r:id="rId109" ref="C77"/>
    <hyperlink r:id="rId110" ref="T77"/>
    <hyperlink r:id="rId111" ref="C78"/>
    <hyperlink r:id="rId112" ref="C79"/>
    <hyperlink r:id="rId113" ref="P79"/>
    <hyperlink r:id="rId114" ref="C80"/>
    <hyperlink r:id="rId115" ref="C81"/>
    <hyperlink r:id="rId116" ref="C82"/>
    <hyperlink r:id="rId117" ref="C83"/>
    <hyperlink r:id="rId118" ref="C84"/>
    <hyperlink r:id="rId119" ref="P84"/>
    <hyperlink r:id="rId119" ref="T84"/>
    <hyperlink r:id="rId120" ref="C85"/>
    <hyperlink r:id="rId121" ref="C86"/>
  </hyperlinks>
  <printOptions headings="0" gridLines="1" horizontalCentered="1"/>
  <pageMargins left="0.25" right="0.25" top="0.75" bottom="0.75" header="0" footer="0"/>
  <pageSetup paperSize="9" scale="100" fitToWidth="1" fitToHeight="0" pageOrder="overThenDown" orientation="landscape" usePrinterDefaults="1" blackAndWhite="0" draft="0" cellComments="atEnd" useFirstPageNumber="0" errors="displayed" horizontalDpi="600" verticalDpi="600" copies="1"/>
  <headerFooter/>
  <tableParts count="1">
    <tablePart r:id="rId122"/>
  </tableParts>
  <extLst>
    <ext xmlns:x14="http://schemas.microsoft.com/office/spreadsheetml/2009/9/main" uri="{78C0D931-6437-407d-A8EE-F0AAD7539E65}">
      <x14:conditionalFormattings>
        <x14:conditionalFormatting xmlns:xm="http://schemas.microsoft.com/office/excel/2006/main">
          <x14:cfRule type="expression" priority="1" id="{7036C042-719C-4AFA-BE4E-E759832F8A54}">
            <xm:f>AND(REGEXMATCH($S35,"^(Yes|Partially)$"), ISBLANK($U35))</xm:f>
            <x14:dxf>
              <font/>
              <fill>
                <patternFill patternType="solid">
                  <fgColor rgb="FFE68282"/>
                  <bgColor rgb="FFE68282"/>
                </patternFill>
              </fill>
              <border>
                <left/>
                <right/>
                <top/>
                <bottom/>
                <diagonal/>
              </border>
            </x14:dxf>
          </x14:cfRule>
          <xm:sqref>U35</xm:sqref>
        </x14:conditionalFormatting>
        <x14:conditionalFormatting xmlns:xm="http://schemas.microsoft.com/office/excel/2006/main">
          <x14:cfRule type="expression" priority="2" id="{97310002-2686-4786-9A99-F3D20B08D53C}">
            <xm:f>AND(REGEXMATCH($S34,"^(Yes|Partially)$"), ISBLANK($U34))</xm:f>
            <x14:dxf>
              <font/>
              <fill>
                <patternFill patternType="solid">
                  <fgColor rgb="FFE68282"/>
                  <bgColor rgb="FFE68282"/>
                </patternFill>
              </fill>
              <border>
                <left/>
                <right/>
                <top/>
                <bottom/>
                <diagonal/>
              </border>
            </x14:dxf>
          </x14:cfRule>
          <xm:sqref>U34</xm:sqref>
        </x14:conditionalFormatting>
        <x14:conditionalFormatting xmlns:xm="http://schemas.microsoft.com/office/excel/2006/main">
          <x14:cfRule type="expression" priority="4" id="{49BDC7F3-670A-479A-9A2B-0D4E2FCBA89B}">
            <xm:f>AND(REGEXMATCH($O3,"^(Yes|Partially)$"), ISBLANK($P3))</xm:f>
            <x14:dxf>
              <font/>
              <fill>
                <patternFill patternType="solid">
                  <fgColor rgb="FFE68282"/>
                  <bgColor rgb="FFE68282"/>
                </patternFill>
              </fill>
              <border>
                <left/>
                <right/>
                <top/>
                <bottom/>
                <diagonal/>
              </border>
            </x14:dxf>
          </x14:cfRule>
          <xm:sqref>P3:P86 T24 T56</xm:sqref>
        </x14:conditionalFormatting>
        <x14:conditionalFormatting xmlns:xm="http://schemas.microsoft.com/office/excel/2006/main">
          <x14:cfRule type="expression" priority="5" id="{6C90DEB8-EFED-4316-A7EB-F8A0E02BBDD0}">
            <xm:f>AND(REGEXMATCH($S3,"^(Yes|Partially)$"), ISBLANK($T3))</xm:f>
            <x14:dxf>
              <font/>
              <fill>
                <patternFill patternType="solid">
                  <fgColor rgb="FFE68282"/>
                  <bgColor rgb="FFE68282"/>
                </patternFill>
              </fill>
              <border>
                <left/>
                <right/>
                <top/>
                <bottom/>
                <diagonal/>
              </border>
            </x14:dxf>
          </x14:cfRule>
          <xm:sqref>T3:T33 T36:T86</xm:sqref>
        </x14:conditionalFormatting>
        <x14:conditionalFormatting xmlns:xm="http://schemas.microsoft.com/office/excel/2006/main">
          <x14:cfRule type="expression" priority="6" id="{296DB5A3-169B-4F1D-ABC7-655E08D02320}">
            <xm:f>AND($V3="Yes", ISBLANK($W3))</xm:f>
            <x14:dxf>
              <font/>
              <fill>
                <patternFill patternType="solid">
                  <fgColor rgb="FFE68282"/>
                  <bgColor rgb="FFE68282"/>
                </patternFill>
              </fill>
              <border>
                <left/>
                <right/>
                <top/>
                <bottom/>
                <diagonal/>
              </border>
            </x14:dxf>
          </x14:cfRule>
          <xm:sqref>W3:W86</xm:sqref>
        </x14:conditionalFormatting>
        <x14:conditionalFormatting xmlns:xm="http://schemas.microsoft.com/office/excel/2006/main">
          <x14:cfRule type="expression" priority="7" id="{F178C350-3D9A-47EB-ABEE-93B37783B510}">
            <xm:f>AND($X3="Yes", ISBLANK($Y3))</xm:f>
            <x14:dxf>
              <font/>
              <fill>
                <patternFill patternType="solid">
                  <fgColor rgb="FFE68282"/>
                  <bgColor rgb="FFE68282"/>
                </patternFill>
              </fill>
              <border>
                <left/>
                <right/>
                <top/>
                <bottom/>
                <diagonal/>
              </border>
            </x14:dxf>
          </x14:cfRule>
          <xm:sqref>Y3:Y86</xm:sqref>
        </x14:conditionalFormatting>
      </x14:conditionalFormattings>
    </ext>
    <ext xmlns:x14="http://schemas.microsoft.com/office/spreadsheetml/2009/9/main" uri="{CCE6A557-97BC-4b89-ADB6-D9C93CAAB3DF}">
      <x14:dataValidations xmlns:xm="http://schemas.microsoft.com/office/excel/2006/main" count="10" disablePrompts="0">
        <x14:dataValidation xr:uid="{D71594A9-824F-411F-9807-845FF6725C9E}" type="list" allowBlank="1" errorStyle="stop" imeMode="noControl" operator="between" showDropDown="0" showErrorMessage="0" showInputMessage="0">
          <x14:formula1>
            <xm:f>"Yes,No"</xm:f>
          </x14:formula1>
          <xm:sqref>L2:L86</xm:sqref>
        </x14:dataValidation>
        <x14:dataValidation xr:uid="{5F3EE9A3-0A3F-4BA2-812E-D7DEB0C9889D}" type="list" allowBlank="1" errorStyle="stop" imeMode="noControl" operator="between" showDropDown="0" showErrorMessage="0" showInputMessage="0">
          <x14:formula1>
            <xm:f>"Yes,No,Unknown"</xm:f>
          </x14:formula1>
          <xm:sqref>R2:R86</xm:sqref>
        </x14:dataValidation>
        <x14:dataValidation xr:uid="{67307010-373C-4BEB-AFFD-63A9DB072789}" type="list" allowBlank="1" errorStyle="stop" imeMode="noControl" operator="between" showDropDown="0" showErrorMessage="0" showInputMessage="0">
          <x14:formula1>
            <xm:f>"Yes,No,Unknown"</xm:f>
          </x14:formula1>
          <xm:sqref>N2:N86</xm:sqref>
        </x14:dataValidation>
        <x14:dataValidation xr:uid="{CA3C71A0-0D09-40C7-9A7D-6919B21ED385}" type="list" allowBlank="1" errorStyle="stop" imeMode="noControl" operator="between" showDropDown="0" showErrorMessage="0" showInputMessage="0">
          <x14:formula1>
            <xm:f>"Yes,No,Partially,Unknown,N/A"</xm:f>
          </x14:formula1>
          <xm:sqref>Z2:Z86</xm:sqref>
        </x14:dataValidation>
        <x14:dataValidation xr:uid="{24675D0E-2E0E-4EEC-933E-30D3A4F8BE91}" type="custom" allowBlank="1" errorStyle="stop" imeMode="noControl" operator="between" showDropDown="1" showErrorMessage="0" showInputMessage="0">
          <x14:formula1>
            <xm:f>AND(ISNUMBER(B2),(NOT(OR(NOT(ISERROR(DATEVALUE(B2))), AND(ISNUMBER(B2), LEFT(CELL("format", B2))="D")))))</xm:f>
          </x14:formula1>
          <xm:sqref>B2:B86 F2:F86 J2:J86</xm:sqref>
        </x14:dataValidation>
        <x14:dataValidation xr:uid="{DD432B00-F7B7-4C20-BB0F-3EBF67B48D6C}" type="custom" allowBlank="1" errorStyle="stop" imeMode="noControl" operator="between" showDropDown="1" showErrorMessage="0" showInputMessage="0">
          <x14:formula1>
            <xm:f>OR(NOT(ISERROR(DATEVALUE(E2))), AND(ISNUMBER(E2), LEFT(CELL("format", E2))="D"))</xm:f>
          </x14:formula1>
          <xm:sqref>E2:E86</xm:sqref>
        </x14:dataValidation>
        <x14:dataValidation xr:uid="{9EAC3549-ACCB-4F0E-98EB-F78A392504E1}" type="list" allowBlank="1" errorStyle="stop" imeMode="noControl" operator="between" showDropDown="0" showErrorMessage="0" showInputMessage="0">
          <x14:formula1>
            <xm:f>"Yes,No,Unknown"</xm:f>
          </x14:formula1>
          <xm:sqref>M2:M86</xm:sqref>
        </x14:dataValidation>
        <x14:dataValidation xr:uid="{A21DC5DA-59C2-469B-94EF-6DE839015434}" type="list" allowBlank="1" errorStyle="stop" imeMode="noControl" operator="between" showDropDown="0" showErrorMessage="0" showInputMessage="0">
          <x14:formula1>
            <xm:f>"Yes,No,Unknown,N/A"</xm:f>
          </x14:formula1>
          <xm:sqref>V2:V86 X2:X86</xm:sqref>
        </x14:dataValidation>
        <x14:dataValidation xr:uid="{C7F8780B-9D70-4C5B-A11D-6429B16554C3}" type="list" allowBlank="1" errorStyle="stop" imeMode="noControl" operator="between" showDropDown="0" showErrorMessage="0" showInputMessage="0">
          <x14:formula1>
            <xm:f>"Yes,No,Partially,Unknown,N/A,Upon_request"</xm:f>
          </x14:formula1>
          <xm:sqref>O2:O86 S2:S86</xm:sqref>
        </x14:dataValidation>
        <x14:dataValidation xr:uid="{3B32E4DC-D6F4-4585-8018-D38B01A9C44A}" type="list" allowBlank="1" errorStyle="stop" imeMode="noControl" operator="between" showDropDown="0" showErrorMessage="0" showInputMessage="0">
          <x14:formula1>
            <xm:f>"Mar,Jun,Sep,Dec"</xm:f>
          </x14:formula1>
          <xm:sqref>G2:G86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1"/>
  </sheetPr>
  <sheetViews>
    <sheetView zoomScale="100" workbookViewId="0">
      <pane xSplit="2" ySplit="1" topLeftCell="C2" activePane="bottomRight" state="frozen"/>
      <selection activeCell="C2" activeCellId="0" sqref="C2"/>
    </sheetView>
  </sheetViews>
  <sheetFormatPr defaultColWidth="12.630000000000001" defaultRowHeight="15.75" customHeight="1"/>
  <cols>
    <col customWidth="1" min="1" max="1" width="24.25"/>
    <col customWidth="1" min="2" max="2" width="20.129999999999999"/>
    <col customWidth="1" min="3" max="3" width="21"/>
    <col customWidth="1" min="4" max="4" width="14.75"/>
    <col customWidth="1" min="6" max="6" width="11.880000000000001"/>
    <col customWidth="1" min="7" max="7" width="12.630000000000001"/>
    <col customWidth="1" min="8" max="8" width="15.130000000000001"/>
    <col customWidth="1" min="9" max="9" width="28"/>
    <col customWidth="1" min="10" max="10" width="18.879999999999999"/>
    <col customWidth="1" min="11" max="11" width="36.75"/>
    <col customWidth="1" min="12" max="12" width="21.379999999999999"/>
    <col customWidth="1" min="13" max="13" width="18.879999999999999"/>
    <col customWidth="1" min="14" max="14" width="19.879999999999999"/>
    <col customWidth="1" min="15" max="16" width="19.75"/>
    <col customWidth="1" min="17" max="17" width="34.5"/>
    <col customWidth="1" min="18" max="18" width="19"/>
    <col customWidth="1" min="19" max="19" width="19.379999999999999"/>
    <col customWidth="1" min="20" max="21" width="19.75"/>
    <col customWidth="1" min="22" max="22" width="22.629999999999999"/>
    <col customWidth="1" min="23" max="23" width="32.630000000000003"/>
    <col customWidth="1" min="24" max="24" width="22.629999999999999"/>
    <col customWidth="1" min="25" max="25" width="25.5"/>
    <col customWidth="1" min="26" max="26" width="27.25"/>
    <col customWidth="1" min="27" max="27" width="39.25"/>
    <col customWidth="1" min="28" max="29" width="34.130000000000003"/>
  </cols>
  <sheetData>
    <row r="1" ht="22.5" customHeight="1">
      <c r="A1" s="1" t="s">
        <v>0</v>
      </c>
      <c r="B1" s="2" t="s">
        <v>1</v>
      </c>
      <c r="C1" s="3" t="s">
        <v>2</v>
      </c>
      <c r="D1" s="3" t="s">
        <v>3</v>
      </c>
      <c r="E1" s="3" t="s">
        <v>4</v>
      </c>
      <c r="F1" s="2" t="s">
        <v>5</v>
      </c>
      <c r="G1" s="2" t="s">
        <v>6</v>
      </c>
      <c r="H1" s="2" t="s">
        <v>7</v>
      </c>
      <c r="I1" s="2" t="s">
        <v>8</v>
      </c>
      <c r="J1" s="2" t="s">
        <v>9</v>
      </c>
      <c r="K1" s="2" t="s">
        <v>10</v>
      </c>
      <c r="L1" s="2" t="s">
        <v>11</v>
      </c>
      <c r="M1" s="2" t="s">
        <v>12</v>
      </c>
      <c r="N1" s="4" t="s">
        <v>13</v>
      </c>
      <c r="O1" s="4" t="s">
        <v>14</v>
      </c>
      <c r="P1" s="4" t="s">
        <v>15</v>
      </c>
      <c r="Q1" s="4" t="s">
        <v>16</v>
      </c>
      <c r="R1" s="5" t="s">
        <v>17</v>
      </c>
      <c r="S1" s="5" t="s">
        <v>18</v>
      </c>
      <c r="T1" s="5" t="s">
        <v>19</v>
      </c>
      <c r="U1" s="5" t="s">
        <v>20</v>
      </c>
      <c r="V1" s="2" t="s">
        <v>21</v>
      </c>
      <c r="W1" s="3" t="s">
        <v>22</v>
      </c>
      <c r="X1" s="2" t="s">
        <v>23</v>
      </c>
      <c r="Y1" s="3" t="s">
        <v>24</v>
      </c>
      <c r="Z1" s="2" t="s">
        <v>25</v>
      </c>
      <c r="AA1" s="3" t="s">
        <v>26</v>
      </c>
      <c r="AB1" s="3" t="s">
        <v>27</v>
      </c>
      <c r="AC1" s="3" t="s">
        <v>28</v>
      </c>
    </row>
    <row r="2" ht="22.5" customHeight="1">
      <c r="A2" s="11" t="str">
        <f>REGEXEXTRACT(D2, "\d{4}\.\s(.*?)\.\sProc\. ACM")"),"Enabling Collaborative Anomaly Exploration in Smart Homes: Eliciting User Requirements and Security Scenarios</f>
        <v xml:space="preserve">Enabling Collaborative Anomaly Exploration in Smart Homes: Eliciting User Requirements and Security Scenarios</v>
      </c>
      <c r="B2" s="7">
        <f t="shared" ref="B2:B9" si="12">IFERROR(VALUE(REGEXEXTRACT(D2,"Article\s+(\d+)")),"")</f>
        <v>68</v>
      </c>
      <c r="C2" s="8" t="s">
        <v>573</v>
      </c>
      <c r="D2" s="10" t="s">
        <v>574</v>
      </c>
      <c r="E2" s="9">
        <v>45939</v>
      </c>
      <c r="F2" s="7">
        <v>2025</v>
      </c>
      <c r="G2" s="7" t="s">
        <v>575</v>
      </c>
      <c r="H2" s="6" t="str">
        <f t="shared" ref="H2:H65" si="13">TEXT($F2,"0000") &amp; "_" &amp; $G2 &amp; "_" &amp; TEXT($B2,"000")</f>
        <v>2025_Sep_068</v>
      </c>
      <c r="I2" s="12" t="str">
        <f t="shared" ref="I2:I65" si="14">CONCATENATE("https",RIGHT(D2,LEN(D2) - (FIND("://",D2) - 1)))</f>
        <v>https://doi.org/10.1145/3749490</v>
      </c>
      <c r="J2" s="7">
        <f>ARRAYFORMULA(IF(D2:D91&lt;&gt;"", VALUE(REGEXEXTRACT(D2:D91, "(\d+)\s+pages")), ))
</f>
        <v>34</v>
      </c>
      <c r="K2" s="6" t="s">
        <v>42</v>
      </c>
      <c r="L2" s="7" t="str">
        <f t="shared" ref="L2:L9" si="15">IF(REGEXMATCH(LOWER($A2),"(^|[^a-z])dataset(s)?([^a-z]|$)"),"Yes","No")"),"No</f>
        <v>No</v>
      </c>
      <c r="M2" s="7" t="s">
        <v>34</v>
      </c>
      <c r="N2" s="7" t="s">
        <v>34</v>
      </c>
      <c r="O2" s="7" t="s">
        <v>35</v>
      </c>
      <c r="P2" s="6"/>
      <c r="Q2" s="6"/>
      <c r="R2" s="7" t="s">
        <v>34</v>
      </c>
      <c r="S2" s="7" t="s">
        <v>35</v>
      </c>
      <c r="T2" s="6"/>
      <c r="U2" s="6"/>
      <c r="V2" s="7" t="s">
        <v>34</v>
      </c>
      <c r="W2" s="6" t="s">
        <v>576</v>
      </c>
      <c r="X2" s="7" t="s">
        <v>34</v>
      </c>
      <c r="Y2" s="13"/>
      <c r="Z2" s="7" t="s">
        <v>35</v>
      </c>
      <c r="AA2" s="6" t="s">
        <v>577</v>
      </c>
      <c r="AB2" s="6" t="s">
        <v>578</v>
      </c>
      <c r="AC2" s="6" t="s">
        <v>39</v>
      </c>
    </row>
    <row r="3" ht="22.5" customHeight="1">
      <c r="A3" s="11" t="str">
        <f>REGEXEXTRACT(D3, "\d{4}\.\s(.*?)\.\sProc\. ACM")"),"MM-RunAssist: mmWave-based Respiratory and Running Rhythm Analysis during Treadmill Workouts</f>
        <v xml:space="preserve">MM-RunAssist: mmWave-based Respiratory and Running Rhythm Analysis during Treadmill Workouts</v>
      </c>
      <c r="B3" s="7">
        <f t="shared" si="12"/>
        <v>69</v>
      </c>
      <c r="C3" s="8" t="s">
        <v>579</v>
      </c>
      <c r="D3" s="10" t="s">
        <v>580</v>
      </c>
      <c r="E3" s="9">
        <v>45939</v>
      </c>
      <c r="F3" s="7">
        <v>2025</v>
      </c>
      <c r="G3" s="7" t="s">
        <v>575</v>
      </c>
      <c r="H3" s="13" t="str">
        <f t="shared" si="13"/>
        <v>2025_Sep_069</v>
      </c>
      <c r="I3" s="10" t="str">
        <f t="shared" si="14"/>
        <v>https://doi.org/10.1145/3749458</v>
      </c>
      <c r="J3" s="7">
        <f t="shared" ref="J3:J66" si="16">"COMPUTED_VALUE"</f>
        <v>24</v>
      </c>
      <c r="K3" s="6" t="s">
        <v>32</v>
      </c>
      <c r="L3" s="24" t="str">
        <f t="shared" si="15"/>
        <v>No</v>
      </c>
      <c r="M3" s="7" t="s">
        <v>33</v>
      </c>
      <c r="N3" s="7" t="s">
        <v>33</v>
      </c>
      <c r="O3" s="7" t="s">
        <v>34</v>
      </c>
      <c r="P3" s="13"/>
      <c r="Q3" s="6" t="s">
        <v>581</v>
      </c>
      <c r="R3" s="7" t="s">
        <v>33</v>
      </c>
      <c r="S3" s="7" t="s">
        <v>34</v>
      </c>
      <c r="T3" s="13"/>
      <c r="U3" s="6" t="s">
        <v>582</v>
      </c>
      <c r="V3" s="7" t="s">
        <v>33</v>
      </c>
      <c r="W3" s="6" t="s">
        <v>583</v>
      </c>
      <c r="X3" s="7" t="s">
        <v>34</v>
      </c>
      <c r="Y3" s="13"/>
      <c r="Z3" s="7" t="s">
        <v>34</v>
      </c>
      <c r="AA3" s="6" t="s">
        <v>584</v>
      </c>
      <c r="AB3" s="6" t="s">
        <v>585</v>
      </c>
      <c r="AC3" s="6" t="s">
        <v>39</v>
      </c>
    </row>
    <row r="4" ht="22.5" customHeight="1">
      <c r="A4" s="11" t="str">
        <f>REGEXEXTRACT(D4, "\d{4}\.\s(.*?)\.\sProc\. ACM")"),"MetaTwin: A Collaborative XR Platform for Seamless Physical-Virtual Synchronization</f>
        <v xml:space="preserve">MetaTwin: A Collaborative XR Platform for Seamless Physical-Virtual Synchronization</v>
      </c>
      <c r="B4" s="7">
        <f t="shared" si="12"/>
        <v>70</v>
      </c>
      <c r="C4" s="8" t="s">
        <v>586</v>
      </c>
      <c r="D4" s="10" t="s">
        <v>587</v>
      </c>
      <c r="E4" s="9">
        <v>45939</v>
      </c>
      <c r="F4" s="7">
        <v>2025</v>
      </c>
      <c r="G4" s="7" t="s">
        <v>575</v>
      </c>
      <c r="H4" s="13" t="str">
        <f t="shared" si="13"/>
        <v>2025_Sep_070</v>
      </c>
      <c r="I4" s="10" t="str">
        <f t="shared" si="14"/>
        <v>https://doi.org/10.1145/3749533</v>
      </c>
      <c r="J4" s="7">
        <f t="shared" si="16"/>
        <v>32</v>
      </c>
      <c r="K4" s="6" t="s">
        <v>32</v>
      </c>
      <c r="L4" s="24" t="str">
        <f t="shared" si="15"/>
        <v>No</v>
      </c>
      <c r="M4" s="7" t="s">
        <v>33</v>
      </c>
      <c r="N4" s="7" t="s">
        <v>33</v>
      </c>
      <c r="O4" s="7" t="s">
        <v>34</v>
      </c>
      <c r="P4" s="13"/>
      <c r="Q4" s="13"/>
      <c r="R4" s="7" t="s">
        <v>34</v>
      </c>
      <c r="S4" s="7" t="s">
        <v>34</v>
      </c>
      <c r="T4" s="13"/>
      <c r="U4" s="13"/>
      <c r="V4" s="7" t="s">
        <v>33</v>
      </c>
      <c r="W4" s="6" t="s">
        <v>588</v>
      </c>
      <c r="X4" s="7" t="s">
        <v>33</v>
      </c>
      <c r="Y4" s="6" t="s">
        <v>589</v>
      </c>
      <c r="Z4" s="7" t="s">
        <v>34</v>
      </c>
      <c r="AA4" s="6" t="s">
        <v>590</v>
      </c>
      <c r="AB4" s="6" t="s">
        <v>591</v>
      </c>
      <c r="AC4" s="6" t="s">
        <v>39</v>
      </c>
    </row>
    <row r="5" ht="22.5" customHeight="1">
      <c r="A5" s="11" t="str">
        <f>REGEXEXTRACT(D5, "\d{4}\.\s(.*?)\.\sProc\. ACM")"),"HPIPainting: A Hand-Pen Interaction for VR Painting</f>
        <v xml:space="preserve">HPIPainting: A Hand-Pen Interaction for VR Painting</v>
      </c>
      <c r="B5" s="7">
        <f t="shared" si="12"/>
        <v>71</v>
      </c>
      <c r="C5" s="8" t="s">
        <v>592</v>
      </c>
      <c r="D5" s="10" t="s">
        <v>593</v>
      </c>
      <c r="E5" s="9">
        <v>45939</v>
      </c>
      <c r="F5" s="7">
        <v>2025</v>
      </c>
      <c r="G5" s="7" t="s">
        <v>575</v>
      </c>
      <c r="H5" s="13" t="str">
        <f t="shared" si="13"/>
        <v>2025_Sep_071</v>
      </c>
      <c r="I5" s="10" t="str">
        <f t="shared" si="14"/>
        <v>https://doi.org/10.1145/3749538</v>
      </c>
      <c r="J5" s="7">
        <f t="shared" si="16"/>
        <v>26</v>
      </c>
      <c r="K5" s="6" t="s">
        <v>32</v>
      </c>
      <c r="L5" s="24" t="str">
        <f t="shared" si="15"/>
        <v>No</v>
      </c>
      <c r="M5" s="7" t="s">
        <v>34</v>
      </c>
      <c r="N5" s="7" t="s">
        <v>33</v>
      </c>
      <c r="O5" s="7" t="s">
        <v>34</v>
      </c>
      <c r="P5" s="13"/>
      <c r="Q5" s="13"/>
      <c r="R5" s="7" t="s">
        <v>34</v>
      </c>
      <c r="S5" s="7" t="s">
        <v>34</v>
      </c>
      <c r="T5" s="13"/>
      <c r="U5" s="13"/>
      <c r="V5" s="7" t="s">
        <v>33</v>
      </c>
      <c r="W5" s="6" t="s">
        <v>594</v>
      </c>
      <c r="X5" s="7" t="s">
        <v>33</v>
      </c>
      <c r="Y5" s="6" t="s">
        <v>595</v>
      </c>
      <c r="Z5" s="7" t="s">
        <v>34</v>
      </c>
      <c r="AA5" s="6" t="s">
        <v>596</v>
      </c>
      <c r="AB5" s="6" t="s">
        <v>597</v>
      </c>
      <c r="AC5" s="6" t="s">
        <v>39</v>
      </c>
    </row>
    <row r="6" ht="22.5" customHeight="1">
      <c r="A6" s="11" t="str">
        <f>REGEXEXTRACT(D6, "\d{4}\.\s(.*?)\.\sProc\. ACM")"),"OccMesh: Occlusion-aware Multi-user 3D Human Mesh Reconstruction Using mmWave Signals</f>
        <v xml:space="preserve">OccMesh: Occlusion-aware Multi-user 3D Human Mesh Reconstruction Using mmWave Signals</v>
      </c>
      <c r="B6" s="7">
        <f t="shared" si="12"/>
        <v>72</v>
      </c>
      <c r="C6" s="8" t="s">
        <v>598</v>
      </c>
      <c r="D6" s="10" t="s">
        <v>599</v>
      </c>
      <c r="E6" s="9">
        <v>45939</v>
      </c>
      <c r="F6" s="7">
        <v>2025</v>
      </c>
      <c r="G6" s="7" t="s">
        <v>575</v>
      </c>
      <c r="H6" s="13" t="str">
        <f t="shared" si="13"/>
        <v>2025_Sep_072</v>
      </c>
      <c r="I6" s="10" t="str">
        <f t="shared" si="14"/>
        <v>https://doi.org/10.1145/3749514</v>
      </c>
      <c r="J6" s="7">
        <f t="shared" si="16"/>
        <v>22</v>
      </c>
      <c r="K6" s="6" t="s">
        <v>71</v>
      </c>
      <c r="L6" s="24" t="str">
        <f t="shared" si="15"/>
        <v>No</v>
      </c>
      <c r="M6" s="7" t="s">
        <v>34</v>
      </c>
      <c r="N6" s="7" t="s">
        <v>33</v>
      </c>
      <c r="O6" s="7" t="s">
        <v>34</v>
      </c>
      <c r="P6" s="13"/>
      <c r="Q6" s="13"/>
      <c r="R6" s="7" t="s">
        <v>33</v>
      </c>
      <c r="S6" s="7" t="s">
        <v>34</v>
      </c>
      <c r="T6" s="13"/>
      <c r="U6" s="13"/>
      <c r="V6" s="7" t="s">
        <v>33</v>
      </c>
      <c r="W6" s="6" t="s">
        <v>600</v>
      </c>
      <c r="X6" s="7" t="s">
        <v>34</v>
      </c>
      <c r="Y6" s="6" t="s">
        <v>601</v>
      </c>
      <c r="Z6" s="7" t="s">
        <v>34</v>
      </c>
      <c r="AA6" s="6" t="s">
        <v>602</v>
      </c>
      <c r="AB6" s="6" t="s">
        <v>603</v>
      </c>
      <c r="AC6" s="6" t="s">
        <v>39</v>
      </c>
    </row>
    <row r="7" ht="22.5" customHeight="1">
      <c r="A7" s="11" t="str">
        <f>REGEXEXTRACT(D7, "\d{4}\.\s(.*?)\.\sProc\. ACM")"),"MotionLeaf: Fine-grained Multi-leaf Damped Vibration Monitoring for Plant Water Stress Using Cost-effective mmWave Sensors</f>
        <v xml:space="preserve">MotionLeaf: Fine-grained Multi-leaf Damped Vibration Monitoring for Plant Water Stress Using Cost-effective mmWave Sensors</v>
      </c>
      <c r="B7" s="7">
        <f t="shared" si="12"/>
        <v>73</v>
      </c>
      <c r="C7" s="8" t="s">
        <v>604</v>
      </c>
      <c r="D7" s="10" t="s">
        <v>605</v>
      </c>
      <c r="E7" s="9">
        <v>45939</v>
      </c>
      <c r="F7" s="7">
        <v>2025</v>
      </c>
      <c r="G7" s="7" t="s">
        <v>575</v>
      </c>
      <c r="H7" s="13" t="str">
        <f t="shared" si="13"/>
        <v>2025_Sep_073</v>
      </c>
      <c r="I7" s="10" t="str">
        <f t="shared" si="14"/>
        <v>https://doi.org/10.1145/3749547</v>
      </c>
      <c r="J7" s="7">
        <f t="shared" si="16"/>
        <v>27</v>
      </c>
      <c r="K7" s="6" t="s">
        <v>64</v>
      </c>
      <c r="L7" s="24" t="str">
        <f t="shared" si="15"/>
        <v>No</v>
      </c>
      <c r="M7" s="7" t="s">
        <v>34</v>
      </c>
      <c r="N7" s="7" t="s">
        <v>33</v>
      </c>
      <c r="O7" s="7" t="s">
        <v>34</v>
      </c>
      <c r="P7" s="13"/>
      <c r="Q7" s="13"/>
      <c r="R7" s="7" t="s">
        <v>33</v>
      </c>
      <c r="S7" s="7" t="s">
        <v>34</v>
      </c>
      <c r="T7" s="13"/>
      <c r="U7" s="13"/>
      <c r="V7" s="7" t="s">
        <v>33</v>
      </c>
      <c r="W7" s="6" t="s">
        <v>606</v>
      </c>
      <c r="X7" s="7" t="s">
        <v>34</v>
      </c>
      <c r="Y7" s="13"/>
      <c r="Z7" s="7" t="s">
        <v>34</v>
      </c>
      <c r="AA7" s="6" t="s">
        <v>607</v>
      </c>
      <c r="AB7" s="6" t="s">
        <v>608</v>
      </c>
      <c r="AC7" s="6" t="s">
        <v>39</v>
      </c>
    </row>
    <row r="8" ht="22.5" customHeight="1">
      <c r="A8" s="11" t="str">
        <f>REGEXEXTRACT(D8, "\d{4}\.\s(.*?)\.\sProc\. ACM")"),"EMTap: Eavesdropping on Sound Transmitted via Audio Cables by Sensing Electromagnetic Variation Using RFID</f>
        <v xml:space="preserve">EMTap: Eavesdropping on Sound Transmitted via Audio Cables by Sensing Electromagnetic Variation Using RFID</v>
      </c>
      <c r="B8" s="7">
        <f t="shared" si="12"/>
        <v>74</v>
      </c>
      <c r="C8" s="8" t="s">
        <v>609</v>
      </c>
      <c r="D8" s="10" t="s">
        <v>610</v>
      </c>
      <c r="E8" s="9">
        <v>45939</v>
      </c>
      <c r="F8" s="7">
        <v>2025</v>
      </c>
      <c r="G8" s="7" t="s">
        <v>575</v>
      </c>
      <c r="H8" s="13" t="str">
        <f t="shared" si="13"/>
        <v>2025_Sep_074</v>
      </c>
      <c r="I8" s="10" t="str">
        <f t="shared" si="14"/>
        <v>https://doi.org/10.1145/3749459</v>
      </c>
      <c r="J8" s="7">
        <f t="shared" si="16"/>
        <v>25</v>
      </c>
      <c r="K8" s="6" t="s">
        <v>64</v>
      </c>
      <c r="L8" s="24" t="str">
        <f t="shared" si="15"/>
        <v>No</v>
      </c>
      <c r="M8" s="7" t="s">
        <v>34</v>
      </c>
      <c r="N8" s="7" t="s">
        <v>33</v>
      </c>
      <c r="O8" s="7" t="s">
        <v>34</v>
      </c>
      <c r="P8" s="13"/>
      <c r="Q8" s="13"/>
      <c r="R8" s="7" t="s">
        <v>33</v>
      </c>
      <c r="S8" s="7" t="s">
        <v>144</v>
      </c>
      <c r="T8" s="10" t="s">
        <v>611</v>
      </c>
      <c r="U8" s="6" t="s">
        <v>612</v>
      </c>
      <c r="V8" s="7" t="s">
        <v>33</v>
      </c>
      <c r="W8" s="6" t="s">
        <v>613</v>
      </c>
      <c r="X8" s="7" t="s">
        <v>34</v>
      </c>
      <c r="Y8" s="13"/>
      <c r="Z8" s="7" t="s">
        <v>34</v>
      </c>
      <c r="AA8" s="6" t="s">
        <v>614</v>
      </c>
      <c r="AB8" s="6" t="s">
        <v>615</v>
      </c>
      <c r="AC8" s="6" t="s">
        <v>39</v>
      </c>
    </row>
    <row r="9" ht="22.5" customHeight="1">
      <c r="A9" s="11" t="str">
        <f>REGEXEXTRACT(D9, "\d{4}\.\s(.*?)\.\sProc\. ACM")"),"Engagements with Generative AI and Personal Health Informatics: Opportunities for Planning, Tracking, Reflecting, and Acting around Personal Health Data</f>
        <v xml:space="preserve">Engagements with Generative AI and Personal Health Informatics: Opportunities for Planning, Tracking, Reflecting, and Acting around Personal Health Data</v>
      </c>
      <c r="B9" s="7">
        <f t="shared" si="12"/>
        <v>75</v>
      </c>
      <c r="C9" s="8" t="s">
        <v>616</v>
      </c>
      <c r="D9" s="10" t="s">
        <v>617</v>
      </c>
      <c r="E9" s="9">
        <v>45939</v>
      </c>
      <c r="F9" s="7">
        <v>2025</v>
      </c>
      <c r="G9" s="7" t="s">
        <v>575</v>
      </c>
      <c r="H9" s="13" t="str">
        <f t="shared" si="13"/>
        <v>2025_Sep_075</v>
      </c>
      <c r="I9" s="10" t="str">
        <f t="shared" si="14"/>
        <v>https://doi.org/10.1145/3749503</v>
      </c>
      <c r="J9" s="7">
        <f t="shared" si="16"/>
        <v>33</v>
      </c>
      <c r="K9" s="6" t="s">
        <v>42</v>
      </c>
      <c r="L9" s="24" t="str">
        <f t="shared" si="15"/>
        <v>No</v>
      </c>
      <c r="M9" s="7" t="s">
        <v>33</v>
      </c>
      <c r="N9" s="7" t="s">
        <v>34</v>
      </c>
      <c r="O9" s="7" t="s">
        <v>35</v>
      </c>
      <c r="P9" s="13"/>
      <c r="Q9" s="13"/>
      <c r="R9" s="7" t="s">
        <v>34</v>
      </c>
      <c r="S9" s="7" t="s">
        <v>35</v>
      </c>
      <c r="T9" s="13"/>
      <c r="U9" s="13"/>
      <c r="V9" s="7" t="s">
        <v>34</v>
      </c>
      <c r="W9" s="13"/>
      <c r="X9" s="7" t="s">
        <v>34</v>
      </c>
      <c r="Y9" s="13"/>
      <c r="Z9" s="7" t="s">
        <v>35</v>
      </c>
      <c r="AA9" s="6" t="s">
        <v>618</v>
      </c>
      <c r="AB9" s="6" t="s">
        <v>619</v>
      </c>
      <c r="AC9" s="6" t="s">
        <v>39</v>
      </c>
    </row>
    <row r="10" ht="22.5" customHeight="1">
      <c r="A10" s="11" t="str">
        <f>REGEXEXTRACT(D10, "\d{4}\.\s(.*?)\.\sProc\. ACM")"),"GLOSS: Group of LLMs for Open-ended Sensemaking of Passive Sensing Data for Health and Wellbeing</f>
        <v xml:space="preserve">GLOSS: Group of LLMs for Open-ended Sensemaking of Passive Sensing Data for Health and Wellbeing</v>
      </c>
      <c r="B10" s="7">
        <f t="shared" ref="B10:B73" si="17">IFERROR(VALUE(REGEXEXTRACT(D10,"Article\s+(\d+)")),"")</f>
        <v>76</v>
      </c>
      <c r="C10" s="8" t="s">
        <v>620</v>
      </c>
      <c r="D10" s="10" t="s">
        <v>621</v>
      </c>
      <c r="E10" s="9">
        <v>45939</v>
      </c>
      <c r="F10" s="7">
        <v>2025</v>
      </c>
      <c r="G10" s="7" t="s">
        <v>575</v>
      </c>
      <c r="H10" s="13" t="str">
        <f t="shared" si="13"/>
        <v>2025_Sep_076</v>
      </c>
      <c r="I10" s="10" t="str">
        <f t="shared" si="14"/>
        <v>https://doi.org/10.1145/3749474</v>
      </c>
      <c r="J10" s="7">
        <f t="shared" si="16"/>
        <v>32</v>
      </c>
      <c r="K10" s="6" t="s">
        <v>64</v>
      </c>
      <c r="L10" s="24" t="str">
        <f t="shared" ref="L10:L25" si="18">IF(REGEXMATCH(LOWER($A10),"(^|[^a-z])dataset(s)?([^a-z]|$)"),"Yes","No")"),"No</f>
        <v>No</v>
      </c>
      <c r="M10" s="7" t="s">
        <v>33</v>
      </c>
      <c r="N10" s="7" t="s">
        <v>33</v>
      </c>
      <c r="O10" s="7" t="s">
        <v>33</v>
      </c>
      <c r="P10" s="10" t="s">
        <v>622</v>
      </c>
      <c r="Q10" s="13"/>
      <c r="R10" s="7" t="s">
        <v>33</v>
      </c>
      <c r="S10" s="7" t="s">
        <v>144</v>
      </c>
      <c r="T10" s="10" t="s">
        <v>622</v>
      </c>
      <c r="U10" s="6" t="s">
        <v>623</v>
      </c>
      <c r="V10" s="7" t="s">
        <v>34</v>
      </c>
      <c r="W10" s="6" t="s">
        <v>624</v>
      </c>
      <c r="X10" s="7" t="s">
        <v>33</v>
      </c>
      <c r="Y10" s="6" t="s">
        <v>625</v>
      </c>
      <c r="Z10" s="7" t="s">
        <v>33</v>
      </c>
      <c r="AA10" s="6" t="s">
        <v>626</v>
      </c>
      <c r="AB10" s="6" t="s">
        <v>627</v>
      </c>
      <c r="AC10" s="6" t="s">
        <v>39</v>
      </c>
    </row>
    <row r="11" ht="22.5" customHeight="1">
      <c r="A11" s="14" t="str">
        <f>REGEXEXTRACT(D11, "\d{4}\.\s(.*?)\.\sProc\. ACM")"),"Unobtrusive Perceived Sleep Quality Monitoring in the Wild</f>
        <v xml:space="preserve">Unobtrusive Perceived Sleep Quality Monitoring in the Wild</v>
      </c>
      <c r="B11" s="15">
        <f t="shared" si="17"/>
        <v>77</v>
      </c>
      <c r="C11" s="16" t="s">
        <v>628</v>
      </c>
      <c r="D11" s="22" t="s">
        <v>629</v>
      </c>
      <c r="E11" s="18">
        <v>45939</v>
      </c>
      <c r="F11" s="15">
        <v>2025</v>
      </c>
      <c r="G11" s="15" t="s">
        <v>575</v>
      </c>
      <c r="H11" s="20" t="str">
        <f t="shared" si="13"/>
        <v>2025_Sep_077</v>
      </c>
      <c r="I11" s="22" t="str">
        <f t="shared" si="14"/>
        <v>https://doi.org/10.1145/3749502</v>
      </c>
      <c r="J11" s="15">
        <f t="shared" si="16"/>
        <v>26</v>
      </c>
      <c r="K11" s="17" t="s">
        <v>32</v>
      </c>
      <c r="L11" s="25" t="str">
        <f t="shared" si="18"/>
        <v>No</v>
      </c>
      <c r="M11" s="15" t="s">
        <v>33</v>
      </c>
      <c r="N11" s="15" t="s">
        <v>33</v>
      </c>
      <c r="O11" s="15" t="s">
        <v>34</v>
      </c>
      <c r="P11" s="20"/>
      <c r="Q11" s="20"/>
      <c r="R11" s="15" t="s">
        <v>33</v>
      </c>
      <c r="S11" s="15" t="s">
        <v>34</v>
      </c>
      <c r="T11" s="20"/>
      <c r="U11" s="17" t="s">
        <v>630</v>
      </c>
      <c r="V11" s="15" t="s">
        <v>33</v>
      </c>
      <c r="W11" s="17" t="s">
        <v>631</v>
      </c>
      <c r="X11" s="15" t="s">
        <v>33</v>
      </c>
      <c r="Y11" s="17" t="s">
        <v>632</v>
      </c>
      <c r="Z11" s="15" t="s">
        <v>34</v>
      </c>
      <c r="AA11" s="17" t="s">
        <v>633</v>
      </c>
      <c r="AB11" s="17" t="s">
        <v>634</v>
      </c>
      <c r="AC11" s="17" t="s">
        <v>39</v>
      </c>
    </row>
    <row r="12" ht="22.5" customHeight="1">
      <c r="A12" s="11" t="str">
        <f>REGEXEXTRACT(D12, "\d{4}\.\s(.*?)\.\sProc\. ACM")"),"Cross-Modal Federated Learning among Unimodal Devices</f>
        <v xml:space="preserve">Cross-Modal Federated Learning among Unimodal Devices</v>
      </c>
      <c r="B12" s="7">
        <f t="shared" si="17"/>
        <v>78</v>
      </c>
      <c r="C12" s="8" t="s">
        <v>635</v>
      </c>
      <c r="D12" s="10" t="s">
        <v>636</v>
      </c>
      <c r="E12" s="9">
        <v>45933</v>
      </c>
      <c r="F12" s="7">
        <v>2025</v>
      </c>
      <c r="G12" s="7" t="s">
        <v>575</v>
      </c>
      <c r="H12" s="13" t="str">
        <f t="shared" si="13"/>
        <v>2025_Sep_078</v>
      </c>
      <c r="I12" s="12" t="str">
        <f t="shared" si="14"/>
        <v>https://doi.org/10.1145/3749467</v>
      </c>
      <c r="J12" s="7">
        <f t="shared" si="16"/>
        <v>26</v>
      </c>
      <c r="K12" s="6" t="s">
        <v>637</v>
      </c>
      <c r="L12" s="24" t="str">
        <f t="shared" si="18"/>
        <v>No</v>
      </c>
      <c r="M12" s="7" t="s">
        <v>33</v>
      </c>
      <c r="N12" s="7" t="s">
        <v>33</v>
      </c>
      <c r="O12" s="7" t="s">
        <v>34</v>
      </c>
      <c r="P12" s="6"/>
      <c r="Q12" s="6" t="s">
        <v>638</v>
      </c>
      <c r="R12" s="7" t="s">
        <v>33</v>
      </c>
      <c r="S12" s="7" t="s">
        <v>33</v>
      </c>
      <c r="T12" s="10" t="s">
        <v>639</v>
      </c>
      <c r="U12" s="6" t="s">
        <v>640</v>
      </c>
      <c r="V12" s="7" t="s">
        <v>34</v>
      </c>
      <c r="W12" s="6" t="s">
        <v>641</v>
      </c>
      <c r="X12" s="7" t="s">
        <v>34</v>
      </c>
      <c r="Y12" s="6"/>
      <c r="Z12" s="7" t="s">
        <v>34</v>
      </c>
      <c r="AA12" s="6" t="s">
        <v>642</v>
      </c>
      <c r="AB12" s="6" t="s">
        <v>643</v>
      </c>
      <c r="AC12" s="6" t="s">
        <v>181</v>
      </c>
    </row>
    <row r="13" ht="22.5" customHeight="1">
      <c r="A13" s="11" t="str">
        <f>REGEXEXTRACT(D13, "\d{4}\.\s(.*?)\.\sProc\. ACM")"),"SpiroSense: Transforming Smartphones into Pulmonary Metrics Monitors with Ultrasonic Technology</f>
        <v xml:space="preserve">SpiroSense: Transforming Smartphones into Pulmonary Metrics Monitors with Ultrasonic Technology</v>
      </c>
      <c r="B13" s="7">
        <f t="shared" si="17"/>
        <v>79</v>
      </c>
      <c r="C13" s="8" t="s">
        <v>644</v>
      </c>
      <c r="D13" s="10" t="s">
        <v>645</v>
      </c>
      <c r="E13" s="9">
        <v>45936</v>
      </c>
      <c r="F13" s="7">
        <v>2025</v>
      </c>
      <c r="G13" s="7" t="s">
        <v>575</v>
      </c>
      <c r="H13" s="13" t="str">
        <f t="shared" si="13"/>
        <v>2025_Sep_079</v>
      </c>
      <c r="I13" s="12" t="str">
        <f t="shared" si="14"/>
        <v>https://doi.org/10.1145/3749489</v>
      </c>
      <c r="J13" s="7">
        <f t="shared" si="16"/>
        <v>26</v>
      </c>
      <c r="K13" s="6" t="s">
        <v>637</v>
      </c>
      <c r="L13" s="24" t="str">
        <f t="shared" si="18"/>
        <v>No</v>
      </c>
      <c r="M13" s="7" t="s">
        <v>34</v>
      </c>
      <c r="N13" s="7" t="s">
        <v>33</v>
      </c>
      <c r="O13" s="7" t="s">
        <v>34</v>
      </c>
      <c r="P13" s="13"/>
      <c r="Q13" s="13"/>
      <c r="R13" s="7" t="s">
        <v>33</v>
      </c>
      <c r="S13" s="7" t="s">
        <v>34</v>
      </c>
      <c r="T13" s="13"/>
      <c r="U13" s="6" t="s">
        <v>646</v>
      </c>
      <c r="V13" s="7" t="s">
        <v>33</v>
      </c>
      <c r="W13" s="6" t="s">
        <v>647</v>
      </c>
      <c r="X13" s="7" t="s">
        <v>33</v>
      </c>
      <c r="Y13" s="13"/>
      <c r="Z13" s="7" t="s">
        <v>144</v>
      </c>
      <c r="AA13" s="6" t="s">
        <v>648</v>
      </c>
      <c r="AB13" s="6" t="s">
        <v>649</v>
      </c>
      <c r="AC13" s="6" t="s">
        <v>181</v>
      </c>
    </row>
    <row r="14" ht="22.5" customHeight="1">
      <c r="A14" s="11" t="str">
        <f>REGEXEXTRACT(D14, "\d{4}\.\s(.*?)\.\sProc\. ACM")"),"The Homework Wars: Exploring Emotions, Behaviours, and Conflicts in Parent-Child Homework Interactions</f>
        <v xml:space="preserve">The Homework Wars: Exploring Emotions, Behaviours, and Conflicts in Parent-Child Homework Interactions</v>
      </c>
      <c r="B14" s="7">
        <f t="shared" si="17"/>
        <v>80</v>
      </c>
      <c r="C14" s="8" t="s">
        <v>650</v>
      </c>
      <c r="D14" s="10" t="s">
        <v>651</v>
      </c>
      <c r="E14" s="9">
        <v>45936</v>
      </c>
      <c r="F14" s="7">
        <v>2025</v>
      </c>
      <c r="G14" s="7" t="s">
        <v>575</v>
      </c>
      <c r="H14" s="13" t="str">
        <f t="shared" si="13"/>
        <v>2025_Sep_080</v>
      </c>
      <c r="I14" s="10" t="str">
        <f t="shared" si="14"/>
        <v>https://doi.org/10.1145/3749517</v>
      </c>
      <c r="J14" s="7">
        <f t="shared" si="16"/>
        <v>37</v>
      </c>
      <c r="K14" s="6" t="s">
        <v>652</v>
      </c>
      <c r="L14" s="24" t="str">
        <f t="shared" si="18"/>
        <v>No</v>
      </c>
      <c r="M14" s="7" t="s">
        <v>33</v>
      </c>
      <c r="N14" s="7" t="s">
        <v>33</v>
      </c>
      <c r="O14" s="7" t="s">
        <v>34</v>
      </c>
      <c r="P14" s="13"/>
      <c r="Q14" s="6" t="s">
        <v>653</v>
      </c>
      <c r="R14" s="7" t="s">
        <v>33</v>
      </c>
      <c r="S14" s="7" t="s">
        <v>34</v>
      </c>
      <c r="T14" s="13"/>
      <c r="U14" s="6" t="s">
        <v>654</v>
      </c>
      <c r="V14" s="7" t="s">
        <v>34</v>
      </c>
      <c r="W14" s="13"/>
      <c r="X14" s="7" t="s">
        <v>33</v>
      </c>
      <c r="Y14" s="6" t="s">
        <v>655</v>
      </c>
      <c r="Z14" s="7" t="s">
        <v>144</v>
      </c>
      <c r="AA14" s="6" t="s">
        <v>656</v>
      </c>
      <c r="AB14" s="6" t="s">
        <v>657</v>
      </c>
      <c r="AC14" s="6" t="s">
        <v>181</v>
      </c>
    </row>
    <row r="15" ht="22.5" customHeight="1">
      <c r="A15" s="11" t="str">
        <f>REGEXEXTRACT(D15, "\d{4}\.\s(.*?)\.\sProc\. ACM")"),"MmPencil: Toward Writing-Style-Independent In-Air Handwriting Recognition via mmWave Radar and Large Vision-Language Model</f>
        <v xml:space="preserve">MmPencil: Toward Writing-Style-Independent In-Air Handwriting Recognition via mmWave Radar and Large Vision-Language Model</v>
      </c>
      <c r="B15" s="7">
        <f t="shared" si="17"/>
        <v>81</v>
      </c>
      <c r="C15" s="8" t="s">
        <v>658</v>
      </c>
      <c r="D15" s="10" t="s">
        <v>659</v>
      </c>
      <c r="E15" s="9">
        <v>45940</v>
      </c>
      <c r="F15" s="7">
        <v>2025</v>
      </c>
      <c r="G15" s="7" t="s">
        <v>575</v>
      </c>
      <c r="H15" s="13" t="str">
        <f t="shared" si="13"/>
        <v>2025_Sep_081</v>
      </c>
      <c r="I15" s="12" t="str">
        <f t="shared" si="14"/>
        <v>https://doi.org/10.1145/3749504</v>
      </c>
      <c r="J15" s="7">
        <f t="shared" si="16"/>
        <v>30</v>
      </c>
      <c r="K15" s="6" t="s">
        <v>637</v>
      </c>
      <c r="L15" s="24" t="str">
        <f t="shared" si="18"/>
        <v>No</v>
      </c>
      <c r="M15" s="7" t="s">
        <v>34</v>
      </c>
      <c r="N15" s="7" t="s">
        <v>33</v>
      </c>
      <c r="O15" s="7" t="s">
        <v>34</v>
      </c>
      <c r="P15" s="13"/>
      <c r="Q15" s="13"/>
      <c r="R15" s="7" t="s">
        <v>33</v>
      </c>
      <c r="S15" s="7" t="s">
        <v>33</v>
      </c>
      <c r="T15" s="10" t="s">
        <v>660</v>
      </c>
      <c r="U15" s="6" t="s">
        <v>661</v>
      </c>
      <c r="V15" s="7" t="s">
        <v>34</v>
      </c>
      <c r="W15" s="6" t="s">
        <v>662</v>
      </c>
      <c r="X15" s="7" t="s">
        <v>33</v>
      </c>
      <c r="Y15" s="6" t="s">
        <v>663</v>
      </c>
      <c r="Z15" s="7" t="s">
        <v>144</v>
      </c>
      <c r="AA15" s="6" t="s">
        <v>664</v>
      </c>
      <c r="AB15" s="6" t="s">
        <v>665</v>
      </c>
      <c r="AC15" s="6" t="s">
        <v>181</v>
      </c>
    </row>
    <row r="16" ht="22.5" customHeight="1">
      <c r="A16" s="11" t="str">
        <f>REGEXEXTRACT(D16, "\d{4}\.\s(.*?)\.\sProc\. ACM")"),"Contactless Fine-grained Cardiac Events Detection and Segmentation with Radio Frequency Signals</f>
        <v xml:space="preserve">Contactless Fine-grained Cardiac Events Detection and Segmentation with Radio Frequency Signals</v>
      </c>
      <c r="B16" s="7">
        <f t="shared" si="17"/>
        <v>82</v>
      </c>
      <c r="C16" s="8" t="s">
        <v>666</v>
      </c>
      <c r="D16" s="10" t="s">
        <v>667</v>
      </c>
      <c r="E16" s="9">
        <v>45940</v>
      </c>
      <c r="F16" s="7">
        <v>2025</v>
      </c>
      <c r="G16" s="7" t="s">
        <v>575</v>
      </c>
      <c r="H16" s="13" t="str">
        <f t="shared" si="13"/>
        <v>2025_Sep_082</v>
      </c>
      <c r="I16" s="10" t="str">
        <f t="shared" si="14"/>
        <v>https://doi.org/10.1145/3749457</v>
      </c>
      <c r="J16" s="7">
        <f t="shared" si="16"/>
        <v>28</v>
      </c>
      <c r="K16" s="6" t="s">
        <v>668</v>
      </c>
      <c r="L16" s="24" t="str">
        <f t="shared" si="18"/>
        <v>No</v>
      </c>
      <c r="M16" s="7" t="s">
        <v>34</v>
      </c>
      <c r="N16" s="7" t="s">
        <v>34</v>
      </c>
      <c r="O16" s="7" t="s">
        <v>35</v>
      </c>
      <c r="P16" s="13"/>
      <c r="Q16" s="13"/>
      <c r="R16" s="7" t="s">
        <v>33</v>
      </c>
      <c r="S16" s="7" t="s">
        <v>34</v>
      </c>
      <c r="T16" s="6"/>
      <c r="U16" s="6" t="s">
        <v>669</v>
      </c>
      <c r="V16" s="7" t="s">
        <v>33</v>
      </c>
      <c r="W16" s="6" t="s">
        <v>670</v>
      </c>
      <c r="X16" s="7" t="s">
        <v>33</v>
      </c>
      <c r="Y16" s="6" t="s">
        <v>671</v>
      </c>
      <c r="Z16" s="7" t="s">
        <v>144</v>
      </c>
      <c r="AA16" s="6" t="s">
        <v>672</v>
      </c>
      <c r="AB16" s="6" t="s">
        <v>673</v>
      </c>
      <c r="AC16" s="6" t="s">
        <v>181</v>
      </c>
    </row>
    <row r="17" ht="22.5" customHeight="1">
      <c r="A17" s="11" t="str">
        <f>REGEXEXTRACT(D17, "\d{4}\.\s(.*?)\.\sProc\. ACM")"),"RouteLLM: A Large Language Model with Native Route Context Understanding to Enable Context-Aware Reasoning</f>
        <v xml:space="preserve">RouteLLM: A Large Language Model with Native Route Context Understanding to Enable Context-Aware Reasoning</v>
      </c>
      <c r="B17" s="7">
        <f t="shared" si="17"/>
        <v>83</v>
      </c>
      <c r="C17" s="8" t="s">
        <v>674</v>
      </c>
      <c r="D17" s="10" t="s">
        <v>675</v>
      </c>
      <c r="E17" s="9">
        <v>45941</v>
      </c>
      <c r="F17" s="7">
        <v>2025</v>
      </c>
      <c r="G17" s="7" t="s">
        <v>575</v>
      </c>
      <c r="H17" s="13" t="str">
        <f t="shared" si="13"/>
        <v>2025_Sep_083</v>
      </c>
      <c r="I17" s="10" t="str">
        <f t="shared" si="14"/>
        <v>https://doi.org/10.1145/3749552</v>
      </c>
      <c r="J17" s="7">
        <f t="shared" si="16"/>
        <v>34</v>
      </c>
      <c r="K17" s="6" t="s">
        <v>64</v>
      </c>
      <c r="L17" s="24" t="str">
        <f t="shared" si="18"/>
        <v>No</v>
      </c>
      <c r="M17" s="7" t="s">
        <v>33</v>
      </c>
      <c r="N17" s="7" t="s">
        <v>33</v>
      </c>
      <c r="O17" s="7" t="s">
        <v>33</v>
      </c>
      <c r="P17" s="6" t="s">
        <v>676</v>
      </c>
      <c r="Q17" s="26" t="s">
        <v>677</v>
      </c>
      <c r="R17" s="7" t="s">
        <v>33</v>
      </c>
      <c r="S17" s="7" t="s">
        <v>33</v>
      </c>
      <c r="T17" s="10" t="s">
        <v>678</v>
      </c>
      <c r="U17" s="6" t="s">
        <v>677</v>
      </c>
      <c r="V17" s="7" t="s">
        <v>34</v>
      </c>
      <c r="W17" s="13"/>
      <c r="X17" s="7" t="s">
        <v>33</v>
      </c>
      <c r="Y17" s="6" t="s">
        <v>679</v>
      </c>
      <c r="Z17" s="7" t="s">
        <v>33</v>
      </c>
      <c r="AA17" s="6" t="s">
        <v>680</v>
      </c>
      <c r="AB17" s="6" t="s">
        <v>681</v>
      </c>
      <c r="AC17" s="6" t="s">
        <v>181</v>
      </c>
    </row>
    <row r="18" ht="22.5" customHeight="1">
      <c r="A18" s="11" t="str">
        <f>REGEXEXTRACT(D18, "\d{4}\.\s(.*?)\.\sProc\. ACM")"),"Beam-Fi: Integrated Sensing and Communication via MU-MIMO upon Commodity Wi-Fi</f>
        <v xml:space="preserve">Beam-Fi: Integrated Sensing and Communication via MU-MIMO upon Commodity Wi-Fi</v>
      </c>
      <c r="B18" s="7">
        <f t="shared" si="17"/>
        <v>84</v>
      </c>
      <c r="C18" s="8" t="s">
        <v>682</v>
      </c>
      <c r="D18" s="10" t="s">
        <v>683</v>
      </c>
      <c r="E18" s="9">
        <v>45942</v>
      </c>
      <c r="F18" s="7">
        <v>2025</v>
      </c>
      <c r="G18" s="7" t="s">
        <v>575</v>
      </c>
      <c r="H18" s="13" t="str">
        <f t="shared" si="13"/>
        <v>2025_Sep_084</v>
      </c>
      <c r="I18" s="10" t="str">
        <f t="shared" si="14"/>
        <v>https://doi.org/10.1145/3749477</v>
      </c>
      <c r="J18" s="7">
        <f t="shared" si="16"/>
        <v>22</v>
      </c>
      <c r="K18" s="6" t="s">
        <v>64</v>
      </c>
      <c r="L18" s="24" t="str">
        <f t="shared" si="18"/>
        <v>No</v>
      </c>
      <c r="M18" s="7" t="s">
        <v>33</v>
      </c>
      <c r="N18" s="7" t="s">
        <v>34</v>
      </c>
      <c r="O18" s="7" t="s">
        <v>35</v>
      </c>
      <c r="P18" s="13"/>
      <c r="Q18" s="6" t="s">
        <v>684</v>
      </c>
      <c r="R18" s="7" t="s">
        <v>34</v>
      </c>
      <c r="S18" s="7" t="s">
        <v>35</v>
      </c>
      <c r="T18" s="6"/>
      <c r="U18" s="13"/>
      <c r="V18" s="7" t="s">
        <v>33</v>
      </c>
      <c r="W18" s="6" t="s">
        <v>685</v>
      </c>
      <c r="X18" s="7" t="s">
        <v>33</v>
      </c>
      <c r="Y18" s="6" t="s">
        <v>686</v>
      </c>
      <c r="Z18" s="7" t="s">
        <v>144</v>
      </c>
      <c r="AA18" s="6" t="s">
        <v>687</v>
      </c>
      <c r="AB18" s="6" t="s">
        <v>688</v>
      </c>
      <c r="AC18" s="6" t="s">
        <v>181</v>
      </c>
    </row>
    <row r="19" ht="22.5" customHeight="1">
      <c r="A19" s="11" t="str">
        <f>REGEXEXTRACT(D19, "\d{4}\.\s(.*?)\.\sProc\. ACM")"),"HT-Auth: Secure VR Headset Authentication via Subtle Head Tremors</f>
        <v xml:space="preserve">HT-Auth: Secure VR Headset Authentication via Subtle Head Tremors</v>
      </c>
      <c r="B19" s="7">
        <f t="shared" si="17"/>
        <v>85</v>
      </c>
      <c r="C19" s="8" t="s">
        <v>689</v>
      </c>
      <c r="D19" s="10" t="s">
        <v>690</v>
      </c>
      <c r="E19" s="9">
        <v>45942</v>
      </c>
      <c r="F19" s="7">
        <v>2025</v>
      </c>
      <c r="G19" s="7" t="s">
        <v>575</v>
      </c>
      <c r="H19" s="13" t="str">
        <f t="shared" si="13"/>
        <v>2025_Sep_085</v>
      </c>
      <c r="I19" s="10" t="str">
        <f t="shared" si="14"/>
        <v>https://doi.org/10.1145/3749980</v>
      </c>
      <c r="J19" s="7">
        <f t="shared" si="16"/>
        <v>26</v>
      </c>
      <c r="K19" s="6" t="s">
        <v>64</v>
      </c>
      <c r="L19" s="24" t="str">
        <f t="shared" si="18"/>
        <v>No</v>
      </c>
      <c r="M19" s="7" t="s">
        <v>34</v>
      </c>
      <c r="N19" s="7" t="s">
        <v>33</v>
      </c>
      <c r="O19" s="7" t="s">
        <v>33</v>
      </c>
      <c r="P19" s="10" t="s">
        <v>691</v>
      </c>
      <c r="Q19" s="6" t="s">
        <v>692</v>
      </c>
      <c r="R19" s="7" t="s">
        <v>33</v>
      </c>
      <c r="S19" s="7" t="s">
        <v>33</v>
      </c>
      <c r="T19" s="10" t="s">
        <v>693</v>
      </c>
      <c r="U19" s="6" t="s">
        <v>694</v>
      </c>
      <c r="V19" s="7" t="s">
        <v>33</v>
      </c>
      <c r="W19" s="6" t="s">
        <v>695</v>
      </c>
      <c r="X19" s="7" t="s">
        <v>33</v>
      </c>
      <c r="Y19" s="6" t="s">
        <v>696</v>
      </c>
      <c r="Z19" s="7" t="s">
        <v>144</v>
      </c>
      <c r="AA19" s="6" t="s">
        <v>697</v>
      </c>
      <c r="AB19" s="6" t="s">
        <v>698</v>
      </c>
      <c r="AC19" s="6" t="s">
        <v>181</v>
      </c>
    </row>
    <row r="20" ht="22.5" customHeight="1">
      <c r="A20" s="11" t="str">
        <f>REGEXEXTRACT(D20, "\d{4}\.\s(.*?)\.\sProc\. ACM")"),"FruitPhone: Detecting Sugar Content in Fruits Using Unmodified Smartphones with Spectral Imaging</f>
        <v xml:space="preserve">FruitPhone: Detecting Sugar Content in Fruits Using Unmodified Smartphones with Spectral Imaging</v>
      </c>
      <c r="B20" s="7">
        <f t="shared" si="17"/>
        <v>86</v>
      </c>
      <c r="C20" s="8" t="s">
        <v>699</v>
      </c>
      <c r="D20" s="10" t="s">
        <v>700</v>
      </c>
      <c r="E20" s="9">
        <v>45942</v>
      </c>
      <c r="F20" s="7">
        <v>2025</v>
      </c>
      <c r="G20" s="7" t="s">
        <v>575</v>
      </c>
      <c r="H20" s="13" t="str">
        <f t="shared" si="13"/>
        <v>2025_Sep_086</v>
      </c>
      <c r="I20" s="10" t="str">
        <f t="shared" si="14"/>
        <v>https://doi.org/10.1145/3749470</v>
      </c>
      <c r="J20" s="7">
        <f t="shared" si="16"/>
        <v>29</v>
      </c>
      <c r="K20" s="6" t="s">
        <v>637</v>
      </c>
      <c r="L20" s="24" t="str">
        <f t="shared" si="18"/>
        <v>No</v>
      </c>
      <c r="M20" s="7" t="s">
        <v>34</v>
      </c>
      <c r="N20" s="7" t="s">
        <v>33</v>
      </c>
      <c r="O20" s="7" t="s">
        <v>34</v>
      </c>
      <c r="P20" s="13"/>
      <c r="Q20" s="6" t="s">
        <v>701</v>
      </c>
      <c r="R20" s="7" t="s">
        <v>33</v>
      </c>
      <c r="S20" s="7" t="s">
        <v>33</v>
      </c>
      <c r="T20" s="12" t="s">
        <v>702</v>
      </c>
      <c r="U20" s="13"/>
      <c r="V20" s="7" t="s">
        <v>33</v>
      </c>
      <c r="W20" s="6" t="s">
        <v>703</v>
      </c>
      <c r="X20" s="7" t="s">
        <v>34</v>
      </c>
      <c r="Y20" s="13"/>
      <c r="Z20" s="7" t="s">
        <v>34</v>
      </c>
      <c r="AA20" s="6" t="s">
        <v>704</v>
      </c>
      <c r="AB20" s="6" t="s">
        <v>705</v>
      </c>
      <c r="AC20" s="6" t="s">
        <v>181</v>
      </c>
    </row>
    <row r="21" ht="22.5" customHeight="1">
      <c r="A21" s="14" t="str">
        <f>REGEXEXTRACT(D21, "\d{4}\.\s(.*?)\.\sProc\. ACM")"),"Masterpiece Creation: An AI-powered Robotic Calligraphy Creation System</f>
        <v xml:space="preserve">Masterpiece Creation: An AI-powered Robotic Calligraphy Creation System</v>
      </c>
      <c r="B21" s="15">
        <f t="shared" si="17"/>
        <v>87</v>
      </c>
      <c r="C21" s="16" t="s">
        <v>706</v>
      </c>
      <c r="D21" s="22" t="s">
        <v>707</v>
      </c>
      <c r="E21" s="18">
        <v>45943</v>
      </c>
      <c r="F21" s="15">
        <v>2025</v>
      </c>
      <c r="G21" s="15" t="s">
        <v>575</v>
      </c>
      <c r="H21" s="20" t="str">
        <f t="shared" si="13"/>
        <v>2025_Sep_087</v>
      </c>
      <c r="I21" s="22" t="str">
        <f t="shared" si="14"/>
        <v>https://doi.org/10.1145/3749957</v>
      </c>
      <c r="J21" s="15">
        <f t="shared" si="16"/>
        <v>34</v>
      </c>
      <c r="K21" s="17" t="s">
        <v>708</v>
      </c>
      <c r="L21" s="25" t="str">
        <f t="shared" si="18"/>
        <v>No</v>
      </c>
      <c r="M21" s="15" t="s">
        <v>34</v>
      </c>
      <c r="N21" s="15" t="s">
        <v>33</v>
      </c>
      <c r="O21" s="15" t="s">
        <v>34</v>
      </c>
      <c r="P21" s="20"/>
      <c r="Q21" s="17" t="s">
        <v>709</v>
      </c>
      <c r="R21" s="15" t="s">
        <v>94</v>
      </c>
      <c r="S21" s="15" t="s">
        <v>34</v>
      </c>
      <c r="T21" s="20"/>
      <c r="U21" s="17" t="s">
        <v>710</v>
      </c>
      <c r="V21" s="15" t="s">
        <v>33</v>
      </c>
      <c r="W21" s="17" t="s">
        <v>711</v>
      </c>
      <c r="X21" s="15" t="s">
        <v>34</v>
      </c>
      <c r="Y21" s="20"/>
      <c r="Z21" s="15" t="s">
        <v>144</v>
      </c>
      <c r="AA21" s="17" t="s">
        <v>712</v>
      </c>
      <c r="AB21" s="17" t="s">
        <v>713</v>
      </c>
      <c r="AC21" s="17" t="s">
        <v>181</v>
      </c>
    </row>
    <row r="22" ht="22.5" customHeight="1">
      <c r="A22" s="11" t="str">
        <f>REGEXEXTRACT(D22, "\d{4}\.\s(.*?)\.\sProc\. ACM")"),"Vinci: A Real-time Smart Assistant Based on Egocentric Vision-language Model for Portable Devices</f>
        <v xml:space="preserve">Vinci: A Real-time Smart Assistant Based on Egocentric Vision-language Model for Portable Devices</v>
      </c>
      <c r="B22" s="7">
        <f t="shared" si="17"/>
        <v>88</v>
      </c>
      <c r="C22" s="27" t="s">
        <v>714</v>
      </c>
      <c r="D22" s="6" t="s">
        <v>715</v>
      </c>
      <c r="E22" s="28">
        <v>45933</v>
      </c>
      <c r="F22" s="29">
        <v>2025</v>
      </c>
      <c r="G22" s="29" t="s">
        <v>575</v>
      </c>
      <c r="H22" s="30" t="str">
        <f t="shared" si="13"/>
        <v>2025_Sep_088</v>
      </c>
      <c r="I22" s="31" t="str">
        <f t="shared" si="14"/>
        <v>https://doi.org/10.1145/3749513</v>
      </c>
      <c r="J22" s="29">
        <f t="shared" si="16"/>
        <v>33</v>
      </c>
      <c r="K22" s="32" t="s">
        <v>652</v>
      </c>
      <c r="L22" s="33" t="str">
        <f t="shared" si="18"/>
        <v>No</v>
      </c>
      <c r="M22" s="29" t="s">
        <v>34</v>
      </c>
      <c r="N22" s="29" t="s">
        <v>33</v>
      </c>
      <c r="O22" s="29" t="s">
        <v>33</v>
      </c>
      <c r="P22" s="34" t="s">
        <v>716</v>
      </c>
      <c r="Q22" s="32" t="s">
        <v>717</v>
      </c>
      <c r="R22" s="29" t="s">
        <v>33</v>
      </c>
      <c r="S22" s="29" t="s">
        <v>144</v>
      </c>
      <c r="T22" s="30"/>
      <c r="U22" s="32" t="s">
        <v>718</v>
      </c>
      <c r="V22" s="29" t="s">
        <v>33</v>
      </c>
      <c r="W22" s="32" t="s">
        <v>719</v>
      </c>
      <c r="X22" s="29" t="s">
        <v>33</v>
      </c>
      <c r="Y22" s="32" t="s">
        <v>720</v>
      </c>
      <c r="Z22" s="29" t="s">
        <v>144</v>
      </c>
      <c r="AA22" s="32" t="s">
        <v>721</v>
      </c>
      <c r="AB22" s="32" t="s">
        <v>722</v>
      </c>
      <c r="AC22" s="6" t="s">
        <v>355</v>
      </c>
    </row>
    <row r="23" ht="22.5" customHeight="1">
      <c r="A23" s="11" t="str">
        <f>REGEXEXTRACT(D23, "\d{4}\.\s(.*?)\.\sProc\. ACM")"),"Reconstructing Ear Canal Channels for Fine-Grained Detection of Tympanic Membrane Changes</f>
        <v xml:space="preserve">Reconstructing Ear Canal Channels for Fine-Grained Detection of Tympanic Membrane Changes</v>
      </c>
      <c r="B23" s="7">
        <f t="shared" si="17"/>
        <v>89</v>
      </c>
      <c r="C23" s="8" t="s">
        <v>723</v>
      </c>
      <c r="D23" s="6" t="s">
        <v>724</v>
      </c>
      <c r="E23" s="9">
        <v>45933</v>
      </c>
      <c r="F23" s="7">
        <v>2025</v>
      </c>
      <c r="G23" s="7" t="s">
        <v>575</v>
      </c>
      <c r="H23" s="13" t="str">
        <f t="shared" si="13"/>
        <v>2025_Sep_089</v>
      </c>
      <c r="I23" s="10" t="str">
        <f t="shared" si="14"/>
        <v>https://doi.org/10.1145/3749516</v>
      </c>
      <c r="J23" s="7">
        <f t="shared" si="16"/>
        <v>48</v>
      </c>
      <c r="K23" s="6" t="s">
        <v>32</v>
      </c>
      <c r="L23" s="24" t="str">
        <f t="shared" si="18"/>
        <v>No</v>
      </c>
      <c r="M23" s="7" t="s">
        <v>34</v>
      </c>
      <c r="N23" s="7" t="s">
        <v>33</v>
      </c>
      <c r="O23" s="7" t="s">
        <v>34</v>
      </c>
      <c r="P23" s="13"/>
      <c r="Q23" s="6"/>
      <c r="R23" s="7" t="s">
        <v>33</v>
      </c>
      <c r="S23" s="7" t="s">
        <v>34</v>
      </c>
      <c r="T23" s="13"/>
      <c r="U23" s="6" t="s">
        <v>725</v>
      </c>
      <c r="V23" s="7" t="s">
        <v>33</v>
      </c>
      <c r="W23" s="6" t="s">
        <v>726</v>
      </c>
      <c r="X23" s="7" t="s">
        <v>33</v>
      </c>
      <c r="Y23" s="6" t="s">
        <v>727</v>
      </c>
      <c r="Z23" s="7" t="s">
        <v>34</v>
      </c>
      <c r="AA23" s="6" t="s">
        <v>728</v>
      </c>
      <c r="AB23" s="6" t="s">
        <v>729</v>
      </c>
      <c r="AC23" s="6" t="s">
        <v>355</v>
      </c>
    </row>
    <row r="24" ht="22.5" customHeight="1">
      <c r="A24" s="11" t="str">
        <f>REGEXEXTRACT(D24, "\d{4}\.\s(.*?)\.\sProc\. ACM")"),"Presentation Quality Assessment through Audience 3D Facial and Head Direction Using Conventional Cameras</f>
        <v xml:space="preserve">Presentation Quality Assessment through Audience 3D Facial and Head Direction Using Conventional Cameras</v>
      </c>
      <c r="B24" s="7">
        <f t="shared" si="17"/>
        <v>90</v>
      </c>
      <c r="C24" s="8" t="s">
        <v>730</v>
      </c>
      <c r="D24" s="10" t="s">
        <v>731</v>
      </c>
      <c r="E24" s="9">
        <v>45933</v>
      </c>
      <c r="F24" s="7">
        <v>2025</v>
      </c>
      <c r="G24" s="7" t="s">
        <v>575</v>
      </c>
      <c r="H24" s="13" t="str">
        <f t="shared" si="13"/>
        <v>2025_Sep_090</v>
      </c>
      <c r="I24" s="10" t="str">
        <f t="shared" si="14"/>
        <v>https://doi.org/10.1145/3749540</v>
      </c>
      <c r="J24" s="7">
        <f t="shared" si="16"/>
        <v>15</v>
      </c>
      <c r="K24" s="6" t="s">
        <v>32</v>
      </c>
      <c r="L24" s="24" t="str">
        <f t="shared" si="18"/>
        <v>No</v>
      </c>
      <c r="M24" s="7" t="s">
        <v>33</v>
      </c>
      <c r="N24" s="7" t="s">
        <v>33</v>
      </c>
      <c r="O24" s="7" t="s">
        <v>34</v>
      </c>
      <c r="P24" s="13"/>
      <c r="Q24" s="6"/>
      <c r="R24" s="7" t="s">
        <v>33</v>
      </c>
      <c r="S24" s="7" t="s">
        <v>34</v>
      </c>
      <c r="T24" s="13"/>
      <c r="U24" s="6" t="s">
        <v>732</v>
      </c>
      <c r="V24" s="7" t="s">
        <v>33</v>
      </c>
      <c r="W24" s="6" t="s">
        <v>733</v>
      </c>
      <c r="X24" s="7" t="s">
        <v>33</v>
      </c>
      <c r="Y24" s="6" t="s">
        <v>734</v>
      </c>
      <c r="Z24" s="7" t="s">
        <v>34</v>
      </c>
      <c r="AA24" s="6" t="s">
        <v>735</v>
      </c>
      <c r="AB24" s="6" t="s">
        <v>736</v>
      </c>
      <c r="AC24" s="6" t="s">
        <v>355</v>
      </c>
    </row>
    <row r="25" ht="22.5" customHeight="1">
      <c r="A25" s="11" t="str">
        <f>REGEXEXTRACT(D25, "\d{4}\.\s(.*?)\.\sProc\. ACM")"),"More Than Words: The Impact of Voice Assistant Personality Traits on Failure Mitigation</f>
        <v xml:space="preserve">More Than Words: The Impact of Voice Assistant Personality Traits on Failure Mitigation</v>
      </c>
      <c r="B25" s="7">
        <f t="shared" si="17"/>
        <v>91</v>
      </c>
      <c r="C25" s="8" t="s">
        <v>737</v>
      </c>
      <c r="D25" s="10" t="s">
        <v>738</v>
      </c>
      <c r="E25" s="9">
        <v>45933</v>
      </c>
      <c r="F25" s="7">
        <v>2025</v>
      </c>
      <c r="G25" s="7" t="s">
        <v>575</v>
      </c>
      <c r="H25" s="13" t="str">
        <f t="shared" si="13"/>
        <v>2025_Sep_091</v>
      </c>
      <c r="I25" s="10" t="str">
        <f t="shared" si="14"/>
        <v>https://doi.org/10.1145/3749518</v>
      </c>
      <c r="J25" s="7">
        <f t="shared" si="16"/>
        <v>33</v>
      </c>
      <c r="K25" s="6" t="s">
        <v>42</v>
      </c>
      <c r="L25" s="24" t="str">
        <f t="shared" si="18"/>
        <v>No</v>
      </c>
      <c r="M25" s="7" t="s">
        <v>33</v>
      </c>
      <c r="N25" s="7" t="s">
        <v>34</v>
      </c>
      <c r="O25" s="7" t="s">
        <v>35</v>
      </c>
      <c r="P25" s="13"/>
      <c r="Q25" s="13"/>
      <c r="R25" s="7" t="s">
        <v>34</v>
      </c>
      <c r="S25" s="7" t="s">
        <v>35</v>
      </c>
      <c r="T25" s="13"/>
      <c r="U25" s="13"/>
      <c r="V25" s="7" t="s">
        <v>35</v>
      </c>
      <c r="W25" s="6"/>
      <c r="X25" s="7" t="s">
        <v>35</v>
      </c>
      <c r="Y25" s="6"/>
      <c r="Z25" s="7" t="s">
        <v>35</v>
      </c>
      <c r="AA25" s="6"/>
      <c r="AB25" s="6"/>
      <c r="AC25" s="6" t="s">
        <v>355</v>
      </c>
    </row>
    <row r="26" ht="22.5" customHeight="1">
      <c r="A26" s="11" t="str">
        <f>REGEXEXTRACT(D26, "\d{4}\.\s(.*?)\.\sProc\. ACM")"),"SenseSeek Dataset: Multimodal Sensing to Study Information Seeking Behaviors</f>
        <v xml:space="preserve">SenseSeek Dataset: Multimodal Sensing to Study Information Seeking Behaviors</v>
      </c>
      <c r="B26" s="7">
        <f t="shared" si="17"/>
        <v>92</v>
      </c>
      <c r="C26" s="8" t="s">
        <v>739</v>
      </c>
      <c r="D26" s="10" t="s">
        <v>740</v>
      </c>
      <c r="E26" s="9">
        <v>45933</v>
      </c>
      <c r="F26" s="7">
        <v>2025</v>
      </c>
      <c r="G26" s="7" t="s">
        <v>575</v>
      </c>
      <c r="H26" s="13" t="str">
        <f t="shared" si="13"/>
        <v>2025_Sep_092</v>
      </c>
      <c r="I26" s="10" t="str">
        <f t="shared" si="14"/>
        <v>https://doi.org/10.1145/3749501</v>
      </c>
      <c r="J26" s="7">
        <f t="shared" si="16"/>
        <v>29</v>
      </c>
      <c r="K26" s="6" t="s">
        <v>741</v>
      </c>
      <c r="L26" s="24" t="str">
        <f>IF(REGEXMATCH(LOWER($A26),"(^|[^a-z])dataset(s)?([^a-z]|$)"),"Yes","No")"),"Yes</f>
        <v>Yes</v>
      </c>
      <c r="M26" s="7" t="s">
        <v>33</v>
      </c>
      <c r="N26" s="7" t="s">
        <v>33</v>
      </c>
      <c r="O26" s="7" t="s">
        <v>33</v>
      </c>
      <c r="P26" s="12" t="s">
        <v>742</v>
      </c>
      <c r="Q26" s="6" t="s">
        <v>743</v>
      </c>
      <c r="R26" s="7" t="s">
        <v>33</v>
      </c>
      <c r="S26" s="7" t="s">
        <v>33</v>
      </c>
      <c r="T26" s="10" t="s">
        <v>744</v>
      </c>
      <c r="U26" s="6" t="s">
        <v>745</v>
      </c>
      <c r="V26" s="7" t="s">
        <v>33</v>
      </c>
      <c r="W26" s="6" t="s">
        <v>746</v>
      </c>
      <c r="X26" s="7" t="s">
        <v>34</v>
      </c>
      <c r="Y26" s="6" t="s">
        <v>747</v>
      </c>
      <c r="Z26" s="7" t="s">
        <v>33</v>
      </c>
      <c r="AA26" s="6" t="s">
        <v>748</v>
      </c>
      <c r="AB26" s="6" t="s">
        <v>749</v>
      </c>
      <c r="AC26" s="6" t="s">
        <v>355</v>
      </c>
    </row>
    <row r="27" ht="22.5" customHeight="1">
      <c r="A27" s="11" t="str">
        <f>REGEXEXTRACT(D27, "\d{4}\.\s(.*?)\.\sProc\. ACM")"),"PASS: A Novel PPG-based Aortic Stenosis Screening System</f>
        <v xml:space="preserve">PASS: A Novel PPG-based Aortic Stenosis Screening System</v>
      </c>
      <c r="B27" s="7">
        <f t="shared" si="17"/>
        <v>93</v>
      </c>
      <c r="C27" s="8" t="s">
        <v>750</v>
      </c>
      <c r="D27" s="10" t="s">
        <v>751</v>
      </c>
      <c r="E27" s="9">
        <v>45934</v>
      </c>
      <c r="F27" s="7">
        <v>2025</v>
      </c>
      <c r="G27" s="7" t="s">
        <v>575</v>
      </c>
      <c r="H27" s="13" t="str">
        <f t="shared" si="13"/>
        <v>2025_Sep_093</v>
      </c>
      <c r="I27" s="10" t="str">
        <f t="shared" si="14"/>
        <v>https://doi.org/10.1145/3749548</v>
      </c>
      <c r="J27" s="7">
        <f t="shared" si="16"/>
        <v>25</v>
      </c>
      <c r="K27" s="6" t="s">
        <v>71</v>
      </c>
      <c r="L27" s="24" t="str">
        <f t="shared" ref="L27:L31" si="19">IF(REGEXMATCH(LOWER($A27),"(^|[^a-z])dataset(s)?([^a-z]|$)"),"Yes","No")"),"No</f>
        <v>No</v>
      </c>
      <c r="M27" s="7" t="s">
        <v>34</v>
      </c>
      <c r="N27" s="7" t="s">
        <v>33</v>
      </c>
      <c r="O27" s="7" t="s">
        <v>34</v>
      </c>
      <c r="P27" s="13"/>
      <c r="Q27" s="6"/>
      <c r="R27" s="7" t="s">
        <v>33</v>
      </c>
      <c r="S27" s="7" t="s">
        <v>34</v>
      </c>
      <c r="T27" s="13"/>
      <c r="U27" s="6" t="s">
        <v>752</v>
      </c>
      <c r="V27" s="7" t="s">
        <v>33</v>
      </c>
      <c r="W27" s="6" t="s">
        <v>753</v>
      </c>
      <c r="X27" s="7" t="s">
        <v>33</v>
      </c>
      <c r="Y27" s="6" t="s">
        <v>754</v>
      </c>
      <c r="Z27" s="7" t="s">
        <v>34</v>
      </c>
      <c r="AA27" s="6" t="s">
        <v>755</v>
      </c>
      <c r="AB27" s="6" t="s">
        <v>756</v>
      </c>
      <c r="AC27" s="6" t="s">
        <v>355</v>
      </c>
    </row>
    <row r="28" ht="22.5" customHeight="1">
      <c r="A28" s="11" t="str">
        <f>REGEXEXTRACT(D28, "\d{4}\.\s(.*?)\.\sProc\. ACM")"),"You're the One Whom I'm Talking To: The Role of Contextual External Human-Machine Interfaces in Multi-Road User Conflict Scenarios</f>
        <v xml:space="preserve">You're the One Whom I'm Talking To: The Role of Contextual External Human-Machine Interfaces in Multi-Road User Conflict Scenarios</v>
      </c>
      <c r="B28" s="7">
        <f t="shared" si="17"/>
        <v>94</v>
      </c>
      <c r="C28" s="8" t="s">
        <v>757</v>
      </c>
      <c r="D28" s="10" t="s">
        <v>758</v>
      </c>
      <c r="E28" s="9">
        <v>45934</v>
      </c>
      <c r="F28" s="7">
        <v>2025</v>
      </c>
      <c r="G28" s="7" t="s">
        <v>575</v>
      </c>
      <c r="H28" s="13" t="str">
        <f t="shared" si="13"/>
        <v>2025_Sep_094</v>
      </c>
      <c r="I28" s="10" t="str">
        <f t="shared" si="14"/>
        <v>https://doi.org/10.1145/3749473</v>
      </c>
      <c r="J28" s="7">
        <f t="shared" si="16"/>
        <v>37</v>
      </c>
      <c r="K28" s="6" t="s">
        <v>42</v>
      </c>
      <c r="L28" s="24" t="str">
        <f t="shared" si="19"/>
        <v>No</v>
      </c>
      <c r="M28" s="7" t="s">
        <v>33</v>
      </c>
      <c r="N28" s="7" t="s">
        <v>34</v>
      </c>
      <c r="O28" s="7" t="s">
        <v>35</v>
      </c>
      <c r="P28" s="13"/>
      <c r="Q28" s="13"/>
      <c r="R28" s="7" t="s">
        <v>34</v>
      </c>
      <c r="S28" s="7" t="s">
        <v>35</v>
      </c>
      <c r="T28" s="13"/>
      <c r="U28" s="13"/>
      <c r="V28" s="7" t="s">
        <v>35</v>
      </c>
      <c r="W28" s="13"/>
      <c r="X28" s="7" t="s">
        <v>35</v>
      </c>
      <c r="Y28" s="13"/>
      <c r="Z28" s="7" t="s">
        <v>35</v>
      </c>
      <c r="AA28" s="6"/>
      <c r="AB28" s="6"/>
      <c r="AC28" s="6" t="s">
        <v>355</v>
      </c>
    </row>
    <row r="29" ht="22.5" customHeight="1">
      <c r="A29" s="11" t="str">
        <f>REGEXEXTRACT(D29, "\d{4}\.\s(.*?)\.\sProc\. ACM")"),"Mindfulness Meditation and Respiration: Accelerometer-based Respiration Rate and Mindfulness Progress Estimation to Enhance App Engagement and Mindfulness Skills</f>
        <v xml:space="preserve">Mindfulness Meditation and Respiration: Accelerometer-based Respiration Rate and Mindfulness Progress Estimation to Enhance App Engagement and Mindfulness Skills</v>
      </c>
      <c r="B29" s="7">
        <f t="shared" si="17"/>
        <v>95</v>
      </c>
      <c r="C29" s="8" t="s">
        <v>759</v>
      </c>
      <c r="D29" s="10" t="s">
        <v>760</v>
      </c>
      <c r="E29" s="9">
        <v>45934</v>
      </c>
      <c r="F29" s="7">
        <v>2025</v>
      </c>
      <c r="G29" s="7" t="s">
        <v>575</v>
      </c>
      <c r="H29" s="13" t="str">
        <f t="shared" si="13"/>
        <v>2025_Sep_095</v>
      </c>
      <c r="I29" s="10" t="str">
        <f t="shared" si="14"/>
        <v>https://doi.org/10.1145/3749498</v>
      </c>
      <c r="J29" s="7">
        <f t="shared" si="16"/>
        <v>32</v>
      </c>
      <c r="K29" s="6" t="s">
        <v>133</v>
      </c>
      <c r="L29" s="24" t="str">
        <f t="shared" si="19"/>
        <v>No</v>
      </c>
      <c r="M29" s="7" t="s">
        <v>33</v>
      </c>
      <c r="N29" s="7" t="s">
        <v>33</v>
      </c>
      <c r="O29" s="7" t="s">
        <v>33</v>
      </c>
      <c r="P29" s="10" t="s">
        <v>761</v>
      </c>
      <c r="Q29" s="6" t="s">
        <v>762</v>
      </c>
      <c r="R29" s="7" t="s">
        <v>33</v>
      </c>
      <c r="S29" s="7" t="s">
        <v>33</v>
      </c>
      <c r="T29" s="10" t="s">
        <v>761</v>
      </c>
      <c r="U29" s="6" t="s">
        <v>763</v>
      </c>
      <c r="V29" s="7" t="s">
        <v>33</v>
      </c>
      <c r="W29" s="6" t="s">
        <v>764</v>
      </c>
      <c r="X29" s="7" t="s">
        <v>33</v>
      </c>
      <c r="Y29" s="6" t="s">
        <v>765</v>
      </c>
      <c r="Z29" s="7" t="s">
        <v>144</v>
      </c>
      <c r="AA29" s="6" t="s">
        <v>766</v>
      </c>
      <c r="AB29" s="6" t="s">
        <v>767</v>
      </c>
      <c r="AC29" s="6" t="s">
        <v>355</v>
      </c>
    </row>
    <row r="30" ht="22.5" customHeight="1">
      <c r="A30" s="11" t="str">
        <f>REGEXEXTRACT(D30, "\d{4}\.\s(.*?)\.\sProc\. ACM")"),"Harnessing Home IoT for Self-tracking Emotional Wellbeing: Behavioral Patterns, Self-reflection, and Privacy Concerns</f>
        <v xml:space="preserve">Harnessing Home IoT for Self-tracking Emotional Wellbeing: Behavioral Patterns, Self-reflection, and Privacy Concerns</v>
      </c>
      <c r="B30" s="7">
        <f t="shared" si="17"/>
        <v>96</v>
      </c>
      <c r="C30" s="8" t="s">
        <v>768</v>
      </c>
      <c r="D30" s="10" t="s">
        <v>769</v>
      </c>
      <c r="E30" s="9">
        <v>45934</v>
      </c>
      <c r="F30" s="7">
        <v>2025</v>
      </c>
      <c r="G30" s="7" t="s">
        <v>575</v>
      </c>
      <c r="H30" s="13" t="str">
        <f t="shared" si="13"/>
        <v>2025_Sep_096</v>
      </c>
      <c r="I30" s="10" t="str">
        <f t="shared" si="14"/>
        <v>https://doi.org/10.1145/3749485</v>
      </c>
      <c r="J30" s="7">
        <f t="shared" si="16"/>
        <v>36</v>
      </c>
      <c r="K30" s="6" t="s">
        <v>652</v>
      </c>
      <c r="L30" s="24" t="str">
        <f t="shared" si="19"/>
        <v>No</v>
      </c>
      <c r="M30" s="7" t="s">
        <v>33</v>
      </c>
      <c r="N30" s="7" t="s">
        <v>33</v>
      </c>
      <c r="O30" s="7" t="s">
        <v>34</v>
      </c>
      <c r="P30" s="13"/>
      <c r="Q30" s="6"/>
      <c r="R30" s="7" t="s">
        <v>33</v>
      </c>
      <c r="S30" s="7" t="s">
        <v>34</v>
      </c>
      <c r="T30" s="13"/>
      <c r="U30" s="6" t="s">
        <v>770</v>
      </c>
      <c r="V30" s="7" t="s">
        <v>33</v>
      </c>
      <c r="W30" s="6" t="s">
        <v>771</v>
      </c>
      <c r="X30" s="7" t="s">
        <v>33</v>
      </c>
      <c r="Y30" s="6" t="s">
        <v>772</v>
      </c>
      <c r="Z30" s="7" t="s">
        <v>34</v>
      </c>
      <c r="AA30" s="6" t="s">
        <v>773</v>
      </c>
      <c r="AB30" s="6" t="s">
        <v>774</v>
      </c>
      <c r="AC30" s="6" t="s">
        <v>355</v>
      </c>
    </row>
    <row r="31" ht="22.5" customHeight="1">
      <c r="A31" s="14" t="str">
        <f>REGEXEXTRACT(D31, "\d{4}\.\s(.*?)\.\sProc\. ACM")"),"MiNav: Autonomous Drone Navigation Indoors Using Millimeter-Waves</f>
        <v xml:space="preserve">MiNav: Autonomous Drone Navigation Indoors Using Millimeter-Waves</v>
      </c>
      <c r="B31" s="15">
        <f t="shared" si="17"/>
        <v>97</v>
      </c>
      <c r="C31" s="16" t="s">
        <v>775</v>
      </c>
      <c r="D31" s="22" t="s">
        <v>776</v>
      </c>
      <c r="E31" s="18">
        <v>45934</v>
      </c>
      <c r="F31" s="15">
        <v>2025</v>
      </c>
      <c r="G31" s="15" t="s">
        <v>575</v>
      </c>
      <c r="H31" s="20" t="str">
        <f t="shared" si="13"/>
        <v>2025_Sep_097</v>
      </c>
      <c r="I31" s="22" t="str">
        <f t="shared" si="14"/>
        <v>https://doi.org/10.1145/3749464</v>
      </c>
      <c r="J31" s="15">
        <f t="shared" si="16"/>
        <v>32</v>
      </c>
      <c r="K31" s="17" t="s">
        <v>777</v>
      </c>
      <c r="L31" s="25" t="str">
        <f t="shared" si="19"/>
        <v>No</v>
      </c>
      <c r="M31" s="15" t="s">
        <v>33</v>
      </c>
      <c r="N31" s="15" t="s">
        <v>33</v>
      </c>
      <c r="O31" s="15" t="s">
        <v>34</v>
      </c>
      <c r="P31" s="20"/>
      <c r="Q31" s="17"/>
      <c r="R31" s="15" t="s">
        <v>33</v>
      </c>
      <c r="S31" s="15" t="s">
        <v>34</v>
      </c>
      <c r="T31" s="20"/>
      <c r="U31" s="17" t="s">
        <v>778</v>
      </c>
      <c r="V31" s="15" t="s">
        <v>33</v>
      </c>
      <c r="W31" s="17" t="s">
        <v>779</v>
      </c>
      <c r="X31" s="15" t="s">
        <v>34</v>
      </c>
      <c r="Y31" s="17" t="s">
        <v>780</v>
      </c>
      <c r="Z31" s="15" t="s">
        <v>34</v>
      </c>
      <c r="AA31" s="17" t="s">
        <v>781</v>
      </c>
      <c r="AB31" s="17" t="s">
        <v>782</v>
      </c>
      <c r="AC31" s="17" t="s">
        <v>355</v>
      </c>
    </row>
    <row r="32" ht="22.5" customHeight="1">
      <c r="A32" s="11" t="str">
        <f>REGEXEXTRACT(D32, "\d{4}\.\s(.*?)\.\sProc\. ACM")"),"XRF V2: A Dataset for Action Summarization with Wi-Fi Signals, and IMUs in Phones, Watches, Earbuds, and Glasses</f>
        <v xml:space="preserve">XRF V2: A Dataset for Action Summarization with Wi-Fi Signals, and IMUs in Phones, Watches, Earbuds, and Glasses</v>
      </c>
      <c r="B32" s="7">
        <f t="shared" si="17"/>
        <v>98</v>
      </c>
      <c r="C32" s="8" t="s">
        <v>783</v>
      </c>
      <c r="D32" s="6" t="s">
        <v>784</v>
      </c>
      <c r="E32" s="9">
        <v>45957</v>
      </c>
      <c r="F32" s="7">
        <v>2025</v>
      </c>
      <c r="G32" s="7" t="s">
        <v>575</v>
      </c>
      <c r="H32" s="13" t="str">
        <f t="shared" si="13"/>
        <v>2025_Sep_098</v>
      </c>
      <c r="I32" s="10" t="str">
        <f t="shared" si="14"/>
        <v>https://doi.org/10.1145/3749521</v>
      </c>
      <c r="J32" s="7">
        <f t="shared" si="16"/>
        <v>41</v>
      </c>
      <c r="K32" s="6" t="s">
        <v>243</v>
      </c>
      <c r="L32" s="24" t="str">
        <f>IF(REGEXMATCH(LOWER($A32),"(^|[^a-z])dataset(s)?([^a-z]|$)"),"Yes","No")"),"Yes</f>
        <v>Yes</v>
      </c>
      <c r="M32" s="7" t="s">
        <v>34</v>
      </c>
      <c r="N32" s="7" t="s">
        <v>33</v>
      </c>
      <c r="O32" s="7" t="s">
        <v>33</v>
      </c>
      <c r="P32" s="10" t="s">
        <v>785</v>
      </c>
      <c r="Q32" s="6"/>
      <c r="R32" s="7" t="s">
        <v>33</v>
      </c>
      <c r="S32" s="7" t="s">
        <v>33</v>
      </c>
      <c r="T32" s="10" t="s">
        <v>785</v>
      </c>
      <c r="U32" s="6" t="s">
        <v>786</v>
      </c>
      <c r="V32" s="7" t="s">
        <v>34</v>
      </c>
      <c r="W32" s="6" t="s">
        <v>787</v>
      </c>
      <c r="X32" s="7" t="s">
        <v>34</v>
      </c>
      <c r="Y32" s="6" t="s">
        <v>788</v>
      </c>
      <c r="Z32" s="7" t="s">
        <v>33</v>
      </c>
      <c r="AA32" s="6" t="s">
        <v>789</v>
      </c>
      <c r="AB32" s="6" t="s">
        <v>790</v>
      </c>
      <c r="AC32" s="6" t="s">
        <v>39</v>
      </c>
    </row>
    <row r="33" ht="22.5" customHeight="1">
      <c r="A33" s="11" t="str">
        <f>REGEXEXTRACT(D33, "\d{4}\.\s(.*?)\.\sProc\. ACM")"),"Grab-n-Go: On-the-Go Microgesture Recognition with Objects in Hand</f>
        <v xml:space="preserve">Grab-n-Go: On-the-Go Microgesture Recognition with Objects in Hand</v>
      </c>
      <c r="B33" s="7">
        <f t="shared" si="17"/>
        <v>99</v>
      </c>
      <c r="C33" s="8" t="s">
        <v>791</v>
      </c>
      <c r="D33" s="6" t="s">
        <v>792</v>
      </c>
      <c r="E33" s="9">
        <v>45957</v>
      </c>
      <c r="F33" s="7">
        <v>2025</v>
      </c>
      <c r="G33" s="7" t="s">
        <v>575</v>
      </c>
      <c r="H33" s="13" t="str">
        <f t="shared" si="13"/>
        <v>2025_Sep_099</v>
      </c>
      <c r="I33" s="10" t="str">
        <f t="shared" si="14"/>
        <v>https://doi.org/10.1145/3749469</v>
      </c>
      <c r="J33" s="7">
        <f t="shared" si="16"/>
        <v>27</v>
      </c>
      <c r="K33" s="6" t="s">
        <v>348</v>
      </c>
      <c r="L33" s="24" t="str">
        <f t="shared" ref="L33:L60" si="20">IF(REGEXMATCH(LOWER($A33),"(^|[^a-z])dataset(s)?([^a-z]|$)"),"Yes","No")"),"No</f>
        <v>No</v>
      </c>
      <c r="M33" s="7" t="s">
        <v>33</v>
      </c>
      <c r="N33" s="7" t="s">
        <v>33</v>
      </c>
      <c r="O33" s="7" t="s">
        <v>34</v>
      </c>
      <c r="P33" s="13"/>
      <c r="Q33" s="6"/>
      <c r="R33" s="7" t="s">
        <v>33</v>
      </c>
      <c r="S33" s="7" t="s">
        <v>33</v>
      </c>
      <c r="T33" s="10" t="s">
        <v>793</v>
      </c>
      <c r="U33" s="6" t="s">
        <v>794</v>
      </c>
      <c r="V33" s="7" t="s">
        <v>33</v>
      </c>
      <c r="W33" s="6" t="s">
        <v>795</v>
      </c>
      <c r="X33" s="7" t="s">
        <v>34</v>
      </c>
      <c r="Y33" s="6"/>
      <c r="Z33" s="7" t="s">
        <v>144</v>
      </c>
      <c r="AA33" s="6" t="s">
        <v>796</v>
      </c>
      <c r="AB33" s="6" t="s">
        <v>797</v>
      </c>
      <c r="AC33" s="6" t="s">
        <v>39</v>
      </c>
    </row>
    <row r="34" ht="22.5" customHeight="1">
      <c r="A34" s="11" t="str">
        <f>REGEXEXTRACT(D34, "\d{4}\.\s(.*?)\.\sProc\. ACM")"),"PracticalBP: Continuous Cuffless Blood Pressure Monitoring with Only One Record for Calibration</f>
        <v xml:space="preserve">PracticalBP: Continuous Cuffless Blood Pressure Monitoring with Only One Record for Calibration</v>
      </c>
      <c r="B34" s="7">
        <f t="shared" si="17"/>
        <v>100</v>
      </c>
      <c r="C34" s="8" t="s">
        <v>798</v>
      </c>
      <c r="D34" s="6" t="s">
        <v>799</v>
      </c>
      <c r="E34" s="9">
        <v>45957</v>
      </c>
      <c r="F34" s="7">
        <v>2025</v>
      </c>
      <c r="G34" s="7" t="s">
        <v>575</v>
      </c>
      <c r="H34" s="13" t="str">
        <f t="shared" si="13"/>
        <v>2025_Sep_100</v>
      </c>
      <c r="I34" s="10" t="str">
        <f t="shared" si="14"/>
        <v>https://doi.org/10.1145/3749486</v>
      </c>
      <c r="J34" s="7">
        <f t="shared" si="16"/>
        <v>31</v>
      </c>
      <c r="K34" s="6" t="s">
        <v>348</v>
      </c>
      <c r="L34" s="24" t="str">
        <f t="shared" si="20"/>
        <v>No</v>
      </c>
      <c r="M34" s="7" t="s">
        <v>34</v>
      </c>
      <c r="N34" s="7" t="s">
        <v>33</v>
      </c>
      <c r="O34" s="7" t="s">
        <v>34</v>
      </c>
      <c r="P34" s="13"/>
      <c r="Q34" s="6"/>
      <c r="R34" s="7" t="s">
        <v>33</v>
      </c>
      <c r="S34" s="7" t="s">
        <v>34</v>
      </c>
      <c r="T34" s="13"/>
      <c r="U34" s="6" t="s">
        <v>800</v>
      </c>
      <c r="V34" s="7" t="s">
        <v>33</v>
      </c>
      <c r="W34" s="6" t="s">
        <v>801</v>
      </c>
      <c r="X34" s="7" t="s">
        <v>33</v>
      </c>
      <c r="Y34" s="6" t="s">
        <v>802</v>
      </c>
      <c r="Z34" s="7" t="s">
        <v>34</v>
      </c>
      <c r="AA34" s="6"/>
      <c r="AB34" s="6" t="s">
        <v>803</v>
      </c>
      <c r="AC34" s="6" t="s">
        <v>39</v>
      </c>
    </row>
    <row r="35" ht="22.5" customHeight="1">
      <c r="A35" s="11" t="str">
        <f>REGEXEXTRACT(D35, "\d{4}\.\s(.*?)\.\sProc\. ACM")"),"Vital Insight: Assisting Experts' Context-Driven Sensemaking of Multi-modal Personal Tracking Data Using Visualization and Human-in-the-Loop LLM</f>
        <v xml:space="preserve">Vital Insight: Assisting Experts' Context-Driven Sensemaking of Multi-modal Personal Tracking Data Using Visualization and Human-in-the-Loop LLM</v>
      </c>
      <c r="B35" s="7">
        <f t="shared" si="17"/>
        <v>101</v>
      </c>
      <c r="C35" s="8" t="s">
        <v>804</v>
      </c>
      <c r="D35" s="10" t="s">
        <v>805</v>
      </c>
      <c r="E35" s="9">
        <v>45957</v>
      </c>
      <c r="F35" s="7">
        <v>2025</v>
      </c>
      <c r="G35" s="7" t="s">
        <v>575</v>
      </c>
      <c r="H35" s="13" t="str">
        <f t="shared" si="13"/>
        <v>2025_Sep_101</v>
      </c>
      <c r="I35" s="10" t="str">
        <f t="shared" si="14"/>
        <v>https://doi.org/10.1145/3749508</v>
      </c>
      <c r="J35" s="7">
        <f t="shared" si="16"/>
        <v>37</v>
      </c>
      <c r="K35" s="6" t="s">
        <v>32</v>
      </c>
      <c r="L35" s="24" t="str">
        <f t="shared" si="20"/>
        <v>No</v>
      </c>
      <c r="M35" s="7" t="s">
        <v>33</v>
      </c>
      <c r="N35" s="7" t="s">
        <v>33</v>
      </c>
      <c r="O35" s="7" t="s">
        <v>33</v>
      </c>
      <c r="P35" s="10" t="s">
        <v>806</v>
      </c>
      <c r="Q35" s="6"/>
      <c r="R35" s="7" t="s">
        <v>33</v>
      </c>
      <c r="S35" s="7" t="s">
        <v>94</v>
      </c>
      <c r="T35" s="10" t="s">
        <v>806</v>
      </c>
      <c r="U35" s="6" t="s">
        <v>807</v>
      </c>
      <c r="V35" s="7" t="s">
        <v>34</v>
      </c>
      <c r="W35" s="6" t="s">
        <v>808</v>
      </c>
      <c r="X35" s="7" t="s">
        <v>33</v>
      </c>
      <c r="Y35" s="6" t="s">
        <v>809</v>
      </c>
      <c r="Z35" s="7" t="s">
        <v>144</v>
      </c>
      <c r="AA35" s="6" t="s">
        <v>810</v>
      </c>
      <c r="AB35" s="6" t="s">
        <v>811</v>
      </c>
      <c r="AC35" s="6" t="s">
        <v>39</v>
      </c>
    </row>
    <row r="36" ht="22.5" customHeight="1">
      <c r="A36" s="11" t="str">
        <f>REGEXEXTRACT(D36, "\d{4}\.\s(.*?)\.\sProc\. ACM")"),"Identifying Design Opportunities for Behavior Displacement for Intervening Sedentary Time among Older Adults</f>
        <v xml:space="preserve">Identifying Design Opportunities for Behavior Displacement for Intervening Sedentary Time among Older Adults</v>
      </c>
      <c r="B36" s="7">
        <f t="shared" si="17"/>
        <v>102</v>
      </c>
      <c r="C36" s="8" t="s">
        <v>812</v>
      </c>
      <c r="D36" s="6" t="s">
        <v>813</v>
      </c>
      <c r="E36" s="9">
        <v>45957</v>
      </c>
      <c r="F36" s="7">
        <v>2025</v>
      </c>
      <c r="G36" s="7" t="s">
        <v>575</v>
      </c>
      <c r="H36" s="13" t="str">
        <f t="shared" si="13"/>
        <v>2025_Sep_102</v>
      </c>
      <c r="I36" s="10" t="str">
        <f t="shared" si="14"/>
        <v>https://doi.org/10.1145/3749476</v>
      </c>
      <c r="J36" s="7">
        <f t="shared" si="16"/>
        <v>23</v>
      </c>
      <c r="K36" s="6" t="s">
        <v>42</v>
      </c>
      <c r="L36" s="24" t="str">
        <f t="shared" si="20"/>
        <v>No</v>
      </c>
      <c r="M36" s="7" t="s">
        <v>33</v>
      </c>
      <c r="N36" s="7" t="s">
        <v>34</v>
      </c>
      <c r="O36" s="7" t="s">
        <v>35</v>
      </c>
      <c r="P36" s="13"/>
      <c r="Q36" s="6"/>
      <c r="R36" s="7" t="s">
        <v>34</v>
      </c>
      <c r="S36" s="7" t="s">
        <v>35</v>
      </c>
      <c r="T36" s="13"/>
      <c r="U36" s="6"/>
      <c r="V36" s="7" t="s">
        <v>35</v>
      </c>
      <c r="W36" s="6"/>
      <c r="X36" s="7" t="s">
        <v>35</v>
      </c>
      <c r="Y36" s="6"/>
      <c r="Z36" s="7" t="s">
        <v>35</v>
      </c>
      <c r="AA36" s="6"/>
      <c r="AB36" s="6"/>
      <c r="AC36" s="6" t="s">
        <v>39</v>
      </c>
    </row>
    <row r="37" ht="22.5" customHeight="1">
      <c r="A37" s="11" t="str">
        <f>REGEXEXTRACT(D37, "\d{4}\.\s(.*?)\.\sProc\. ACM")"),"RemVerse: Supporting Reminiscence Activities for Older Adults through AI-Assisted Virtual Reality</f>
        <v xml:space="preserve">RemVerse: Supporting Reminiscence Activities for Older Adults through AI-Assisted Virtual Reality</v>
      </c>
      <c r="B37" s="7">
        <f t="shared" si="17"/>
        <v>103</v>
      </c>
      <c r="C37" s="8" t="s">
        <v>814</v>
      </c>
      <c r="D37" s="6" t="s">
        <v>815</v>
      </c>
      <c r="E37" s="9">
        <v>45957</v>
      </c>
      <c r="F37" s="7">
        <v>2025</v>
      </c>
      <c r="G37" s="7" t="s">
        <v>575</v>
      </c>
      <c r="H37" s="13" t="str">
        <f t="shared" si="13"/>
        <v>2025_Sep_103</v>
      </c>
      <c r="I37" s="10" t="str">
        <f t="shared" si="14"/>
        <v>https://doi.org/10.1145/3749505</v>
      </c>
      <c r="J37" s="7">
        <f t="shared" si="16"/>
        <v>25</v>
      </c>
      <c r="K37" s="6" t="s">
        <v>32</v>
      </c>
      <c r="L37" s="24" t="str">
        <f t="shared" si="20"/>
        <v>No</v>
      </c>
      <c r="M37" s="7" t="s">
        <v>34</v>
      </c>
      <c r="N37" s="7" t="s">
        <v>33</v>
      </c>
      <c r="O37" s="7" t="s">
        <v>34</v>
      </c>
      <c r="P37" s="13"/>
      <c r="Q37" s="6"/>
      <c r="R37" s="7" t="s">
        <v>34</v>
      </c>
      <c r="S37" s="7" t="s">
        <v>34</v>
      </c>
      <c r="T37" s="13"/>
      <c r="U37" s="6"/>
      <c r="V37" s="7" t="s">
        <v>33</v>
      </c>
      <c r="W37" s="6" t="s">
        <v>816</v>
      </c>
      <c r="X37" s="7" t="s">
        <v>33</v>
      </c>
      <c r="Y37" s="6" t="s">
        <v>817</v>
      </c>
      <c r="Z37" s="7" t="s">
        <v>34</v>
      </c>
      <c r="AA37" s="6"/>
      <c r="AB37" s="6" t="s">
        <v>818</v>
      </c>
      <c r="AC37" s="6" t="s">
        <v>39</v>
      </c>
    </row>
    <row r="38" ht="22.5" customHeight="1">
      <c r="A38" s="11" t="str">
        <f>REGEXEXTRACT(D38, "\d{4}\.\s(.*?)\.\sProc\. ACM")"),"Guiding Multiple Remote Users in Physical Tasks with Language-driven Robotic Telepresence</f>
        <v xml:space="preserve">Guiding Multiple Remote Users in Physical Tasks with Language-driven Robotic Telepresence</v>
      </c>
      <c r="B38" s="7">
        <f t="shared" si="17"/>
        <v>104</v>
      </c>
      <c r="C38" s="8" t="s">
        <v>819</v>
      </c>
      <c r="D38" s="6" t="s">
        <v>820</v>
      </c>
      <c r="E38" s="9">
        <v>45957</v>
      </c>
      <c r="F38" s="7">
        <v>2025</v>
      </c>
      <c r="G38" s="7" t="s">
        <v>575</v>
      </c>
      <c r="H38" s="13" t="str">
        <f t="shared" si="13"/>
        <v>2025_Sep_104</v>
      </c>
      <c r="I38" s="10" t="str">
        <f t="shared" si="14"/>
        <v>https://doi.org/10.1145/3749472</v>
      </c>
      <c r="J38" s="7">
        <f t="shared" si="16"/>
        <v>34</v>
      </c>
      <c r="K38" s="6" t="s">
        <v>348</v>
      </c>
      <c r="L38" s="24" t="str">
        <f t="shared" si="20"/>
        <v>No</v>
      </c>
      <c r="M38" s="7" t="s">
        <v>33</v>
      </c>
      <c r="N38" s="7" t="s">
        <v>33</v>
      </c>
      <c r="O38" s="7" t="s">
        <v>34</v>
      </c>
      <c r="P38" s="13"/>
      <c r="Q38" s="6"/>
      <c r="R38" s="7" t="s">
        <v>34</v>
      </c>
      <c r="S38" s="7" t="s">
        <v>34</v>
      </c>
      <c r="T38" s="13"/>
      <c r="U38" s="6"/>
      <c r="V38" s="7" t="s">
        <v>33</v>
      </c>
      <c r="W38" s="6" t="s">
        <v>821</v>
      </c>
      <c r="X38" s="7" t="s">
        <v>33</v>
      </c>
      <c r="Y38" s="6" t="s">
        <v>822</v>
      </c>
      <c r="Z38" s="7" t="s">
        <v>34</v>
      </c>
      <c r="AA38" s="6"/>
      <c r="AB38" s="6" t="s">
        <v>823</v>
      </c>
      <c r="AC38" s="6" t="s">
        <v>39</v>
      </c>
    </row>
    <row r="39" ht="22.5" customHeight="1">
      <c r="A39" s="11" t="str">
        <f>REGEXEXTRACT(D39, "\d{4}\.\s(.*?)\.\sProc\. ACM")"),"How We Type with Word Suggestions: Understanding Visual Attention and Checking Behavior during Mobile Text Input</f>
        <v xml:space="preserve">How We Type with Word Suggestions: Understanding Visual Attention and Checking Behavior during Mobile Text Input</v>
      </c>
      <c r="B39" s="7">
        <f t="shared" si="17"/>
        <v>105</v>
      </c>
      <c r="C39" s="8" t="s">
        <v>824</v>
      </c>
      <c r="D39" s="6" t="s">
        <v>825</v>
      </c>
      <c r="E39" s="9">
        <v>45957</v>
      </c>
      <c r="F39" s="7">
        <v>2025</v>
      </c>
      <c r="G39" s="7" t="s">
        <v>575</v>
      </c>
      <c r="H39" s="13" t="str">
        <f t="shared" si="13"/>
        <v>2025_Sep_105</v>
      </c>
      <c r="I39" s="10" t="str">
        <f t="shared" si="14"/>
        <v>https://doi.org/10.1145/3749520</v>
      </c>
      <c r="J39" s="7">
        <f t="shared" si="16"/>
        <v>29</v>
      </c>
      <c r="K39" s="6" t="s">
        <v>741</v>
      </c>
      <c r="L39" s="24" t="str">
        <f t="shared" si="20"/>
        <v>No</v>
      </c>
      <c r="M39" s="7" t="s">
        <v>33</v>
      </c>
      <c r="N39" s="7" t="s">
        <v>33</v>
      </c>
      <c r="O39" s="7" t="s">
        <v>33</v>
      </c>
      <c r="P39" s="10" t="s">
        <v>826</v>
      </c>
      <c r="Q39" s="6" t="s">
        <v>827</v>
      </c>
      <c r="R39" s="7" t="s">
        <v>33</v>
      </c>
      <c r="S39" s="7" t="s">
        <v>33</v>
      </c>
      <c r="T39" s="10" t="s">
        <v>826</v>
      </c>
      <c r="U39" s="6" t="s">
        <v>828</v>
      </c>
      <c r="V39" s="7" t="s">
        <v>34</v>
      </c>
      <c r="W39" s="6" t="s">
        <v>829</v>
      </c>
      <c r="X39" s="7" t="s">
        <v>34</v>
      </c>
      <c r="Y39" s="6"/>
      <c r="Z39" s="7" t="s">
        <v>144</v>
      </c>
      <c r="AA39" s="6" t="s">
        <v>830</v>
      </c>
      <c r="AB39" s="6" t="s">
        <v>831</v>
      </c>
      <c r="AC39" s="6" t="s">
        <v>39</v>
      </c>
    </row>
    <row r="40" ht="22.5" customHeight="1">
      <c r="A40" s="11" t="str">
        <f>REGEXEXTRACT(D40, "\d{4}\.\s(.*?)\.\sProc\. ACM")"),"SPECal: Spatial Calibration Based on Self-Pose-Estimation Between mmWave Radar and Camera</f>
        <v xml:space="preserve">SPECal: Spatial Calibration Based on Self-Pose-Estimation Between mmWave Radar and Camera</v>
      </c>
      <c r="B40" s="7">
        <f t="shared" si="17"/>
        <v>106</v>
      </c>
      <c r="C40" s="8" t="s">
        <v>832</v>
      </c>
      <c r="D40" s="6" t="s">
        <v>833</v>
      </c>
      <c r="E40" s="9">
        <v>45957</v>
      </c>
      <c r="F40" s="7">
        <v>2025</v>
      </c>
      <c r="G40" s="7" t="s">
        <v>575</v>
      </c>
      <c r="H40" s="13" t="str">
        <f t="shared" si="13"/>
        <v>2025_Sep_106</v>
      </c>
      <c r="I40" s="10" t="str">
        <f t="shared" si="14"/>
        <v>https://doi.org/10.1145/3749456</v>
      </c>
      <c r="J40" s="7">
        <f t="shared" si="16"/>
        <v>26</v>
      </c>
      <c r="K40" s="6" t="s">
        <v>71</v>
      </c>
      <c r="L40" s="24" t="str">
        <f t="shared" si="20"/>
        <v>No</v>
      </c>
      <c r="M40" s="7" t="s">
        <v>34</v>
      </c>
      <c r="N40" s="7" t="s">
        <v>33</v>
      </c>
      <c r="O40" s="7" t="s">
        <v>34</v>
      </c>
      <c r="P40" s="13"/>
      <c r="Q40" s="6"/>
      <c r="R40" s="7" t="s">
        <v>33</v>
      </c>
      <c r="S40" s="7" t="s">
        <v>34</v>
      </c>
      <c r="T40" s="13"/>
      <c r="U40" s="6"/>
      <c r="V40" s="7" t="s">
        <v>33</v>
      </c>
      <c r="W40" s="6" t="s">
        <v>834</v>
      </c>
      <c r="X40" s="7" t="s">
        <v>34</v>
      </c>
      <c r="Y40" s="6"/>
      <c r="Z40" s="7" t="s">
        <v>34</v>
      </c>
      <c r="AA40" s="6"/>
      <c r="AB40" s="6" t="s">
        <v>835</v>
      </c>
      <c r="AC40" s="6" t="s">
        <v>39</v>
      </c>
    </row>
    <row r="41" ht="22.5" customHeight="1">
      <c r="A41" s="11" t="str">
        <f>REGEXEXTRACT(D41, "\d{4}\.\s(.*?)\.\sProc\. ACM")"),"HandProxy: Expanding the Affordances of Speech Interfaces in Immersive Environments with a Virtual Proxy Hand</f>
        <v xml:space="preserve">HandProxy: Expanding the Affordances of Speech Interfaces in Immersive Environments with a Virtual Proxy Hand</v>
      </c>
      <c r="B41" s="7">
        <f t="shared" si="17"/>
        <v>107</v>
      </c>
      <c r="C41" s="8" t="s">
        <v>836</v>
      </c>
      <c r="D41" s="6" t="s">
        <v>837</v>
      </c>
      <c r="E41" s="9">
        <v>45957</v>
      </c>
      <c r="F41" s="7">
        <v>2025</v>
      </c>
      <c r="G41" s="7" t="s">
        <v>575</v>
      </c>
      <c r="H41" s="13" t="str">
        <f t="shared" si="13"/>
        <v>2025_Sep_107</v>
      </c>
      <c r="I41" s="10" t="str">
        <f t="shared" si="14"/>
        <v>https://doi.org/10.1145/3749484</v>
      </c>
      <c r="J41" s="7">
        <f t="shared" si="16"/>
        <v>30</v>
      </c>
      <c r="K41" s="6" t="s">
        <v>32</v>
      </c>
      <c r="L41" s="24" t="str">
        <f t="shared" si="20"/>
        <v>No</v>
      </c>
      <c r="M41" s="7" t="s">
        <v>33</v>
      </c>
      <c r="N41" s="7" t="s">
        <v>33</v>
      </c>
      <c r="O41" s="7" t="s">
        <v>34</v>
      </c>
      <c r="P41" s="13"/>
      <c r="Q41" s="6"/>
      <c r="R41" s="7" t="s">
        <v>34</v>
      </c>
      <c r="S41" s="7" t="s">
        <v>34</v>
      </c>
      <c r="T41" s="13"/>
      <c r="U41" s="6"/>
      <c r="V41" s="7" t="s">
        <v>33</v>
      </c>
      <c r="W41" s="6" t="s">
        <v>838</v>
      </c>
      <c r="X41" s="7" t="s">
        <v>33</v>
      </c>
      <c r="Y41" s="6" t="s">
        <v>839</v>
      </c>
      <c r="Z41" s="7" t="s">
        <v>34</v>
      </c>
      <c r="AA41" s="6"/>
      <c r="AB41" s="6" t="s">
        <v>840</v>
      </c>
      <c r="AC41" s="6" t="s">
        <v>39</v>
      </c>
    </row>
    <row r="42" ht="22.5" customHeight="1">
      <c r="A42" s="11" t="str">
        <f>REGEXEXTRACT(D42, "\d{4}\.\s(.*?)\.\sProc\. ACM")"),"MmHolmes: Amodal Millimeter-wave Sensing by Understanding Human Kinetics</f>
        <v xml:space="preserve">MmHolmes: Amodal Millimeter-wave Sensing by Understanding Human Kinetics</v>
      </c>
      <c r="B42" s="7">
        <f t="shared" si="17"/>
        <v>108</v>
      </c>
      <c r="C42" s="8" t="s">
        <v>841</v>
      </c>
      <c r="D42" s="6" t="s">
        <v>842</v>
      </c>
      <c r="E42" s="9">
        <v>45957</v>
      </c>
      <c r="F42" s="7">
        <v>2025</v>
      </c>
      <c r="G42" s="7" t="s">
        <v>575</v>
      </c>
      <c r="H42" s="13" t="str">
        <f t="shared" si="13"/>
        <v>2025_Sep_108</v>
      </c>
      <c r="I42" s="10" t="str">
        <f t="shared" si="14"/>
        <v>https://doi.org/10.1145/3749500</v>
      </c>
      <c r="J42" s="7">
        <f t="shared" si="16"/>
        <v>30</v>
      </c>
      <c r="K42" s="6" t="s">
        <v>243</v>
      </c>
      <c r="L42" s="24" t="str">
        <f t="shared" si="20"/>
        <v>No</v>
      </c>
      <c r="M42" s="7" t="s">
        <v>34</v>
      </c>
      <c r="N42" s="7" t="s">
        <v>33</v>
      </c>
      <c r="O42" s="7" t="s">
        <v>34</v>
      </c>
      <c r="P42" s="13"/>
      <c r="Q42" s="6"/>
      <c r="R42" s="7" t="s">
        <v>33</v>
      </c>
      <c r="S42" s="7" t="s">
        <v>34</v>
      </c>
      <c r="T42" s="13"/>
      <c r="U42" s="6"/>
      <c r="V42" s="7" t="s">
        <v>33</v>
      </c>
      <c r="W42" s="6" t="s">
        <v>138</v>
      </c>
      <c r="X42" s="7" t="s">
        <v>34</v>
      </c>
      <c r="Y42" s="6"/>
      <c r="Z42" s="7" t="s">
        <v>34</v>
      </c>
      <c r="AA42" s="6"/>
      <c r="AB42" s="6" t="s">
        <v>843</v>
      </c>
      <c r="AC42" s="6" t="s">
        <v>39</v>
      </c>
    </row>
    <row r="43" ht="22.5" customHeight="1">
      <c r="A43" s="11" t="str">
        <f>REGEXEXTRACT(D43, "\d{4}\.\s(.*?)\.\sProc\. ACM")"),"IceSound: Acoustic-based Ice Thickness Sensing with Smartphones</f>
        <v xml:space="preserve">IceSound: Acoustic-based Ice Thickness Sensing with Smartphones</v>
      </c>
      <c r="B43" s="7">
        <f t="shared" si="17"/>
        <v>109</v>
      </c>
      <c r="C43" s="8" t="s">
        <v>844</v>
      </c>
      <c r="D43" s="6" t="s">
        <v>845</v>
      </c>
      <c r="E43" s="9">
        <v>45957</v>
      </c>
      <c r="F43" s="7">
        <v>2025</v>
      </c>
      <c r="G43" s="7" t="s">
        <v>575</v>
      </c>
      <c r="H43" s="13" t="str">
        <f t="shared" si="13"/>
        <v>2025_Sep_109</v>
      </c>
      <c r="I43" s="10" t="str">
        <f t="shared" si="14"/>
        <v>https://doi.org/10.1145/3749543</v>
      </c>
      <c r="J43" s="7">
        <f t="shared" si="16"/>
        <v>25</v>
      </c>
      <c r="K43" s="6" t="s">
        <v>64</v>
      </c>
      <c r="L43" s="24" t="str">
        <f t="shared" si="20"/>
        <v>No</v>
      </c>
      <c r="M43" s="7" t="s">
        <v>34</v>
      </c>
      <c r="N43" s="7" t="s">
        <v>33</v>
      </c>
      <c r="O43" s="7" t="s">
        <v>34</v>
      </c>
      <c r="P43" s="13"/>
      <c r="Q43" s="6"/>
      <c r="R43" s="7" t="s">
        <v>34</v>
      </c>
      <c r="S43" s="7" t="s">
        <v>34</v>
      </c>
      <c r="T43" s="13"/>
      <c r="U43" s="6"/>
      <c r="V43" s="7" t="s">
        <v>34</v>
      </c>
      <c r="W43" s="6" t="s">
        <v>124</v>
      </c>
      <c r="X43" s="7" t="s">
        <v>34</v>
      </c>
      <c r="Y43" s="6"/>
      <c r="Z43" s="7" t="s">
        <v>34</v>
      </c>
      <c r="AA43" s="6"/>
      <c r="AB43" s="6" t="s">
        <v>846</v>
      </c>
      <c r="AC43" s="6" t="s">
        <v>39</v>
      </c>
    </row>
    <row r="44" ht="22.5" customHeight="1">
      <c r="A44" s="11" t="str">
        <f>REGEXEXTRACT(D44, "\d{4}\.\s(.*?)\.\sProc\. ACM")"),"The Cognitive Strategies Behind Multimodal Health Sensemaking: A Menstrual Health Tracking Case Study</f>
        <v xml:space="preserve">The Cognitive Strategies Behind Multimodal Health Sensemaking: A Menstrual Health Tracking Case Study</v>
      </c>
      <c r="B44" s="7">
        <f t="shared" si="17"/>
        <v>110</v>
      </c>
      <c r="C44" s="8" t="s">
        <v>847</v>
      </c>
      <c r="D44" s="23" t="s">
        <v>848</v>
      </c>
      <c r="E44" s="9">
        <v>45957</v>
      </c>
      <c r="F44" s="7">
        <v>2025</v>
      </c>
      <c r="G44" s="7" t="s">
        <v>575</v>
      </c>
      <c r="H44" s="13" t="str">
        <f t="shared" si="13"/>
        <v>2025_Sep_110</v>
      </c>
      <c r="I44" s="10" t="str">
        <f t="shared" si="14"/>
        <v>https://doi.org/10.1145/3749482</v>
      </c>
      <c r="J44" s="7">
        <f t="shared" si="16"/>
        <v>27</v>
      </c>
      <c r="K44" s="6" t="s">
        <v>42</v>
      </c>
      <c r="L44" s="24" t="str">
        <f t="shared" si="20"/>
        <v>No</v>
      </c>
      <c r="M44" s="7" t="s">
        <v>33</v>
      </c>
      <c r="N44" s="7" t="s">
        <v>34</v>
      </c>
      <c r="O44" s="7" t="s">
        <v>35</v>
      </c>
      <c r="P44" s="13"/>
      <c r="Q44" s="6"/>
      <c r="R44" s="7" t="s">
        <v>34</v>
      </c>
      <c r="S44" s="7" t="s">
        <v>35</v>
      </c>
      <c r="T44" s="13"/>
      <c r="U44" s="6"/>
      <c r="V44" s="7" t="s">
        <v>35</v>
      </c>
      <c r="W44" s="6"/>
      <c r="X44" s="7" t="s">
        <v>35</v>
      </c>
      <c r="Y44" s="6"/>
      <c r="Z44" s="7" t="s">
        <v>35</v>
      </c>
      <c r="AA44" s="6"/>
      <c r="AB44" s="6"/>
      <c r="AC44" s="6" t="s">
        <v>39</v>
      </c>
    </row>
    <row r="45" ht="22.5" customHeight="1">
      <c r="A45" s="11" t="str">
        <f>REGEXEXTRACT(D45, "\d{4}\.\s(.*?)\.\sProc\. ACM")"),"ElectroClick: Enhancing Button Experiences on Surfaces with Electrotactile Sensations</f>
        <v xml:space="preserve">ElectroClick: Enhancing Button Experiences on Surfaces with Electrotactile Sensations</v>
      </c>
      <c r="B45" s="7">
        <f t="shared" si="17"/>
        <v>111</v>
      </c>
      <c r="C45" s="8" t="s">
        <v>849</v>
      </c>
      <c r="D45" s="6" t="s">
        <v>850</v>
      </c>
      <c r="E45" s="9">
        <v>45957</v>
      </c>
      <c r="F45" s="7">
        <v>2025</v>
      </c>
      <c r="G45" s="7" t="s">
        <v>575</v>
      </c>
      <c r="H45" s="13" t="str">
        <f t="shared" si="13"/>
        <v>2025_Sep_111</v>
      </c>
      <c r="I45" s="10" t="str">
        <f t="shared" si="14"/>
        <v>https://doi.org/10.1145/3749534</v>
      </c>
      <c r="J45" s="7">
        <f t="shared" si="16"/>
        <v>26</v>
      </c>
      <c r="K45" s="6" t="s">
        <v>45</v>
      </c>
      <c r="L45" s="24" t="str">
        <f t="shared" si="20"/>
        <v>No</v>
      </c>
      <c r="M45" s="7" t="s">
        <v>33</v>
      </c>
      <c r="N45" s="7" t="s">
        <v>33</v>
      </c>
      <c r="O45" s="7" t="s">
        <v>34</v>
      </c>
      <c r="P45" s="13"/>
      <c r="Q45" s="6" t="s">
        <v>851</v>
      </c>
      <c r="R45" s="7" t="s">
        <v>34</v>
      </c>
      <c r="S45" s="7" t="s">
        <v>34</v>
      </c>
      <c r="T45" s="13"/>
      <c r="U45" s="6"/>
      <c r="V45" s="7" t="s">
        <v>33</v>
      </c>
      <c r="W45" s="6" t="s">
        <v>852</v>
      </c>
      <c r="X45" s="7" t="s">
        <v>34</v>
      </c>
      <c r="Y45" s="6"/>
      <c r="Z45" s="7" t="s">
        <v>34</v>
      </c>
      <c r="AA45" s="6"/>
      <c r="AB45" s="6" t="s">
        <v>853</v>
      </c>
      <c r="AC45" s="6" t="s">
        <v>39</v>
      </c>
    </row>
    <row r="46" ht="22.5" customHeight="1">
      <c r="A46" s="11" t="str">
        <f>REGEXEXTRACT(D46, "\d{4}\.\s(.*?)\.\sProc\. ACM")"),"Amulet: Integrating Sensitive Information Access with Identity Authentication on Mobile Devices</f>
        <v xml:space="preserve">Amulet: Integrating Sensitive Information Access with Identity Authentication on Mobile Devices</v>
      </c>
      <c r="B46" s="7">
        <f t="shared" si="17"/>
        <v>112</v>
      </c>
      <c r="C46" s="8" t="s">
        <v>854</v>
      </c>
      <c r="D46" s="6" t="s">
        <v>855</v>
      </c>
      <c r="E46" s="9">
        <v>45957</v>
      </c>
      <c r="F46" s="7">
        <v>2025</v>
      </c>
      <c r="G46" s="7" t="s">
        <v>575</v>
      </c>
      <c r="H46" s="13" t="str">
        <f t="shared" si="13"/>
        <v>2025_Sep_112</v>
      </c>
      <c r="I46" s="10" t="str">
        <f t="shared" si="14"/>
        <v>https://doi.org/10.1145/3749546</v>
      </c>
      <c r="J46" s="7">
        <f t="shared" si="16"/>
        <v>29</v>
      </c>
      <c r="K46" s="6" t="s">
        <v>64</v>
      </c>
      <c r="L46" s="24" t="str">
        <f t="shared" si="20"/>
        <v>No</v>
      </c>
      <c r="M46" s="7" t="s">
        <v>34</v>
      </c>
      <c r="N46" s="7" t="s">
        <v>33</v>
      </c>
      <c r="O46" s="7" t="s">
        <v>34</v>
      </c>
      <c r="P46" s="13"/>
      <c r="Q46" s="6"/>
      <c r="R46" s="7" t="s">
        <v>33</v>
      </c>
      <c r="S46" s="7" t="s">
        <v>34</v>
      </c>
      <c r="T46" s="13"/>
      <c r="U46" s="6"/>
      <c r="V46" s="7" t="s">
        <v>34</v>
      </c>
      <c r="W46" s="6" t="s">
        <v>124</v>
      </c>
      <c r="X46" s="7" t="s">
        <v>34</v>
      </c>
      <c r="Y46" s="6"/>
      <c r="Z46" s="7" t="s">
        <v>34</v>
      </c>
      <c r="AA46" s="6"/>
      <c r="AB46" s="6" t="s">
        <v>856</v>
      </c>
      <c r="AC46" s="6" t="s">
        <v>39</v>
      </c>
    </row>
    <row r="47" ht="22.5" customHeight="1">
      <c r="A47" s="11" t="str">
        <f>REGEXEXTRACT(D47, "\d{4}\.\s(.*?)\.\sProc\. ACM")"),"TherAIssist: Assisting Art Therapy Homework and Client-Practitioner Collaboration through Human-AI Interaction</f>
        <v xml:space="preserve">TherAIssist: Assisting Art Therapy Homework and Client-Practitioner Collaboration through Human-AI Interaction</v>
      </c>
      <c r="B47" s="7">
        <f t="shared" si="17"/>
        <v>113</v>
      </c>
      <c r="C47" s="8" t="s">
        <v>857</v>
      </c>
      <c r="D47" s="6" t="s">
        <v>858</v>
      </c>
      <c r="E47" s="9">
        <v>45957</v>
      </c>
      <c r="F47" s="7">
        <v>2025</v>
      </c>
      <c r="G47" s="7" t="s">
        <v>575</v>
      </c>
      <c r="H47" s="13" t="str">
        <f t="shared" si="13"/>
        <v>2025_Sep_113</v>
      </c>
      <c r="I47" s="10" t="str">
        <f t="shared" si="14"/>
        <v>https://doi.org/10.1145/3749497</v>
      </c>
      <c r="J47" s="7">
        <f t="shared" si="16"/>
        <v>38</v>
      </c>
      <c r="K47" s="6" t="s">
        <v>133</v>
      </c>
      <c r="L47" s="24" t="str">
        <f t="shared" si="20"/>
        <v>No</v>
      </c>
      <c r="M47" s="7" t="s">
        <v>34</v>
      </c>
      <c r="N47" s="7" t="s">
        <v>33</v>
      </c>
      <c r="O47" s="7" t="s">
        <v>34</v>
      </c>
      <c r="P47" s="13"/>
      <c r="Q47" s="6"/>
      <c r="R47" s="7" t="s">
        <v>34</v>
      </c>
      <c r="S47" s="7" t="s">
        <v>34</v>
      </c>
      <c r="T47" s="13"/>
      <c r="U47" s="6"/>
      <c r="V47" s="7" t="s">
        <v>34</v>
      </c>
      <c r="W47" s="6"/>
      <c r="X47" s="7" t="s">
        <v>94</v>
      </c>
      <c r="Y47" s="6" t="s">
        <v>859</v>
      </c>
      <c r="Z47" s="7" t="s">
        <v>34</v>
      </c>
      <c r="AA47" s="6"/>
      <c r="AB47" s="6" t="s">
        <v>860</v>
      </c>
      <c r="AC47" s="6" t="s">
        <v>39</v>
      </c>
    </row>
    <row r="48" ht="22.5" customHeight="1">
      <c r="A48" s="11" t="str">
        <f>REGEXEXTRACT(D48, "\d{4}\.\s(.*?)\.\sProc\. ACM")"),"Digital Olfaction System Driven by Terahertz Sensing</f>
        <v xml:space="preserve">Digital Olfaction System Driven by Terahertz Sensing</v>
      </c>
      <c r="B48" s="7">
        <f t="shared" si="17"/>
        <v>114</v>
      </c>
      <c r="C48" s="8" t="s">
        <v>861</v>
      </c>
      <c r="D48" s="6" t="s">
        <v>862</v>
      </c>
      <c r="E48" s="9">
        <v>45957</v>
      </c>
      <c r="F48" s="7">
        <v>2025</v>
      </c>
      <c r="G48" s="7" t="s">
        <v>575</v>
      </c>
      <c r="H48" s="13" t="str">
        <f t="shared" si="13"/>
        <v>2025_Sep_114</v>
      </c>
      <c r="I48" s="10" t="str">
        <f t="shared" si="14"/>
        <v>https://doi.org/10.1145/3749532</v>
      </c>
      <c r="J48" s="7">
        <f t="shared" si="16"/>
        <v>26</v>
      </c>
      <c r="K48" s="6" t="s">
        <v>243</v>
      </c>
      <c r="L48" s="24" t="str">
        <f t="shared" si="20"/>
        <v>No</v>
      </c>
      <c r="M48" s="7" t="s">
        <v>34</v>
      </c>
      <c r="N48" s="7" t="s">
        <v>33</v>
      </c>
      <c r="O48" s="7" t="s">
        <v>34</v>
      </c>
      <c r="P48" s="13"/>
      <c r="Q48" s="6" t="s">
        <v>863</v>
      </c>
      <c r="R48" s="7" t="s">
        <v>33</v>
      </c>
      <c r="S48" s="7" t="s">
        <v>34</v>
      </c>
      <c r="T48" s="13"/>
      <c r="U48" s="6" t="s">
        <v>864</v>
      </c>
      <c r="V48" s="7" t="s">
        <v>33</v>
      </c>
      <c r="W48" s="6" t="s">
        <v>865</v>
      </c>
      <c r="X48" s="7" t="s">
        <v>34</v>
      </c>
      <c r="Y48" s="6"/>
      <c r="Z48" s="7" t="s">
        <v>34</v>
      </c>
      <c r="AA48" s="6"/>
      <c r="AB48" s="6" t="s">
        <v>866</v>
      </c>
      <c r="AC48" s="6" t="s">
        <v>39</v>
      </c>
    </row>
    <row r="49" ht="22.5" customHeight="1">
      <c r="A49" s="11" t="str">
        <f>REGEXEXTRACT(D49, "\d{4}\.\s(.*?)\.\sProc\. ACM")"),"ASE: Practical Acoustic Speed Estimation Beyond Doppler via Sound Diffusion Field</f>
        <v xml:space="preserve">ASE: Practical Acoustic Speed Estimation Beyond Doppler via Sound Diffusion Field</v>
      </c>
      <c r="B49" s="7">
        <f t="shared" si="17"/>
        <v>115</v>
      </c>
      <c r="C49" s="8" t="s">
        <v>867</v>
      </c>
      <c r="D49" s="6" t="s">
        <v>868</v>
      </c>
      <c r="E49" s="9">
        <v>45957</v>
      </c>
      <c r="F49" s="7">
        <v>2025</v>
      </c>
      <c r="G49" s="7" t="s">
        <v>575</v>
      </c>
      <c r="H49" s="13" t="str">
        <f t="shared" si="13"/>
        <v>2025_Sep_115</v>
      </c>
      <c r="I49" s="10" t="str">
        <f t="shared" si="14"/>
        <v>https://doi.org/10.1145/3749475</v>
      </c>
      <c r="J49" s="7">
        <f t="shared" si="16"/>
        <v>26</v>
      </c>
      <c r="K49" s="6" t="s">
        <v>71</v>
      </c>
      <c r="L49" s="24" t="str">
        <f t="shared" si="20"/>
        <v>No</v>
      </c>
      <c r="M49" s="7" t="s">
        <v>34</v>
      </c>
      <c r="N49" s="7" t="s">
        <v>33</v>
      </c>
      <c r="O49" s="7" t="s">
        <v>33</v>
      </c>
      <c r="P49" s="12" t="s">
        <v>869</v>
      </c>
      <c r="Q49" s="6"/>
      <c r="R49" s="7" t="s">
        <v>33</v>
      </c>
      <c r="S49" s="7" t="s">
        <v>34</v>
      </c>
      <c r="T49" s="13"/>
      <c r="U49" s="6" t="s">
        <v>870</v>
      </c>
      <c r="V49" s="7" t="s">
        <v>33</v>
      </c>
      <c r="W49" s="6" t="s">
        <v>871</v>
      </c>
      <c r="X49" s="7" t="s">
        <v>94</v>
      </c>
      <c r="Y49" s="6" t="s">
        <v>872</v>
      </c>
      <c r="Z49" s="7" t="s">
        <v>33</v>
      </c>
      <c r="AA49" s="6" t="s">
        <v>873</v>
      </c>
      <c r="AB49" s="6" t="s">
        <v>874</v>
      </c>
      <c r="AC49" s="6" t="s">
        <v>39</v>
      </c>
    </row>
    <row r="50" ht="22.5" customHeight="1">
      <c r="A50" s="11" t="str">
        <f>REGEXEXTRACT(D50, "\d{4}\.\s(.*?)\.\sProc\. ACM")"),"AdaptTrack: A Robust Tracking System for Complex Environments Based on WiFi Device Selection Strategy</f>
        <v xml:space="preserve">AdaptTrack: A Robust Tracking System for Complex Environments Based on WiFi Device Selection Strategy</v>
      </c>
      <c r="B50" s="7">
        <f t="shared" si="17"/>
        <v>116</v>
      </c>
      <c r="C50" s="8" t="s">
        <v>875</v>
      </c>
      <c r="D50" s="6" t="s">
        <v>876</v>
      </c>
      <c r="E50" s="9">
        <v>45957</v>
      </c>
      <c r="F50" s="7">
        <v>2025</v>
      </c>
      <c r="G50" s="7" t="s">
        <v>575</v>
      </c>
      <c r="H50" s="13" t="str">
        <f t="shared" si="13"/>
        <v>2025_Sep_116</v>
      </c>
      <c r="I50" s="10" t="str">
        <f t="shared" si="14"/>
        <v>https://doi.org/10.1145/3749506</v>
      </c>
      <c r="J50" s="7">
        <f t="shared" si="16"/>
        <v>29</v>
      </c>
      <c r="K50" s="6" t="s">
        <v>71</v>
      </c>
      <c r="L50" s="24" t="str">
        <f t="shared" si="20"/>
        <v>No</v>
      </c>
      <c r="M50" s="7" t="s">
        <v>34</v>
      </c>
      <c r="N50" s="7" t="s">
        <v>33</v>
      </c>
      <c r="O50" s="7" t="s">
        <v>34</v>
      </c>
      <c r="P50" s="13"/>
      <c r="Q50" s="6"/>
      <c r="R50" s="7" t="s">
        <v>33</v>
      </c>
      <c r="S50" s="7" t="s">
        <v>34</v>
      </c>
      <c r="T50" s="13"/>
      <c r="U50" s="6"/>
      <c r="V50" s="7" t="s">
        <v>33</v>
      </c>
      <c r="W50" s="6" t="s">
        <v>877</v>
      </c>
      <c r="X50" s="7" t="s">
        <v>34</v>
      </c>
      <c r="Y50" s="6"/>
      <c r="Z50" s="7" t="s">
        <v>34</v>
      </c>
      <c r="AA50" s="6"/>
      <c r="AB50" s="6" t="s">
        <v>878</v>
      </c>
      <c r="AC50" s="6" t="s">
        <v>39</v>
      </c>
    </row>
    <row r="51" ht="22.5" customHeight="1">
      <c r="A51" s="14" t="str">
        <f>REGEXEXTRACT(D51, "\d{4}\.\s(.*?)\.\sProc\. ACM")"),"NavGraph: Enhancing Blind Travelers' Navigation Experience and Safety</f>
        <v xml:space="preserve">NavGraph: Enhancing Blind Travelers' Navigation Experience and Safety</v>
      </c>
      <c r="B51" s="15">
        <f t="shared" si="17"/>
        <v>117</v>
      </c>
      <c r="C51" s="16" t="s">
        <v>879</v>
      </c>
      <c r="D51" s="17" t="s">
        <v>880</v>
      </c>
      <c r="E51" s="18">
        <v>45957</v>
      </c>
      <c r="F51" s="15">
        <v>2025</v>
      </c>
      <c r="G51" s="15" t="s">
        <v>575</v>
      </c>
      <c r="H51" s="20" t="str">
        <f t="shared" si="13"/>
        <v>2025_Sep_117</v>
      </c>
      <c r="I51" s="22" t="str">
        <f t="shared" si="14"/>
        <v>https://doi.org/10.1145/3749537</v>
      </c>
      <c r="J51" s="15">
        <f t="shared" si="16"/>
        <v>27</v>
      </c>
      <c r="K51" s="17" t="s">
        <v>133</v>
      </c>
      <c r="L51" s="25" t="str">
        <f t="shared" si="20"/>
        <v>No</v>
      </c>
      <c r="M51" s="15" t="s">
        <v>33</v>
      </c>
      <c r="N51" s="15" t="s">
        <v>33</v>
      </c>
      <c r="O51" s="15" t="s">
        <v>34</v>
      </c>
      <c r="P51" s="22" t="s">
        <v>881</v>
      </c>
      <c r="Q51" s="17" t="s">
        <v>882</v>
      </c>
      <c r="R51" s="15" t="s">
        <v>34</v>
      </c>
      <c r="S51" s="15" t="s">
        <v>34</v>
      </c>
      <c r="T51" s="20"/>
      <c r="U51" s="17"/>
      <c r="V51" s="15" t="s">
        <v>34</v>
      </c>
      <c r="W51" s="17"/>
      <c r="X51" s="15" t="s">
        <v>34</v>
      </c>
      <c r="Y51" s="17"/>
      <c r="Z51" s="15" t="s">
        <v>34</v>
      </c>
      <c r="AA51" s="17"/>
      <c r="AB51" s="17" t="s">
        <v>883</v>
      </c>
      <c r="AC51" s="17" t="s">
        <v>39</v>
      </c>
    </row>
    <row r="52" ht="22.5" customHeight="1">
      <c r="A52" s="11" t="str">
        <f>REGEXEXTRACT(D52, "\d{4}\.\s(.*?)\.\sProc\. ACM")"),"GR-Fall: A Fall Detection System with Gait Recognition for Indoor Environments Using SISO mmWave Radar</f>
        <v xml:space="preserve">GR-Fall: A Fall Detection System with Gait Recognition for Indoor Environments Using SISO mmWave Radar</v>
      </c>
      <c r="B52" s="7">
        <f t="shared" si="17"/>
        <v>118</v>
      </c>
      <c r="C52" s="8" t="s">
        <v>884</v>
      </c>
      <c r="D52" s="6" t="s">
        <v>885</v>
      </c>
      <c r="E52" s="9">
        <v>45957</v>
      </c>
      <c r="F52" s="7">
        <v>2025</v>
      </c>
      <c r="G52" s="7" t="s">
        <v>575</v>
      </c>
      <c r="H52" s="13" t="str">
        <f t="shared" si="13"/>
        <v>2025_Sep_118</v>
      </c>
      <c r="I52" s="10" t="str">
        <f t="shared" si="14"/>
        <v>https://doi.org/10.1145/3749471</v>
      </c>
      <c r="J52" s="7">
        <f t="shared" si="16"/>
        <v>26</v>
      </c>
      <c r="K52" s="6" t="s">
        <v>133</v>
      </c>
      <c r="L52" s="7" t="s">
        <v>34</v>
      </c>
      <c r="M52" s="7" t="s">
        <v>34</v>
      </c>
      <c r="N52" s="7" t="s">
        <v>33</v>
      </c>
      <c r="O52" s="7" t="s">
        <v>34</v>
      </c>
      <c r="P52" s="13"/>
      <c r="Q52" s="6"/>
      <c r="R52" s="7" t="s">
        <v>33</v>
      </c>
      <c r="S52" s="7" t="s">
        <v>34</v>
      </c>
      <c r="T52" s="13"/>
      <c r="U52" s="6" t="s">
        <v>886</v>
      </c>
      <c r="V52" s="7" t="s">
        <v>33</v>
      </c>
      <c r="W52" s="6" t="s">
        <v>887</v>
      </c>
      <c r="X52" s="7" t="s">
        <v>34</v>
      </c>
      <c r="Y52" s="6"/>
      <c r="Z52" s="7" t="s">
        <v>34</v>
      </c>
      <c r="AA52" s="6"/>
      <c r="AB52" s="6" t="s">
        <v>888</v>
      </c>
      <c r="AC52" s="6" t="s">
        <v>181</v>
      </c>
    </row>
    <row r="53" ht="22.5" customHeight="1">
      <c r="A53" s="11" t="str">
        <f>REGEXEXTRACT(D53, "\d{4}\.\s(.*?)\.\sProc\. ACM")"),"Certified Robustness against Sensor Heterogeneity in Acoustic Sensing</f>
        <v xml:space="preserve">Certified Robustness against Sensor Heterogeneity in Acoustic Sensing</v>
      </c>
      <c r="B53" s="7">
        <f t="shared" si="17"/>
        <v>119</v>
      </c>
      <c r="C53" s="8" t="s">
        <v>889</v>
      </c>
      <c r="D53" s="6" t="s">
        <v>890</v>
      </c>
      <c r="E53" s="9">
        <v>45957</v>
      </c>
      <c r="F53" s="7">
        <v>2025</v>
      </c>
      <c r="G53" s="7" t="s">
        <v>575</v>
      </c>
      <c r="H53" s="13" t="str">
        <f t="shared" si="13"/>
        <v>2025_Sep_119</v>
      </c>
      <c r="I53" s="10" t="str">
        <f t="shared" si="14"/>
        <v>https://doi.org/10.1145/3749481</v>
      </c>
      <c r="J53" s="7">
        <f t="shared" si="16"/>
        <v>30</v>
      </c>
      <c r="K53" s="6" t="s">
        <v>133</v>
      </c>
      <c r="L53" s="24" t="str">
        <f t="shared" si="20"/>
        <v>No</v>
      </c>
      <c r="M53" s="7" t="s">
        <v>33</v>
      </c>
      <c r="N53" s="7" t="s">
        <v>33</v>
      </c>
      <c r="O53" s="7" t="s">
        <v>33</v>
      </c>
      <c r="P53" s="10" t="s">
        <v>891</v>
      </c>
      <c r="Q53" s="6" t="s">
        <v>892</v>
      </c>
      <c r="R53" s="7" t="s">
        <v>33</v>
      </c>
      <c r="S53" s="7" t="s">
        <v>33</v>
      </c>
      <c r="T53" s="6"/>
      <c r="U53" s="6" t="s">
        <v>893</v>
      </c>
      <c r="V53" s="7" t="s">
        <v>34</v>
      </c>
      <c r="W53" s="6"/>
      <c r="X53" s="7" t="s">
        <v>34</v>
      </c>
      <c r="Y53" s="6"/>
      <c r="Z53" s="7" t="s">
        <v>34</v>
      </c>
      <c r="AA53" s="6" t="s">
        <v>894</v>
      </c>
      <c r="AB53" s="6" t="s">
        <v>895</v>
      </c>
      <c r="AC53" s="6" t="s">
        <v>181</v>
      </c>
    </row>
    <row r="54" ht="22.5" customHeight="1">
      <c r="A54" s="11" t="str">
        <f>REGEXEXTRACT(D54, "\d{4}\.\s(.*?)\.\sProc\. ACM")"),"DynaGraph: Towards Dynamic Graph Learning for Multi-scale Traffic Generation with Spatial-temporal Agent Framework</f>
        <v xml:space="preserve">DynaGraph: Towards Dynamic Graph Learning for Multi-scale Traffic Generation with Spatial-temporal Agent Framework</v>
      </c>
      <c r="B54" s="7">
        <f t="shared" si="17"/>
        <v>120</v>
      </c>
      <c r="C54" s="8" t="s">
        <v>896</v>
      </c>
      <c r="D54" s="6" t="s">
        <v>897</v>
      </c>
      <c r="E54" s="9">
        <v>45957</v>
      </c>
      <c r="F54" s="7">
        <v>2025</v>
      </c>
      <c r="G54" s="7" t="s">
        <v>575</v>
      </c>
      <c r="H54" s="13" t="str">
        <f t="shared" si="13"/>
        <v>2025_Sep_120</v>
      </c>
      <c r="I54" s="10" t="str">
        <f t="shared" si="14"/>
        <v>https://doi.org/10.1145/3749542</v>
      </c>
      <c r="J54" s="7">
        <f t="shared" si="16"/>
        <v>31</v>
      </c>
      <c r="K54" s="6" t="s">
        <v>133</v>
      </c>
      <c r="L54" s="24" t="str">
        <f t="shared" si="20"/>
        <v>No</v>
      </c>
      <c r="M54" s="7" t="s">
        <v>34</v>
      </c>
      <c r="N54" s="7" t="s">
        <v>33</v>
      </c>
      <c r="O54" s="7" t="s">
        <v>33</v>
      </c>
      <c r="P54" s="10" t="s">
        <v>898</v>
      </c>
      <c r="Q54" s="6"/>
      <c r="R54" s="7" t="s">
        <v>33</v>
      </c>
      <c r="S54" s="7" t="s">
        <v>33</v>
      </c>
      <c r="T54" s="10" t="s">
        <v>898</v>
      </c>
      <c r="U54" s="6" t="s">
        <v>899</v>
      </c>
      <c r="V54" s="7" t="s">
        <v>33</v>
      </c>
      <c r="W54" s="6" t="s">
        <v>900</v>
      </c>
      <c r="X54" s="7" t="s">
        <v>34</v>
      </c>
      <c r="Y54" s="6"/>
      <c r="Z54" s="7" t="s">
        <v>33</v>
      </c>
      <c r="AA54" s="6" t="s">
        <v>901</v>
      </c>
      <c r="AB54" s="6" t="s">
        <v>902</v>
      </c>
      <c r="AC54" s="6" t="s">
        <v>181</v>
      </c>
    </row>
    <row r="55" ht="22.5" customHeight="1">
      <c r="A55" s="11" t="str">
        <f>REGEXEXTRACT(D55, "\d{4}\.\s(.*?)\.\sProc\. ACM")"),"Longitudinal User Engagement with Microinteraction Ecological Momentary Assessment (μEMA)</f>
        <v xml:space="preserve">Longitudinal User Engagement with Microinteraction Ecological Momentary Assessment (μEMA)</v>
      </c>
      <c r="B55" s="7">
        <f t="shared" si="17"/>
        <v>121</v>
      </c>
      <c r="C55" s="8" t="s">
        <v>903</v>
      </c>
      <c r="D55" s="6" t="s">
        <v>904</v>
      </c>
      <c r="E55" s="9">
        <v>45957</v>
      </c>
      <c r="F55" s="7">
        <v>2025</v>
      </c>
      <c r="G55" s="7" t="s">
        <v>575</v>
      </c>
      <c r="H55" s="13" t="str">
        <f t="shared" si="13"/>
        <v>2025_Sep_121</v>
      </c>
      <c r="I55" s="10" t="str">
        <f t="shared" si="14"/>
        <v>https://doi.org/10.1145/3749541</v>
      </c>
      <c r="J55" s="7">
        <f t="shared" si="16"/>
        <v>27</v>
      </c>
      <c r="K55" s="6" t="s">
        <v>42</v>
      </c>
      <c r="L55" s="24" t="str">
        <f t="shared" si="20"/>
        <v>No</v>
      </c>
      <c r="M55" s="7" t="s">
        <v>33</v>
      </c>
      <c r="N55" s="7" t="s">
        <v>34</v>
      </c>
      <c r="O55" s="7" t="s">
        <v>35</v>
      </c>
      <c r="P55" s="13"/>
      <c r="Q55" s="6"/>
      <c r="R55" s="7" t="s">
        <v>34</v>
      </c>
      <c r="S55" s="7" t="s">
        <v>35</v>
      </c>
      <c r="T55" s="6"/>
      <c r="U55" s="6"/>
      <c r="V55" s="7" t="s">
        <v>35</v>
      </c>
      <c r="W55" s="6"/>
      <c r="X55" s="7" t="s">
        <v>35</v>
      </c>
      <c r="Y55" s="6"/>
      <c r="Z55" s="7" t="s">
        <v>35</v>
      </c>
      <c r="AA55" s="6"/>
      <c r="AB55" s="6"/>
      <c r="AC55" s="6" t="s">
        <v>181</v>
      </c>
    </row>
    <row r="56" ht="22.5" customHeight="1">
      <c r="A56" s="11" t="str">
        <f>REGEXEXTRACT(D56, "\d{4}\.\s(.*?)\.\sProc\. ACM")"),"Towards Customizable Foundation Models for Human Activity Recognition with Wearable Devices</f>
        <v xml:space="preserve">Towards Customizable Foundation Models for Human Activity Recognition with Wearable Devices</v>
      </c>
      <c r="B56" s="7">
        <f t="shared" si="17"/>
        <v>122</v>
      </c>
      <c r="C56" s="8" t="s">
        <v>905</v>
      </c>
      <c r="D56" s="6" t="s">
        <v>906</v>
      </c>
      <c r="E56" s="9">
        <v>45957</v>
      </c>
      <c r="F56" s="7">
        <v>2025</v>
      </c>
      <c r="G56" s="7" t="s">
        <v>575</v>
      </c>
      <c r="H56" s="13" t="str">
        <f t="shared" si="13"/>
        <v>2025_Sep_122</v>
      </c>
      <c r="I56" s="10" t="str">
        <f t="shared" si="14"/>
        <v>https://doi.org/10.1145/3749479</v>
      </c>
      <c r="J56" s="7">
        <f t="shared" si="16"/>
        <v>29</v>
      </c>
      <c r="K56" s="6" t="s">
        <v>133</v>
      </c>
      <c r="L56" s="24" t="str">
        <f t="shared" si="20"/>
        <v>No</v>
      </c>
      <c r="M56" s="7" t="s">
        <v>34</v>
      </c>
      <c r="N56" s="7" t="s">
        <v>33</v>
      </c>
      <c r="O56" s="35" t="s">
        <v>33</v>
      </c>
      <c r="P56" s="10" t="s">
        <v>907</v>
      </c>
      <c r="Q56" s="6"/>
      <c r="R56" s="7" t="s">
        <v>33</v>
      </c>
      <c r="S56" s="7" t="s">
        <v>33</v>
      </c>
      <c r="T56" s="10" t="s">
        <v>908</v>
      </c>
      <c r="U56" s="6"/>
      <c r="V56" s="7" t="s">
        <v>34</v>
      </c>
      <c r="W56" s="6"/>
      <c r="X56" s="7" t="s">
        <v>34</v>
      </c>
      <c r="Y56" s="6"/>
      <c r="Z56" s="7" t="s">
        <v>33</v>
      </c>
      <c r="AA56" s="6" t="s">
        <v>909</v>
      </c>
      <c r="AB56" s="6" t="s">
        <v>910</v>
      </c>
      <c r="AC56" s="6" t="s">
        <v>181</v>
      </c>
    </row>
    <row r="57" ht="22.5" customHeight="1">
      <c r="A57" s="11" t="str">
        <f>REGEXEXTRACT(D57, "\d{4}\.\s(.*?)\.\sProc\. ACM")"),"Laytex: A Data-Driven Tool for Automated and Customized Textile Sensor Layout Design in Motion Capture</f>
        <v xml:space="preserve">Laytex: A Data-Driven Tool for Automated and Customized Textile Sensor Layout Design in Motion Capture</v>
      </c>
      <c r="B57" s="7">
        <f t="shared" si="17"/>
        <v>123</v>
      </c>
      <c r="C57" s="36" t="s">
        <v>911</v>
      </c>
      <c r="D57" s="26" t="s">
        <v>912</v>
      </c>
      <c r="E57" s="37">
        <v>45957</v>
      </c>
      <c r="F57" s="38">
        <v>2025</v>
      </c>
      <c r="G57" s="38" t="s">
        <v>575</v>
      </c>
      <c r="H57" s="39" t="str">
        <f t="shared" si="13"/>
        <v>2025_Sep_123</v>
      </c>
      <c r="I57" s="40" t="str">
        <f t="shared" si="14"/>
        <v>https://doi.org/10.1145/3749493</v>
      </c>
      <c r="J57" s="38">
        <f t="shared" si="16"/>
        <v>42</v>
      </c>
      <c r="K57" s="26" t="s">
        <v>637</v>
      </c>
      <c r="L57" s="41" t="str">
        <f t="shared" si="20"/>
        <v>No</v>
      </c>
      <c r="M57" s="38" t="s">
        <v>34</v>
      </c>
      <c r="N57" s="38" t="s">
        <v>33</v>
      </c>
      <c r="O57" s="42" t="s">
        <v>33</v>
      </c>
      <c r="P57" s="43" t="s">
        <v>913</v>
      </c>
      <c r="Q57" s="26" t="s">
        <v>914</v>
      </c>
      <c r="R57" s="38" t="s">
        <v>33</v>
      </c>
      <c r="S57" s="38" t="s">
        <v>33</v>
      </c>
      <c r="T57" s="43" t="s">
        <v>915</v>
      </c>
      <c r="U57" s="26" t="s">
        <v>916</v>
      </c>
      <c r="V57" s="38" t="s">
        <v>34</v>
      </c>
      <c r="W57" s="26" t="s">
        <v>917</v>
      </c>
      <c r="X57" s="38" t="s">
        <v>33</v>
      </c>
      <c r="Y57" s="26" t="s">
        <v>918</v>
      </c>
      <c r="Z57" s="38" t="s">
        <v>33</v>
      </c>
      <c r="AA57" s="26" t="s">
        <v>919</v>
      </c>
      <c r="AB57" s="26" t="s">
        <v>920</v>
      </c>
      <c r="AC57" s="6" t="s">
        <v>181</v>
      </c>
    </row>
    <row r="58" ht="22.5" customHeight="1">
      <c r="A58" s="11" t="str">
        <f>REGEXEXTRACT(D58, "\d{4}\.\s(.*?)\.\sProc\. ACM")"),"Motion2Press: Cross Model Learning from IMU to Plantar Pressure for Gait Analysis</f>
        <v xml:space="preserve">Motion2Press: Cross Model Learning from IMU to Plantar Pressure for Gait Analysis</v>
      </c>
      <c r="B58" s="7">
        <f t="shared" si="17"/>
        <v>124</v>
      </c>
      <c r="C58" s="8" t="s">
        <v>921</v>
      </c>
      <c r="D58" s="6" t="s">
        <v>922</v>
      </c>
      <c r="E58" s="9">
        <v>45957</v>
      </c>
      <c r="F58" s="7">
        <v>2025</v>
      </c>
      <c r="G58" s="7" t="s">
        <v>575</v>
      </c>
      <c r="H58" s="13" t="str">
        <f t="shared" si="13"/>
        <v>2025_Sep_124</v>
      </c>
      <c r="I58" s="10" t="str">
        <f t="shared" si="14"/>
        <v>https://doi.org/10.1145/3749499</v>
      </c>
      <c r="J58" s="7">
        <f t="shared" si="16"/>
        <v>33</v>
      </c>
      <c r="K58" s="6" t="s">
        <v>652</v>
      </c>
      <c r="L58" s="24" t="str">
        <f t="shared" si="20"/>
        <v>No</v>
      </c>
      <c r="M58" s="7" t="s">
        <v>34</v>
      </c>
      <c r="N58" s="7" t="s">
        <v>33</v>
      </c>
      <c r="O58" s="7" t="s">
        <v>34</v>
      </c>
      <c r="P58" s="13"/>
      <c r="Q58" s="6"/>
      <c r="R58" s="7" t="s">
        <v>33</v>
      </c>
      <c r="S58" s="7" t="s">
        <v>34</v>
      </c>
      <c r="T58" s="13"/>
      <c r="U58" s="6" t="s">
        <v>923</v>
      </c>
      <c r="V58" s="7" t="s">
        <v>33</v>
      </c>
      <c r="W58" s="6" t="s">
        <v>924</v>
      </c>
      <c r="X58" s="7" t="s">
        <v>33</v>
      </c>
      <c r="Y58" s="6" t="s">
        <v>925</v>
      </c>
      <c r="Z58" s="7" t="s">
        <v>34</v>
      </c>
      <c r="AA58" s="6"/>
      <c r="AB58" s="6" t="s">
        <v>926</v>
      </c>
      <c r="AC58" s="6" t="s">
        <v>181</v>
      </c>
    </row>
    <row r="59" ht="22.5" customHeight="1">
      <c r="A59" s="11" t="str">
        <f>REGEXEXTRACT(D59, "\d{4}\.\s(.*?)\.\sProc\. ACM")"),"A Large-Scale Survey of Password Entry Practices on Non-Desktop Devices</f>
        <v xml:space="preserve">A Large-Scale Survey of Password Entry Practices on Non-Desktop Devices</v>
      </c>
      <c r="B59" s="7">
        <f t="shared" si="17"/>
        <v>125</v>
      </c>
      <c r="C59" s="8" t="s">
        <v>927</v>
      </c>
      <c r="D59" s="6" t="s">
        <v>928</v>
      </c>
      <c r="E59" s="9">
        <v>45957</v>
      </c>
      <c r="F59" s="7">
        <v>2025</v>
      </c>
      <c r="G59" s="7" t="s">
        <v>575</v>
      </c>
      <c r="H59" s="13" t="str">
        <f t="shared" si="13"/>
        <v>2025_Sep_125</v>
      </c>
      <c r="I59" s="10" t="str">
        <f t="shared" si="14"/>
        <v>https://doi.org/10.1145/3749491</v>
      </c>
      <c r="J59" s="7">
        <f t="shared" si="16"/>
        <v>30</v>
      </c>
      <c r="K59" s="6" t="s">
        <v>42</v>
      </c>
      <c r="L59" s="24" t="str">
        <f t="shared" si="20"/>
        <v>No</v>
      </c>
      <c r="M59" s="7" t="s">
        <v>33</v>
      </c>
      <c r="N59" s="7" t="s">
        <v>34</v>
      </c>
      <c r="O59" s="7" t="s">
        <v>35</v>
      </c>
      <c r="P59" s="13"/>
      <c r="Q59" s="6"/>
      <c r="R59" s="7" t="s">
        <v>34</v>
      </c>
      <c r="S59" s="7" t="s">
        <v>35</v>
      </c>
      <c r="T59" s="13"/>
      <c r="U59" s="6"/>
      <c r="V59" s="7" t="s">
        <v>35</v>
      </c>
      <c r="W59" s="6"/>
      <c r="X59" s="7" t="s">
        <v>35</v>
      </c>
      <c r="Y59" s="6"/>
      <c r="Z59" s="7" t="s">
        <v>35</v>
      </c>
      <c r="AA59" s="6"/>
      <c r="AB59" s="6"/>
      <c r="AC59" s="6" t="s">
        <v>181</v>
      </c>
    </row>
    <row r="60" ht="22.5" customHeight="1">
      <c r="A60" s="11" t="str">
        <f>REGEXEXTRACT(D60, "\d{4}\.\s(.*?)\.\sProc\. ACM")"),"Pulse-PPG: An Open-Source Field-Trained PPG Foundation Model for Wearable Applications across Lab and Field Settings</f>
        <v xml:space="preserve">Pulse-PPG: An Open-Source Field-Trained PPG Foundation Model for Wearable Applications across Lab and Field Settings</v>
      </c>
      <c r="B60" s="7">
        <f t="shared" si="17"/>
        <v>126</v>
      </c>
      <c r="C60" s="8" t="s">
        <v>929</v>
      </c>
      <c r="D60" s="6" t="s">
        <v>930</v>
      </c>
      <c r="E60" s="9">
        <v>45957</v>
      </c>
      <c r="F60" s="7">
        <v>2025</v>
      </c>
      <c r="G60" s="7" t="s">
        <v>575</v>
      </c>
      <c r="H60" s="13" t="str">
        <f t="shared" si="13"/>
        <v>2025_Sep_126</v>
      </c>
      <c r="I60" s="10" t="str">
        <f t="shared" si="14"/>
        <v>https://doi.org/10.1145/3749494</v>
      </c>
      <c r="J60" s="7">
        <f t="shared" si="16"/>
        <v>35</v>
      </c>
      <c r="K60" s="6" t="s">
        <v>637</v>
      </c>
      <c r="L60" s="24" t="str">
        <f t="shared" si="20"/>
        <v>No</v>
      </c>
      <c r="M60" s="7" t="s">
        <v>34</v>
      </c>
      <c r="N60" s="7" t="s">
        <v>33</v>
      </c>
      <c r="O60" s="7" t="s">
        <v>33</v>
      </c>
      <c r="P60" s="12" t="s">
        <v>931</v>
      </c>
      <c r="Q60" s="6"/>
      <c r="R60" s="7" t="s">
        <v>33</v>
      </c>
      <c r="S60" s="7" t="s">
        <v>94</v>
      </c>
      <c r="T60" s="6"/>
      <c r="U60" s="6" t="s">
        <v>932</v>
      </c>
      <c r="V60" s="7" t="s">
        <v>34</v>
      </c>
      <c r="W60" s="6"/>
      <c r="X60" s="7" t="s">
        <v>34</v>
      </c>
      <c r="Y60" s="6"/>
      <c r="Z60" s="7" t="s">
        <v>33</v>
      </c>
      <c r="AA60" s="6" t="s">
        <v>933</v>
      </c>
      <c r="AB60" s="6" t="s">
        <v>934</v>
      </c>
      <c r="AC60" s="6" t="s">
        <v>181</v>
      </c>
    </row>
    <row r="61" ht="22.5" customHeight="1">
      <c r="A61" s="11" t="str">
        <f>REGEXEXTRACT(D61, "\d{4}\.\s(.*?)\.\sProc\. ACM")"),"AdsDP: A Video Dataset for Recognizing and Examining Dark Patterns in iOS In-App Advertisements</f>
        <v xml:space="preserve">AdsDP: A Video Dataset for Recognizing and Examining Dark Patterns in iOS In-App Advertisements</v>
      </c>
      <c r="B61" s="7">
        <f t="shared" si="17"/>
        <v>127</v>
      </c>
      <c r="C61" s="8" t="s">
        <v>935</v>
      </c>
      <c r="D61" s="6" t="s">
        <v>936</v>
      </c>
      <c r="E61" s="9">
        <v>45957</v>
      </c>
      <c r="F61" s="7">
        <v>2025</v>
      </c>
      <c r="G61" s="7" t="s">
        <v>575</v>
      </c>
      <c r="H61" s="13" t="str">
        <f t="shared" si="13"/>
        <v>2025_Sep_127</v>
      </c>
      <c r="I61" s="10" t="str">
        <f t="shared" si="14"/>
        <v>https://doi.org/10.1145/3749515</v>
      </c>
      <c r="J61" s="7">
        <f t="shared" si="16"/>
        <v>31</v>
      </c>
      <c r="K61" s="6" t="s">
        <v>99</v>
      </c>
      <c r="L61" s="24" t="str">
        <f>IF(REGEXMATCH(LOWER($A61),"(^|[^a-z])dataset(s)?([^a-z]|$)"),"Yes","No")"),"Yes</f>
        <v>Yes</v>
      </c>
      <c r="M61" s="7" t="s">
        <v>34</v>
      </c>
      <c r="N61" s="7" t="s">
        <v>34</v>
      </c>
      <c r="O61" s="7" t="s">
        <v>35</v>
      </c>
      <c r="P61" s="13"/>
      <c r="Q61" s="6"/>
      <c r="R61" s="7" t="s">
        <v>33</v>
      </c>
      <c r="S61" s="7" t="s">
        <v>33</v>
      </c>
      <c r="T61" s="10" t="s">
        <v>937</v>
      </c>
      <c r="U61" s="6"/>
      <c r="V61" s="7" t="s">
        <v>33</v>
      </c>
      <c r="W61" s="6" t="s">
        <v>938</v>
      </c>
      <c r="X61" s="7" t="s">
        <v>34</v>
      </c>
      <c r="Y61" s="6"/>
      <c r="Z61" s="7" t="s">
        <v>34</v>
      </c>
      <c r="AA61" s="6"/>
      <c r="AB61" s="6" t="s">
        <v>939</v>
      </c>
      <c r="AC61" s="6" t="s">
        <v>181</v>
      </c>
    </row>
    <row r="62" ht="22.5" customHeight="1">
      <c r="A62" s="11" t="str">
        <f>REGEXEXTRACT(D62, "\d{4}\.\s(.*?)\.\sProc\. ACM")"),"My Pillow Knows My Sleep: Sleep Monitoring with Computational Fabrics in the Pillowcase</f>
        <v xml:space="preserve">My Pillow Knows My Sleep: Sleep Monitoring with Computational Fabrics in the Pillowcase</v>
      </c>
      <c r="B62" s="7">
        <f t="shared" si="17"/>
        <v>128</v>
      </c>
      <c r="C62" s="8" t="s">
        <v>940</v>
      </c>
      <c r="D62" s="6" t="s">
        <v>941</v>
      </c>
      <c r="E62" s="9">
        <v>45957</v>
      </c>
      <c r="F62" s="7">
        <v>2025</v>
      </c>
      <c r="G62" s="7" t="s">
        <v>575</v>
      </c>
      <c r="H62" s="13" t="str">
        <f t="shared" si="13"/>
        <v>2025_Sep_128</v>
      </c>
      <c r="I62" s="10" t="str">
        <f t="shared" si="14"/>
        <v>https://doi.org/10.1145/3749550</v>
      </c>
      <c r="J62" s="7">
        <f t="shared" si="16"/>
        <v>26</v>
      </c>
      <c r="K62" s="6" t="s">
        <v>217</v>
      </c>
      <c r="L62" s="24" t="str">
        <f t="shared" ref="L62:L72" si="21">IF(REGEXMATCH(LOWER($A62),"(^|[^a-z])dataset(s)?([^a-z]|$)"),"Yes","No")"),"No</f>
        <v>No</v>
      </c>
      <c r="M62" s="7" t="s">
        <v>34</v>
      </c>
      <c r="N62" s="7" t="s">
        <v>33</v>
      </c>
      <c r="O62" s="7" t="s">
        <v>34</v>
      </c>
      <c r="P62" s="13"/>
      <c r="Q62" s="13"/>
      <c r="R62" s="7" t="s">
        <v>33</v>
      </c>
      <c r="S62" s="7" t="s">
        <v>34</v>
      </c>
      <c r="T62" s="13"/>
      <c r="U62" s="6" t="s">
        <v>942</v>
      </c>
      <c r="V62" s="7" t="s">
        <v>33</v>
      </c>
      <c r="W62" s="6" t="s">
        <v>943</v>
      </c>
      <c r="X62" s="7" t="s">
        <v>34</v>
      </c>
      <c r="Y62" s="6"/>
      <c r="Z62" s="7" t="s">
        <v>34</v>
      </c>
      <c r="AA62" s="6"/>
      <c r="AB62" s="6" t="s">
        <v>944</v>
      </c>
      <c r="AC62" s="6" t="s">
        <v>181</v>
      </c>
    </row>
    <row r="63" ht="22.5" customHeight="1">
      <c r="A63" s="11" t="str">
        <f>REGEXEXTRACT(D63, "\d{4}\.\s(.*?)\.\sProc\. ACM")"),"Hapt-Aids: Self-Powered, On-Body Haptics for Activity Monitoring</f>
        <v xml:space="preserve">Hapt-Aids: Self-Powered, On-Body Haptics for Activity Monitoring</v>
      </c>
      <c r="B63" s="7">
        <f t="shared" si="17"/>
        <v>129</v>
      </c>
      <c r="C63" s="8" t="s">
        <v>945</v>
      </c>
      <c r="D63" s="6" t="s">
        <v>946</v>
      </c>
      <c r="E63" s="9">
        <v>45957</v>
      </c>
      <c r="F63" s="7">
        <v>2025</v>
      </c>
      <c r="G63" s="7" t="s">
        <v>575</v>
      </c>
      <c r="H63" s="13" t="str">
        <f t="shared" si="13"/>
        <v>2025_Sep_129</v>
      </c>
      <c r="I63" s="10" t="str">
        <f t="shared" si="14"/>
        <v>https://doi.org/10.1145/3749468</v>
      </c>
      <c r="J63" s="7">
        <f t="shared" si="16"/>
        <v>26</v>
      </c>
      <c r="K63" s="6" t="s">
        <v>164</v>
      </c>
      <c r="L63" s="24" t="str">
        <f t="shared" si="21"/>
        <v>No</v>
      </c>
      <c r="M63" s="7" t="s">
        <v>33</v>
      </c>
      <c r="N63" s="7" t="s">
        <v>34</v>
      </c>
      <c r="O63" s="7" t="s">
        <v>35</v>
      </c>
      <c r="P63" s="13"/>
      <c r="Q63" s="6"/>
      <c r="R63" s="7" t="s">
        <v>34</v>
      </c>
      <c r="S63" s="7" t="s">
        <v>35</v>
      </c>
      <c r="T63" s="13"/>
      <c r="U63" s="6"/>
      <c r="V63" s="7" t="s">
        <v>33</v>
      </c>
      <c r="W63" s="10" t="s">
        <v>947</v>
      </c>
      <c r="X63" s="7" t="s">
        <v>34</v>
      </c>
      <c r="Y63" s="6"/>
      <c r="Z63" s="7" t="s">
        <v>34</v>
      </c>
      <c r="AA63" s="6"/>
      <c r="AB63" s="6" t="s">
        <v>948</v>
      </c>
      <c r="AC63" s="6" t="s">
        <v>181</v>
      </c>
    </row>
    <row r="64" ht="22.5" customHeight="1">
      <c r="A64" s="11" t="str">
        <f>REGEXEXTRACT(D64, "\d{4}\.\s(.*?)\.\sProc\. ACM")"),"SELA: Smart Edge LLM Agent to Optimize Response Trade-offs of AI Assistants</f>
        <v xml:space="preserve">SELA: Smart Edge LLM Agent to Optimize Response Trade-offs of AI Assistants</v>
      </c>
      <c r="B64" s="7">
        <f t="shared" si="17"/>
        <v>130</v>
      </c>
      <c r="C64" s="8" t="s">
        <v>949</v>
      </c>
      <c r="D64" s="6" t="s">
        <v>950</v>
      </c>
      <c r="E64" s="9">
        <v>45957</v>
      </c>
      <c r="F64" s="7">
        <v>2025</v>
      </c>
      <c r="G64" s="7" t="s">
        <v>575</v>
      </c>
      <c r="H64" s="13" t="str">
        <f t="shared" si="13"/>
        <v>2025_Sep_130</v>
      </c>
      <c r="I64" s="10" t="str">
        <f t="shared" si="14"/>
        <v>https://doi.org/10.1145/3749483</v>
      </c>
      <c r="J64" s="7">
        <f t="shared" si="16"/>
        <v>18</v>
      </c>
      <c r="K64" s="6" t="s">
        <v>637</v>
      </c>
      <c r="L64" s="24" t="str">
        <f t="shared" si="21"/>
        <v>No</v>
      </c>
      <c r="M64" s="7" t="s">
        <v>34</v>
      </c>
      <c r="N64" s="7" t="s">
        <v>33</v>
      </c>
      <c r="O64" s="7" t="s">
        <v>34</v>
      </c>
      <c r="P64" s="13"/>
      <c r="Q64" s="6" t="s">
        <v>951</v>
      </c>
      <c r="R64" s="7" t="s">
        <v>33</v>
      </c>
      <c r="S64" s="7" t="s">
        <v>144</v>
      </c>
      <c r="T64" s="13"/>
      <c r="U64" s="6" t="s">
        <v>952</v>
      </c>
      <c r="V64" s="7" t="s">
        <v>33</v>
      </c>
      <c r="W64" s="6" t="s">
        <v>953</v>
      </c>
      <c r="X64" s="7" t="s">
        <v>33</v>
      </c>
      <c r="Y64" s="6" t="s">
        <v>954</v>
      </c>
      <c r="Z64" s="7" t="s">
        <v>34</v>
      </c>
      <c r="AA64" s="6"/>
      <c r="AB64" s="6" t="s">
        <v>955</v>
      </c>
      <c r="AC64" s="6" t="s">
        <v>181</v>
      </c>
    </row>
    <row r="65" ht="22.5" customHeight="1">
      <c r="A65" s="11" t="str">
        <f>REGEXEXTRACT(D65, "\d{4}\.\s(.*?)\.\sProc\. ACM")"),"AnnoSense: A Framework for Physiological Emotion Data Collection in Everyday Settings for AI</f>
        <v xml:space="preserve">AnnoSense: A Framework for Physiological Emotion Data Collection in Everyday Settings for AI</v>
      </c>
      <c r="B65" s="7">
        <f t="shared" si="17"/>
        <v>131</v>
      </c>
      <c r="C65" s="8" t="s">
        <v>956</v>
      </c>
      <c r="D65" s="6" t="s">
        <v>957</v>
      </c>
      <c r="E65" s="9">
        <v>45957</v>
      </c>
      <c r="F65" s="7">
        <v>2025</v>
      </c>
      <c r="G65" s="7" t="s">
        <v>575</v>
      </c>
      <c r="H65" s="13" t="str">
        <f t="shared" si="13"/>
        <v>2025_Sep_131</v>
      </c>
      <c r="I65" s="10" t="str">
        <f t="shared" si="14"/>
        <v>https://doi.org/10.1145/3749519</v>
      </c>
      <c r="J65" s="7">
        <f t="shared" si="16"/>
        <v>47</v>
      </c>
      <c r="K65" s="6" t="s">
        <v>32</v>
      </c>
      <c r="L65" s="24" t="str">
        <f t="shared" si="21"/>
        <v>No</v>
      </c>
      <c r="M65" s="7" t="s">
        <v>33</v>
      </c>
      <c r="N65" s="7" t="s">
        <v>34</v>
      </c>
      <c r="O65" s="7" t="s">
        <v>35</v>
      </c>
      <c r="P65" s="13"/>
      <c r="Q65" s="6" t="s">
        <v>958</v>
      </c>
      <c r="R65" s="7" t="s">
        <v>33</v>
      </c>
      <c r="S65" s="7" t="s">
        <v>94</v>
      </c>
      <c r="T65" s="13"/>
      <c r="U65" s="6" t="s">
        <v>959</v>
      </c>
      <c r="V65" s="7" t="s">
        <v>34</v>
      </c>
      <c r="W65" s="6"/>
      <c r="X65" s="7" t="s">
        <v>34</v>
      </c>
      <c r="Y65" s="6"/>
      <c r="Z65" s="7" t="s">
        <v>34</v>
      </c>
      <c r="AA65" s="6"/>
      <c r="AB65" s="6" t="s">
        <v>960</v>
      </c>
      <c r="AC65" s="6" t="s">
        <v>181</v>
      </c>
    </row>
    <row r="66" ht="22.5" customHeight="1">
      <c r="A66" s="11" t="str">
        <f>REGEXEXTRACT(D66, "\d{4}\.\s(.*?)\.\sProc\. ACM")"),"MusicalPT: Augmenting Physical Therapy by Integrating Adaptive Musical Guidance to Enhance Exercise Quality and Patient Experience</f>
        <v xml:space="preserve">MusicalPT: Augmenting Physical Therapy by Integrating Adaptive Musical Guidance to Enhance Exercise Quality and Patient Experience</v>
      </c>
      <c r="B66" s="7">
        <f t="shared" si="17"/>
        <v>132</v>
      </c>
      <c r="C66" s="8" t="s">
        <v>961</v>
      </c>
      <c r="D66" s="6" t="s">
        <v>962</v>
      </c>
      <c r="E66" s="9">
        <v>45957</v>
      </c>
      <c r="F66" s="7">
        <v>2025</v>
      </c>
      <c r="G66" s="7" t="s">
        <v>575</v>
      </c>
      <c r="H66" s="13" t="str">
        <f t="shared" ref="H66:H91" si="22">TEXT($F66,"0000")&amp;"_"&amp;$G66&amp;"_"&amp;TEXT($B66,"000")</f>
        <v>2025_Sep_132</v>
      </c>
      <c r="I66" s="10" t="str">
        <f t="shared" ref="I66:I91" si="23">CONCATENATE("https",RIGHT(D66,LEN(D66)-(FIND("://",D66)-1)))</f>
        <v>https://doi.org/10.1145/3749461</v>
      </c>
      <c r="J66" s="7">
        <f t="shared" si="16"/>
        <v>32</v>
      </c>
      <c r="K66" s="6" t="s">
        <v>133</v>
      </c>
      <c r="L66" s="24" t="str">
        <f t="shared" si="21"/>
        <v>No</v>
      </c>
      <c r="M66" s="7" t="s">
        <v>34</v>
      </c>
      <c r="N66" s="7" t="s">
        <v>33</v>
      </c>
      <c r="O66" s="7" t="s">
        <v>34</v>
      </c>
      <c r="P66" s="13"/>
      <c r="Q66" s="6"/>
      <c r="R66" s="7" t="s">
        <v>34</v>
      </c>
      <c r="S66" s="7" t="s">
        <v>35</v>
      </c>
      <c r="T66" s="13"/>
      <c r="U66" s="6"/>
      <c r="V66" s="7" t="s">
        <v>33</v>
      </c>
      <c r="W66" s="6" t="s">
        <v>963</v>
      </c>
      <c r="X66" s="7" t="s">
        <v>33</v>
      </c>
      <c r="Y66" s="6" t="s">
        <v>964</v>
      </c>
      <c r="Z66" s="7" t="s">
        <v>34</v>
      </c>
      <c r="AA66" s="6" t="s">
        <v>965</v>
      </c>
      <c r="AB66" s="6" t="s">
        <v>966</v>
      </c>
      <c r="AC66" s="6" t="s">
        <v>181</v>
      </c>
    </row>
    <row r="67" ht="22.5" customHeight="1">
      <c r="A67" s="11" t="str">
        <f>REGEXEXTRACT(D67, "\d{4}\.\s(.*?)\.\sProc\. ACM")"),"AccCall: Enhancing Real-time Phone Call Quality with Smartphone's Built-in Accelerometer</f>
        <v xml:space="preserve">AccCall: Enhancing Real-time Phone Call Quality with Smartphone's Built-in Accelerometer</v>
      </c>
      <c r="B67" s="7">
        <f t="shared" si="17"/>
        <v>133</v>
      </c>
      <c r="C67" s="8" t="s">
        <v>967</v>
      </c>
      <c r="D67" s="6" t="s">
        <v>968</v>
      </c>
      <c r="E67" s="9">
        <v>45957</v>
      </c>
      <c r="F67" s="7">
        <v>2025</v>
      </c>
      <c r="G67" s="7" t="s">
        <v>575</v>
      </c>
      <c r="H67" s="13" t="str">
        <f t="shared" si="22"/>
        <v>2025_Sep_133</v>
      </c>
      <c r="I67" s="10" t="str">
        <f t="shared" si="23"/>
        <v>https://doi.org/10.1145/3749463</v>
      </c>
      <c r="J67" s="7">
        <f t="shared" ref="J67:J91" si="24">"COMPUTED_VALUE"</f>
        <v>33</v>
      </c>
      <c r="K67" s="6" t="s">
        <v>32</v>
      </c>
      <c r="L67" s="24" t="str">
        <f t="shared" si="21"/>
        <v>No</v>
      </c>
      <c r="M67" s="7" t="s">
        <v>34</v>
      </c>
      <c r="N67" s="7" t="s">
        <v>33</v>
      </c>
      <c r="O67" s="7" t="s">
        <v>34</v>
      </c>
      <c r="P67" s="13"/>
      <c r="Q67" s="6"/>
      <c r="R67" s="7" t="s">
        <v>33</v>
      </c>
      <c r="S67" s="7" t="s">
        <v>34</v>
      </c>
      <c r="T67" s="13"/>
      <c r="U67" s="6" t="s">
        <v>969</v>
      </c>
      <c r="V67" s="7" t="s">
        <v>33</v>
      </c>
      <c r="W67" s="6" t="s">
        <v>970</v>
      </c>
      <c r="X67" s="7" t="s">
        <v>33</v>
      </c>
      <c r="Y67" s="6" t="s">
        <v>971</v>
      </c>
      <c r="Z67" s="7" t="s">
        <v>34</v>
      </c>
      <c r="AA67" s="6"/>
      <c r="AB67" s="6" t="s">
        <v>972</v>
      </c>
      <c r="AC67" s="6" t="s">
        <v>181</v>
      </c>
    </row>
    <row r="68" ht="22.5" customHeight="1">
      <c r="A68" s="11" t="str">
        <f>REGEXEXTRACT(D68, "\d{4}\.\s(.*?)\.\sProc\. ACM")"),"SenLoRa: Integrated Sensing and Communication with Ambient LoRa</f>
        <v xml:space="preserve">SenLoRa: Integrated Sensing and Communication with Ambient LoRa</v>
      </c>
      <c r="B68" s="7">
        <f t="shared" si="17"/>
        <v>134</v>
      </c>
      <c r="C68" s="8" t="s">
        <v>973</v>
      </c>
      <c r="D68" s="6" t="s">
        <v>974</v>
      </c>
      <c r="E68" s="9">
        <v>45957</v>
      </c>
      <c r="F68" s="7">
        <v>2025</v>
      </c>
      <c r="G68" s="7" t="s">
        <v>575</v>
      </c>
      <c r="H68" s="13" t="str">
        <f t="shared" si="22"/>
        <v>2025_Sep_134</v>
      </c>
      <c r="I68" s="10" t="str">
        <f t="shared" si="23"/>
        <v>https://doi.org/10.1145/3749522</v>
      </c>
      <c r="J68" s="7">
        <f t="shared" si="24"/>
        <v>26</v>
      </c>
      <c r="K68" s="6" t="s">
        <v>71</v>
      </c>
      <c r="L68" s="24" t="str">
        <f t="shared" si="21"/>
        <v>No</v>
      </c>
      <c r="M68" s="7" t="s">
        <v>34</v>
      </c>
      <c r="N68" s="7" t="s">
        <v>94</v>
      </c>
      <c r="O68" s="7" t="s">
        <v>34</v>
      </c>
      <c r="P68" s="13"/>
      <c r="Q68" s="6" t="s">
        <v>975</v>
      </c>
      <c r="R68" s="7" t="s">
        <v>94</v>
      </c>
      <c r="S68" s="7" t="s">
        <v>34</v>
      </c>
      <c r="T68" s="13"/>
      <c r="U68" s="6"/>
      <c r="V68" s="7" t="s">
        <v>33</v>
      </c>
      <c r="W68" s="6" t="s">
        <v>976</v>
      </c>
      <c r="X68" s="7" t="s">
        <v>33</v>
      </c>
      <c r="Y68" s="6" t="s">
        <v>977</v>
      </c>
      <c r="Z68" s="7" t="s">
        <v>144</v>
      </c>
      <c r="AA68" s="6" t="s">
        <v>978</v>
      </c>
      <c r="AB68" s="6" t="s">
        <v>979</v>
      </c>
      <c r="AC68" s="6" t="s">
        <v>181</v>
      </c>
    </row>
    <row r="69" ht="22.5" customHeight="1">
      <c r="A69" s="11" t="str">
        <f>REGEXEXTRACT(D69, "\d{4}\.\s(.*?)\.\sProc\. ACM")"),"Sonic-Fi: Practical Vital Signs Distillation Leveraging Fine-grained Physical Resolution</f>
        <v xml:space="preserve">Sonic-Fi: Practical Vital Signs Distillation Leveraging Fine-grained Physical Resolution</v>
      </c>
      <c r="B69" s="7">
        <f t="shared" si="17"/>
        <v>135</v>
      </c>
      <c r="C69" s="8" t="s">
        <v>980</v>
      </c>
      <c r="D69" s="6" t="s">
        <v>981</v>
      </c>
      <c r="E69" s="9">
        <v>45957</v>
      </c>
      <c r="F69" s="7">
        <v>2025</v>
      </c>
      <c r="G69" s="7" t="s">
        <v>575</v>
      </c>
      <c r="H69" s="13" t="str">
        <f t="shared" si="22"/>
        <v>2025_Sep_135</v>
      </c>
      <c r="I69" s="10" t="str">
        <f t="shared" si="23"/>
        <v>https://doi.org/10.1145/3749460</v>
      </c>
      <c r="J69" s="7">
        <f t="shared" si="24"/>
        <v>22</v>
      </c>
      <c r="K69" s="6" t="s">
        <v>777</v>
      </c>
      <c r="L69" s="24" t="str">
        <f t="shared" si="21"/>
        <v>No</v>
      </c>
      <c r="M69" s="7" t="s">
        <v>33</v>
      </c>
      <c r="N69" s="7" t="s">
        <v>33</v>
      </c>
      <c r="O69" s="7" t="s">
        <v>34</v>
      </c>
      <c r="P69" s="13"/>
      <c r="Q69" s="6"/>
      <c r="R69" s="7" t="s">
        <v>33</v>
      </c>
      <c r="S69" s="7" t="s">
        <v>34</v>
      </c>
      <c r="T69" s="13"/>
      <c r="U69" s="6"/>
      <c r="V69" s="7" t="s">
        <v>33</v>
      </c>
      <c r="W69" s="6" t="s">
        <v>982</v>
      </c>
      <c r="X69" s="7" t="s">
        <v>33</v>
      </c>
      <c r="Y69" s="6" t="s">
        <v>983</v>
      </c>
      <c r="Z69" s="7" t="s">
        <v>34</v>
      </c>
      <c r="AA69" s="6" t="s">
        <v>984</v>
      </c>
      <c r="AB69" s="6" t="s">
        <v>985</v>
      </c>
      <c r="AC69" s="6" t="s">
        <v>181</v>
      </c>
    </row>
    <row r="70" ht="22.5" customHeight="1">
      <c r="A70" s="11" t="str">
        <f>REGEXEXTRACT(D70, "\d{4}\.\s(.*?)\.\sProc\. ACM")"),"Semi-supervised Contrastive Learning for Reliable Sleep Staging with Small Labeled Photoplethysmography Data</f>
        <v xml:space="preserve">Semi-supervised Contrastive Learning for Reliable Sleep Staging with Small Labeled Photoplethysmography Data</v>
      </c>
      <c r="B70" s="7">
        <f t="shared" si="17"/>
        <v>136</v>
      </c>
      <c r="C70" s="8" t="s">
        <v>986</v>
      </c>
      <c r="D70" s="6" t="s">
        <v>987</v>
      </c>
      <c r="E70" s="9">
        <v>45957</v>
      </c>
      <c r="F70" s="7">
        <v>2025</v>
      </c>
      <c r="G70" s="7" t="s">
        <v>575</v>
      </c>
      <c r="H70" s="13" t="str">
        <f t="shared" si="22"/>
        <v>2025_Sep_136</v>
      </c>
      <c r="I70" s="10" t="str">
        <f t="shared" si="23"/>
        <v>https://doi.org/10.1145/3749978</v>
      </c>
      <c r="J70" s="7">
        <f t="shared" si="24"/>
        <v>32</v>
      </c>
      <c r="K70" s="6" t="s">
        <v>652</v>
      </c>
      <c r="L70" s="24" t="str">
        <f t="shared" si="21"/>
        <v>No</v>
      </c>
      <c r="M70" s="7" t="s">
        <v>34</v>
      </c>
      <c r="N70" s="7" t="s">
        <v>33</v>
      </c>
      <c r="O70" s="7" t="s">
        <v>34</v>
      </c>
      <c r="P70" s="10" t="s">
        <v>988</v>
      </c>
      <c r="Q70" s="6" t="s">
        <v>989</v>
      </c>
      <c r="R70" s="7" t="s">
        <v>33</v>
      </c>
      <c r="S70" s="7" t="s">
        <v>34</v>
      </c>
      <c r="T70" s="10" t="s">
        <v>988</v>
      </c>
      <c r="U70" s="6" t="s">
        <v>990</v>
      </c>
      <c r="V70" s="7" t="s">
        <v>34</v>
      </c>
      <c r="W70" s="6"/>
      <c r="X70" s="7" t="s">
        <v>94</v>
      </c>
      <c r="Y70" s="6"/>
      <c r="Z70" s="7" t="s">
        <v>34</v>
      </c>
      <c r="AA70" s="6"/>
      <c r="AB70" s="6" t="s">
        <v>991</v>
      </c>
      <c r="AC70" s="6" t="s">
        <v>181</v>
      </c>
    </row>
    <row r="71" ht="22.5" customHeight="1">
      <c r="A71" s="14" t="str">
        <f>REGEXEXTRACT(D71, "\d{4}\.\s(.*?)\.\sProc\. ACM")"),"Computing with Smart Rings: A Systematic Literature Review</f>
        <v xml:space="preserve">Computing with Smart Rings: A Systematic Literature Review</v>
      </c>
      <c r="B71" s="15">
        <f t="shared" si="17"/>
        <v>137</v>
      </c>
      <c r="C71" s="16" t="s">
        <v>992</v>
      </c>
      <c r="D71" s="17" t="s">
        <v>993</v>
      </c>
      <c r="E71" s="18">
        <v>45957</v>
      </c>
      <c r="F71" s="15">
        <v>2025</v>
      </c>
      <c r="G71" s="15" t="s">
        <v>575</v>
      </c>
      <c r="H71" s="20" t="str">
        <f t="shared" si="22"/>
        <v>2025_Sep_137</v>
      </c>
      <c r="I71" s="22" t="str">
        <f t="shared" si="23"/>
        <v>https://doi.org/10.1145/3749480</v>
      </c>
      <c r="J71" s="15">
        <f t="shared" si="24"/>
        <v>54</v>
      </c>
      <c r="K71" s="17" t="s">
        <v>110</v>
      </c>
      <c r="L71" s="25" t="str">
        <f t="shared" si="21"/>
        <v>No</v>
      </c>
      <c r="M71" s="15" t="s">
        <v>33</v>
      </c>
      <c r="N71" s="15" t="s">
        <v>34</v>
      </c>
      <c r="O71" s="15" t="s">
        <v>35</v>
      </c>
      <c r="P71" s="20"/>
      <c r="Q71" s="17" t="s">
        <v>994</v>
      </c>
      <c r="R71" s="15" t="s">
        <v>34</v>
      </c>
      <c r="S71" s="15" t="s">
        <v>35</v>
      </c>
      <c r="T71" s="20"/>
      <c r="U71" s="17"/>
      <c r="V71" s="15" t="s">
        <v>34</v>
      </c>
      <c r="W71" s="17"/>
      <c r="X71" s="15" t="s">
        <v>34</v>
      </c>
      <c r="Y71" s="17"/>
      <c r="Z71" s="15" t="s">
        <v>34</v>
      </c>
      <c r="AA71" s="17"/>
      <c r="AB71" s="17" t="s">
        <v>995</v>
      </c>
      <c r="AC71" s="17" t="s">
        <v>181</v>
      </c>
    </row>
    <row r="72" ht="22.5" customHeight="1">
      <c r="A72" s="11" t="str">
        <f>REGEXEXTRACT(D72, "\d{4}\.\s(.*?)\.\sProc\. ACM")"),"In a Flap: Experiences with a Bioinspired Flying Robot</f>
        <v xml:space="preserve">In a Flap: Experiences with a Bioinspired Flying Robot</v>
      </c>
      <c r="B72" s="7">
        <f t="shared" si="17"/>
        <v>138</v>
      </c>
      <c r="C72" s="8" t="s">
        <v>996</v>
      </c>
      <c r="D72" s="10" t="s">
        <v>997</v>
      </c>
      <c r="E72" s="9">
        <v>45955</v>
      </c>
      <c r="F72" s="7">
        <v>2025</v>
      </c>
      <c r="G72" s="7" t="s">
        <v>575</v>
      </c>
      <c r="H72" s="13" t="str">
        <f t="shared" si="22"/>
        <v>2025_Sep_138</v>
      </c>
      <c r="I72" s="10" t="str">
        <f t="shared" si="23"/>
        <v>https://doi.org/10.1145/3749495</v>
      </c>
      <c r="J72" s="7">
        <f t="shared" si="24"/>
        <v>20</v>
      </c>
      <c r="K72" s="6" t="s">
        <v>42</v>
      </c>
      <c r="L72" s="24" t="str">
        <f t="shared" si="21"/>
        <v>No</v>
      </c>
      <c r="M72" s="7" t="s">
        <v>33</v>
      </c>
      <c r="N72" s="7" t="s">
        <v>34</v>
      </c>
      <c r="O72" s="7" t="s">
        <v>35</v>
      </c>
      <c r="P72" s="13"/>
      <c r="Q72" s="6"/>
      <c r="R72" s="7" t="s">
        <v>34</v>
      </c>
      <c r="S72" s="7" t="s">
        <v>35</v>
      </c>
      <c r="T72" s="13"/>
      <c r="U72" s="6"/>
      <c r="V72" s="7" t="s">
        <v>35</v>
      </c>
      <c r="W72" s="6"/>
      <c r="X72" s="7" t="s">
        <v>35</v>
      </c>
      <c r="Y72" s="6"/>
      <c r="Z72" s="7" t="s">
        <v>35</v>
      </c>
      <c r="AA72" s="6"/>
      <c r="AB72" s="6"/>
      <c r="AC72" s="6" t="s">
        <v>355</v>
      </c>
    </row>
    <row r="73" ht="22.5" customHeight="1">
      <c r="A73" s="11" t="str">
        <f>REGEXEXTRACT(D73, "\d{4}\.\s(.*?)\.\sProc\. ACM")"),"One Model to Fit Them All: Universal IMU-based Human Activity Recognition with LLM-assisted Cross-dataset Representation</f>
        <v xml:space="preserve">One Model to Fit Them All: Universal IMU-based Human Activity Recognition with LLM-assisted Cross-dataset Representation</v>
      </c>
      <c r="B73" s="7">
        <f t="shared" si="17"/>
        <v>139</v>
      </c>
      <c r="C73" s="8" t="s">
        <v>998</v>
      </c>
      <c r="D73" s="10" t="s">
        <v>999</v>
      </c>
      <c r="E73" s="9">
        <v>45955</v>
      </c>
      <c r="F73" s="7">
        <v>2025</v>
      </c>
      <c r="G73" s="7" t="s">
        <v>575</v>
      </c>
      <c r="H73" s="13" t="str">
        <f t="shared" si="22"/>
        <v>2025_Sep_139</v>
      </c>
      <c r="I73" s="10" t="str">
        <f t="shared" si="23"/>
        <v>https://doi.org/10.1145/3749509</v>
      </c>
      <c r="J73" s="7">
        <f t="shared" si="24"/>
        <v>22</v>
      </c>
      <c r="K73" s="6" t="s">
        <v>209</v>
      </c>
      <c r="L73" s="24" t="str">
        <f>IF(REGEXMATCH(LOWER($A73),"(^|[^a-z])dataset(s)?([^a-z]|$)"),"Yes","No")"),"Yes</f>
        <v>Yes</v>
      </c>
      <c r="M73" s="7" t="s">
        <v>34</v>
      </c>
      <c r="N73" s="7" t="s">
        <v>33</v>
      </c>
      <c r="O73" s="7" t="s">
        <v>33</v>
      </c>
      <c r="P73" s="10" t="s">
        <v>1000</v>
      </c>
      <c r="Q73" s="6"/>
      <c r="R73" s="7" t="s">
        <v>33</v>
      </c>
      <c r="S73" s="7" t="s">
        <v>33</v>
      </c>
      <c r="T73" s="10" t="s">
        <v>1000</v>
      </c>
      <c r="U73" s="6" t="s">
        <v>1001</v>
      </c>
      <c r="V73" s="7" t="s">
        <v>34</v>
      </c>
      <c r="W73" s="6" t="s">
        <v>1002</v>
      </c>
      <c r="X73" s="7" t="s">
        <v>34</v>
      </c>
      <c r="Y73" s="6" t="s">
        <v>1003</v>
      </c>
      <c r="Z73" s="7" t="s">
        <v>33</v>
      </c>
      <c r="AA73" s="6" t="s">
        <v>1004</v>
      </c>
      <c r="AB73" s="6" t="s">
        <v>1005</v>
      </c>
      <c r="AC73" s="6" t="s">
        <v>355</v>
      </c>
    </row>
    <row r="74" ht="22.5" customHeight="1">
      <c r="A74" s="11" t="str">
        <f>REGEXEXTRACT(D74, "\d{4}\.\s(.*?)\.\sProc\. ACM")"),"AudioMiXR: Spatial Audio Object Manipulation with 6DoF for Sound Design in Augmented Reality</f>
        <v xml:space="preserve">AudioMiXR: Spatial Audio Object Manipulation with 6DoF for Sound Design in Augmented Reality</v>
      </c>
      <c r="B74" s="7">
        <f t="shared" ref="B74:B91" si="25">IFERROR(VALUE(_xlfn.REGEXEXTRACT(D74,"Article\s+(\d+)")),"")</f>
        <v>140</v>
      </c>
      <c r="C74" s="8" t="s">
        <v>1006</v>
      </c>
      <c r="D74" s="10" t="s">
        <v>1007</v>
      </c>
      <c r="E74" s="9">
        <v>45955</v>
      </c>
      <c r="F74" s="7">
        <v>2025</v>
      </c>
      <c r="G74" s="7" t="s">
        <v>575</v>
      </c>
      <c r="H74" s="13" t="str">
        <f t="shared" si="22"/>
        <v>2025_Sep_140</v>
      </c>
      <c r="I74" s="10" t="str">
        <f t="shared" si="23"/>
        <v>https://doi.org/10.1145/3749478</v>
      </c>
      <c r="J74" s="7">
        <f t="shared" si="24"/>
        <v>41</v>
      </c>
      <c r="K74" s="6" t="s">
        <v>652</v>
      </c>
      <c r="L74" s="24" t="str">
        <f t="shared" ref="L74:L76" si="26">IF(REGEXMATCH(LOWER($A74),"(^|[^a-z])dataset(s)?([^a-z]|$)"),"Yes","No")"),"No</f>
        <v>No</v>
      </c>
      <c r="M74" s="7" t="s">
        <v>33</v>
      </c>
      <c r="N74" s="7" t="s">
        <v>33</v>
      </c>
      <c r="O74" s="7" t="s">
        <v>34</v>
      </c>
      <c r="P74" s="13"/>
      <c r="Q74" s="6" t="s">
        <v>1008</v>
      </c>
      <c r="R74" s="7" t="s">
        <v>34</v>
      </c>
      <c r="S74" s="7" t="s">
        <v>35</v>
      </c>
      <c r="T74" s="13"/>
      <c r="U74" s="6" t="s">
        <v>1009</v>
      </c>
      <c r="V74" s="7" t="s">
        <v>33</v>
      </c>
      <c r="W74" s="6" t="s">
        <v>1010</v>
      </c>
      <c r="X74" s="7" t="s">
        <v>33</v>
      </c>
      <c r="Y74" s="6" t="s">
        <v>1011</v>
      </c>
      <c r="Z74" s="7" t="s">
        <v>34</v>
      </c>
      <c r="AA74" s="6" t="s">
        <v>1012</v>
      </c>
      <c r="AB74" s="6" t="s">
        <v>1013</v>
      </c>
      <c r="AC74" s="6" t="s">
        <v>355</v>
      </c>
    </row>
    <row r="75" ht="22.5" customHeight="1">
      <c r="A75" s="11" t="str">
        <f>REGEXEXTRACT(D75, "\d{4}\.\s(.*?)\.\sProc\. ACM")"),"VibRun: Real-time Unobtrusive Gait Analysis for Treadmill Running via Footstep Vibrations</f>
        <v xml:space="preserve">VibRun: Real-time Unobtrusive Gait Analysis for Treadmill Running via Footstep Vibrations</v>
      </c>
      <c r="B75" s="7">
        <f t="shared" si="25"/>
        <v>141</v>
      </c>
      <c r="C75" s="8" t="s">
        <v>1014</v>
      </c>
      <c r="D75" s="10" t="s">
        <v>1015</v>
      </c>
      <c r="E75" s="9">
        <v>45956</v>
      </c>
      <c r="F75" s="7">
        <v>2025</v>
      </c>
      <c r="G75" s="7" t="s">
        <v>575</v>
      </c>
      <c r="H75" s="13" t="str">
        <f t="shared" si="22"/>
        <v>2025_Sep_141</v>
      </c>
      <c r="I75" s="10" t="str">
        <f t="shared" si="23"/>
        <v>https://doi.org/10.1145/3749539</v>
      </c>
      <c r="J75" s="7">
        <f t="shared" si="24"/>
        <v>25</v>
      </c>
      <c r="K75" s="6" t="s">
        <v>217</v>
      </c>
      <c r="L75" s="24" t="str">
        <f t="shared" si="26"/>
        <v>No</v>
      </c>
      <c r="M75" s="7" t="s">
        <v>33</v>
      </c>
      <c r="N75" s="7" t="s">
        <v>33</v>
      </c>
      <c r="O75" s="7" t="s">
        <v>34</v>
      </c>
      <c r="P75" s="13"/>
      <c r="Q75" s="6"/>
      <c r="R75" s="7" t="s">
        <v>33</v>
      </c>
      <c r="S75" s="7" t="s">
        <v>34</v>
      </c>
      <c r="T75" s="13"/>
      <c r="U75" s="6"/>
      <c r="V75" s="7" t="s">
        <v>33</v>
      </c>
      <c r="W75" s="6" t="s">
        <v>1016</v>
      </c>
      <c r="X75" s="7" t="s">
        <v>33</v>
      </c>
      <c r="Y75" s="6" t="s">
        <v>1017</v>
      </c>
      <c r="Z75" s="7" t="s">
        <v>34</v>
      </c>
      <c r="AA75" s="6" t="s">
        <v>1018</v>
      </c>
      <c r="AB75" s="6" t="s">
        <v>1019</v>
      </c>
      <c r="AC75" s="6" t="s">
        <v>355</v>
      </c>
    </row>
    <row r="76" ht="22.5" customHeight="1">
      <c r="A76" s="11" t="str">
        <f>REGEXEXTRACT(D76, "\d{4}\.\s(.*?)\.\sProc\. ACM")"),"Human Heterogeneity Invariant Stress Sensing</f>
        <v xml:space="preserve">Human Heterogeneity Invariant Stress Sensing</v>
      </c>
      <c r="B76" s="7">
        <f t="shared" si="25"/>
        <v>142</v>
      </c>
      <c r="C76" s="8" t="s">
        <v>1020</v>
      </c>
      <c r="D76" s="10" t="s">
        <v>1021</v>
      </c>
      <c r="E76" s="9">
        <v>45956</v>
      </c>
      <c r="F76" s="7">
        <v>2025</v>
      </c>
      <c r="G76" s="7" t="s">
        <v>575</v>
      </c>
      <c r="H76" s="13" t="str">
        <f t="shared" si="22"/>
        <v>2025_Sep_142</v>
      </c>
      <c r="I76" s="10" t="str">
        <f t="shared" si="23"/>
        <v>https://doi.org/10.1145/3749465</v>
      </c>
      <c r="J76" s="7">
        <f t="shared" si="24"/>
        <v>42</v>
      </c>
      <c r="K76" s="6" t="s">
        <v>32</v>
      </c>
      <c r="L76" s="24" t="str">
        <f t="shared" si="26"/>
        <v>No</v>
      </c>
      <c r="M76" s="7" t="s">
        <v>34</v>
      </c>
      <c r="N76" s="7" t="s">
        <v>33</v>
      </c>
      <c r="O76" s="7" t="s">
        <v>33</v>
      </c>
      <c r="P76" s="12" t="s">
        <v>1022</v>
      </c>
      <c r="Q76" s="6" t="s">
        <v>1023</v>
      </c>
      <c r="R76" s="7" t="s">
        <v>33</v>
      </c>
      <c r="S76" s="7" t="s">
        <v>144</v>
      </c>
      <c r="T76" s="12" t="s">
        <v>1022</v>
      </c>
      <c r="U76" s="6" t="s">
        <v>1024</v>
      </c>
      <c r="V76" s="7" t="s">
        <v>33</v>
      </c>
      <c r="W76" s="6" t="s">
        <v>1025</v>
      </c>
      <c r="X76" s="7" t="s">
        <v>34</v>
      </c>
      <c r="Y76" s="6"/>
      <c r="Z76" s="7" t="s">
        <v>33</v>
      </c>
      <c r="AA76" s="6" t="s">
        <v>1026</v>
      </c>
      <c r="AB76" s="6" t="s">
        <v>1027</v>
      </c>
      <c r="AC76" s="6" t="s">
        <v>355</v>
      </c>
    </row>
    <row r="77" ht="22.5" customHeight="1">
      <c r="A77" s="11" t="str">
        <f>REGEXEXTRACT(D77, "\d{4}\.\s(.*?)\.\sProc\. ACM")"),"Through the Eyes of Emotion: A Multi-faceted Eye Tracking Dataset for Emotion Recognition in Virtual Reality</f>
        <v xml:space="preserve">Through the Eyes of Emotion: A Multi-faceted Eye Tracking Dataset for Emotion Recognition in Virtual Reality</v>
      </c>
      <c r="B77" s="7">
        <f t="shared" si="25"/>
        <v>143</v>
      </c>
      <c r="C77" s="8" t="s">
        <v>1028</v>
      </c>
      <c r="D77" s="10" t="s">
        <v>1029</v>
      </c>
      <c r="E77" s="9">
        <v>45956</v>
      </c>
      <c r="F77" s="7">
        <v>2025</v>
      </c>
      <c r="G77" s="7" t="s">
        <v>575</v>
      </c>
      <c r="H77" s="13" t="str">
        <f t="shared" si="22"/>
        <v>2025_Sep_143</v>
      </c>
      <c r="I77" s="10" t="str">
        <f t="shared" si="23"/>
        <v>https://doi.org/10.1145/3749545</v>
      </c>
      <c r="J77" s="7">
        <f t="shared" si="24"/>
        <v>41</v>
      </c>
      <c r="K77" s="6" t="s">
        <v>1030</v>
      </c>
      <c r="L77" s="24" t="str">
        <f>IF(REGEXMATCH(LOWER($A77),"(^|[^a-z])dataset(s)?([^a-z]|$)"),"Yes","No")"),"Yes</f>
        <v>Yes</v>
      </c>
      <c r="M77" s="7" t="s">
        <v>33</v>
      </c>
      <c r="N77" s="7" t="s">
        <v>33</v>
      </c>
      <c r="O77" s="7" t="s">
        <v>33</v>
      </c>
      <c r="P77" s="10" t="s">
        <v>1031</v>
      </c>
      <c r="Q77" s="6" t="s">
        <v>1032</v>
      </c>
      <c r="R77" s="7" t="s">
        <v>33</v>
      </c>
      <c r="S77" s="7" t="s">
        <v>55</v>
      </c>
      <c r="T77" s="10" t="s">
        <v>1031</v>
      </c>
      <c r="U77" s="6" t="s">
        <v>1033</v>
      </c>
      <c r="V77" s="7" t="s">
        <v>33</v>
      </c>
      <c r="W77" s="6" t="s">
        <v>1034</v>
      </c>
      <c r="X77" s="7" t="s">
        <v>34</v>
      </c>
      <c r="Y77" s="6"/>
      <c r="Z77" s="7" t="s">
        <v>33</v>
      </c>
      <c r="AA77" s="6" t="s">
        <v>1035</v>
      </c>
      <c r="AB77" s="6" t="s">
        <v>1036</v>
      </c>
      <c r="AC77" s="6" t="s">
        <v>355</v>
      </c>
    </row>
    <row r="78" ht="22.5" customHeight="1">
      <c r="A78" s="11" t="str">
        <f>REGEXEXTRACT(D78, "\d{4}\.\s(.*?)\.\sProc\. ACM")"),"TravelTales: Reflecting on Meaningful Travel through Digital Scrapbooking and Journaling</f>
        <v xml:space="preserve">TravelTales: Reflecting on Meaningful Travel through Digital Scrapbooking and Journaling</v>
      </c>
      <c r="B78" s="7">
        <f t="shared" si="25"/>
        <v>144</v>
      </c>
      <c r="C78" s="8" t="s">
        <v>1037</v>
      </c>
      <c r="D78" s="10" t="s">
        <v>1038</v>
      </c>
      <c r="E78" s="9">
        <v>45957</v>
      </c>
      <c r="F78" s="7">
        <v>2025</v>
      </c>
      <c r="G78" s="7" t="s">
        <v>575</v>
      </c>
      <c r="H78" s="13" t="str">
        <f t="shared" si="22"/>
        <v>2025_Sep_144</v>
      </c>
      <c r="I78" s="10" t="str">
        <f t="shared" si="23"/>
        <v>https://doi.org/10.1145/3749512</v>
      </c>
      <c r="J78" s="7">
        <f t="shared" si="24"/>
        <v>29</v>
      </c>
      <c r="K78" s="6" t="s">
        <v>652</v>
      </c>
      <c r="L78" s="24" t="str">
        <f t="shared" ref="L78:L91" si="27">IF(REGEXMATCH(LOWER($A78),"(^|[^a-z])dataset(s)?([^a-z]|$)"),"Yes","No")"),"No</f>
        <v>No</v>
      </c>
      <c r="M78" s="7" t="s">
        <v>33</v>
      </c>
      <c r="N78" s="7" t="s">
        <v>33</v>
      </c>
      <c r="O78" s="7" t="s">
        <v>34</v>
      </c>
      <c r="P78" s="13"/>
      <c r="Q78" s="6" t="s">
        <v>1039</v>
      </c>
      <c r="R78" s="7" t="s">
        <v>34</v>
      </c>
      <c r="S78" s="7" t="s">
        <v>35</v>
      </c>
      <c r="T78" s="13"/>
      <c r="U78" s="6"/>
      <c r="V78" s="7" t="s">
        <v>34</v>
      </c>
      <c r="W78" s="6" t="s">
        <v>1040</v>
      </c>
      <c r="X78" s="7" t="s">
        <v>34</v>
      </c>
      <c r="Y78" s="6"/>
      <c r="Z78" s="7" t="s">
        <v>34</v>
      </c>
      <c r="AA78" s="6" t="s">
        <v>1041</v>
      </c>
      <c r="AB78" s="6" t="s">
        <v>1042</v>
      </c>
      <c r="AC78" s="6" t="s">
        <v>355</v>
      </c>
    </row>
    <row r="79" ht="22.5" customHeight="1">
      <c r="A79" s="11" t="str">
        <f>REGEXEXTRACT(D79, "\d{4}\.\s(.*?)\.\sProc\. ACM")"),"FoRM: Foot-driven Reconstruction of Human Motion Using Dual-Modal Plantar Pressure and Inertial Sensing</f>
        <v xml:space="preserve">FoRM: Foot-driven Reconstruction of Human Motion Using Dual-Modal Plantar Pressure and Inertial Sensing</v>
      </c>
      <c r="B79" s="7">
        <f t="shared" si="25"/>
        <v>145</v>
      </c>
      <c r="C79" s="8" t="s">
        <v>1043</v>
      </c>
      <c r="D79" s="10" t="s">
        <v>1044</v>
      </c>
      <c r="E79" s="44">
        <v>45957</v>
      </c>
      <c r="F79" s="7">
        <v>2025</v>
      </c>
      <c r="G79" s="7" t="s">
        <v>575</v>
      </c>
      <c r="H79" s="13" t="str">
        <f t="shared" si="22"/>
        <v>2025_Sep_145</v>
      </c>
      <c r="I79" s="10" t="str">
        <f t="shared" si="23"/>
        <v>https://doi.org/10.1145/3749551</v>
      </c>
      <c r="J79" s="7">
        <f t="shared" si="24"/>
        <v>41</v>
      </c>
      <c r="K79" s="6" t="s">
        <v>1045</v>
      </c>
      <c r="L79" s="24" t="str">
        <f t="shared" si="27"/>
        <v>No</v>
      </c>
      <c r="M79" s="7" t="s">
        <v>34</v>
      </c>
      <c r="N79" s="7" t="s">
        <v>33</v>
      </c>
      <c r="O79" s="7" t="s">
        <v>33</v>
      </c>
      <c r="P79" s="10" t="s">
        <v>1046</v>
      </c>
      <c r="Q79" s="6" t="s">
        <v>1023</v>
      </c>
      <c r="R79" s="7" t="s">
        <v>33</v>
      </c>
      <c r="S79" s="7" t="s">
        <v>33</v>
      </c>
      <c r="T79" s="10" t="s">
        <v>1046</v>
      </c>
      <c r="U79" s="6" t="s">
        <v>1047</v>
      </c>
      <c r="V79" s="7" t="s">
        <v>33</v>
      </c>
      <c r="W79" s="6" t="s">
        <v>1048</v>
      </c>
      <c r="X79" s="7" t="s">
        <v>34</v>
      </c>
      <c r="Y79" s="6" t="s">
        <v>1049</v>
      </c>
      <c r="Z79" s="7" t="s">
        <v>33</v>
      </c>
      <c r="AA79" s="6" t="s">
        <v>1050</v>
      </c>
      <c r="AB79" s="6" t="s">
        <v>1051</v>
      </c>
      <c r="AC79" s="6" t="s">
        <v>355</v>
      </c>
    </row>
    <row r="80" ht="22.5" customHeight="1">
      <c r="A80" s="11" t="str">
        <f>REGEXEXTRACT(D80, "\d{4}\.\s(.*?)\.\sProc\. ACM")"),"Map as a By-product: Collective Landmark Mapping from IMU Data and User-provided Texts in Situated Tasks</f>
        <v xml:space="preserve">Map as a By-product: Collective Landmark Mapping from IMU Data and User-provided Texts in Situated Tasks</v>
      </c>
      <c r="B80" s="7">
        <f t="shared" si="25"/>
        <v>146</v>
      </c>
      <c r="C80" s="8" t="s">
        <v>1052</v>
      </c>
      <c r="D80" s="10" t="s">
        <v>1053</v>
      </c>
      <c r="E80" s="9">
        <v>45957</v>
      </c>
      <c r="F80" s="7">
        <v>2025</v>
      </c>
      <c r="G80" s="7" t="s">
        <v>575</v>
      </c>
      <c r="H80" s="13" t="str">
        <f t="shared" si="22"/>
        <v>2025_Sep_146</v>
      </c>
      <c r="I80" s="10" t="str">
        <f t="shared" si="23"/>
        <v>https://doi.org/10.1145/3749455</v>
      </c>
      <c r="J80" s="7">
        <f t="shared" si="24"/>
        <v>20</v>
      </c>
      <c r="K80" s="6" t="s">
        <v>133</v>
      </c>
      <c r="L80" s="24" t="str">
        <f t="shared" si="27"/>
        <v>No</v>
      </c>
      <c r="M80" s="7" t="s">
        <v>34</v>
      </c>
      <c r="N80" s="7" t="s">
        <v>33</v>
      </c>
      <c r="O80" s="7" t="s">
        <v>34</v>
      </c>
      <c r="P80" s="13"/>
      <c r="Q80" s="6"/>
      <c r="R80" s="7" t="s">
        <v>33</v>
      </c>
      <c r="S80" s="7" t="s">
        <v>34</v>
      </c>
      <c r="T80" s="13"/>
      <c r="U80" s="6"/>
      <c r="V80" s="7" t="s">
        <v>33</v>
      </c>
      <c r="W80" s="6" t="s">
        <v>1054</v>
      </c>
      <c r="X80" s="7" t="s">
        <v>33</v>
      </c>
      <c r="Y80" s="6" t="s">
        <v>1055</v>
      </c>
      <c r="Z80" s="7" t="s">
        <v>34</v>
      </c>
      <c r="AA80" s="6" t="s">
        <v>1056</v>
      </c>
      <c r="AB80" s="6" t="s">
        <v>1057</v>
      </c>
      <c r="AC80" s="6" t="s">
        <v>355</v>
      </c>
    </row>
    <row r="81" ht="22.5" customHeight="1">
      <c r="A81" s="11" t="str">
        <f>REGEXEXTRACT(D81, "\d{4}\.\s(.*?)\.\sProc\. ACM")"),"PalmPen: A Palmprint Positioning Pen</f>
        <v xml:space="preserve">PalmPen: A Palmprint Positioning Pen</v>
      </c>
      <c r="B81" s="7">
        <f t="shared" si="25"/>
        <v>147</v>
      </c>
      <c r="C81" s="8" t="s">
        <v>1058</v>
      </c>
      <c r="D81" s="6" t="s">
        <v>1059</v>
      </c>
      <c r="E81" s="9">
        <v>45958</v>
      </c>
      <c r="F81" s="7">
        <v>2025</v>
      </c>
      <c r="G81" s="7" t="s">
        <v>575</v>
      </c>
      <c r="H81" s="13" t="str">
        <f t="shared" si="22"/>
        <v>2025_Sep_147</v>
      </c>
      <c r="I81" s="10" t="str">
        <f t="shared" si="23"/>
        <v>https://doi.org/10.1145/3749549</v>
      </c>
      <c r="J81" s="7">
        <f t="shared" si="24"/>
        <v>27</v>
      </c>
      <c r="K81" s="6" t="s">
        <v>217</v>
      </c>
      <c r="L81" s="24" t="str">
        <f t="shared" si="27"/>
        <v>No</v>
      </c>
      <c r="M81" s="7" t="s">
        <v>33</v>
      </c>
      <c r="N81" s="7" t="s">
        <v>33</v>
      </c>
      <c r="O81" s="7" t="s">
        <v>34</v>
      </c>
      <c r="P81" s="13"/>
      <c r="Q81" s="6"/>
      <c r="R81" s="7" t="s">
        <v>33</v>
      </c>
      <c r="S81" s="7" t="s">
        <v>34</v>
      </c>
      <c r="T81" s="13"/>
      <c r="U81" s="6" t="s">
        <v>1060</v>
      </c>
      <c r="V81" s="7" t="s">
        <v>33</v>
      </c>
      <c r="W81" s="6" t="s">
        <v>1061</v>
      </c>
      <c r="X81" s="7" t="s">
        <v>34</v>
      </c>
      <c r="Y81" s="6" t="s">
        <v>1062</v>
      </c>
      <c r="Z81" s="7" t="s">
        <v>34</v>
      </c>
      <c r="AA81" s="6" t="s">
        <v>1063</v>
      </c>
      <c r="AB81" s="6" t="s">
        <v>1064</v>
      </c>
      <c r="AC81" s="6" t="s">
        <v>355</v>
      </c>
    </row>
    <row r="82" ht="22.5" customHeight="1">
      <c r="A82" s="11" t="str">
        <f>REGEXEXTRACT(D82, "\d{4}\.\s(.*?)\.\sProc\. ACM")"),"SensorChat: Answering Qualitative and Quantitative Questions during Long-term Multimodal Sensor Interactions</f>
        <v xml:space="preserve">SensorChat: Answering Qualitative and Quantitative Questions during Long-term Multimodal Sensor Interactions</v>
      </c>
      <c r="B82" s="7">
        <f t="shared" si="25"/>
        <v>148</v>
      </c>
      <c r="C82" s="8" t="s">
        <v>1065</v>
      </c>
      <c r="D82" s="10" t="s">
        <v>1066</v>
      </c>
      <c r="E82" s="9">
        <v>45958</v>
      </c>
      <c r="F82" s="7">
        <v>2025</v>
      </c>
      <c r="G82" s="7" t="s">
        <v>575</v>
      </c>
      <c r="H82" s="13" t="str">
        <f t="shared" si="22"/>
        <v>2025_Sep_148</v>
      </c>
      <c r="I82" s="10" t="str">
        <f t="shared" si="23"/>
        <v>https://doi.org/10.1145/3749496</v>
      </c>
      <c r="J82" s="7">
        <f t="shared" si="24"/>
        <v>35</v>
      </c>
      <c r="K82" s="6" t="s">
        <v>133</v>
      </c>
      <c r="L82" s="24" t="str">
        <f t="shared" si="27"/>
        <v>No</v>
      </c>
      <c r="M82" s="7" t="s">
        <v>33</v>
      </c>
      <c r="N82" s="7" t="s">
        <v>33</v>
      </c>
      <c r="O82" s="7" t="s">
        <v>33</v>
      </c>
      <c r="P82" s="10" t="s">
        <v>1067</v>
      </c>
      <c r="Q82" s="6"/>
      <c r="R82" s="7" t="s">
        <v>33</v>
      </c>
      <c r="S82" s="7" t="s">
        <v>144</v>
      </c>
      <c r="T82" s="10" t="s">
        <v>1068</v>
      </c>
      <c r="U82" s="6" t="s">
        <v>1069</v>
      </c>
      <c r="V82" s="7" t="s">
        <v>33</v>
      </c>
      <c r="W82" s="6" t="s">
        <v>1070</v>
      </c>
      <c r="X82" s="7" t="s">
        <v>34</v>
      </c>
      <c r="Y82" s="6" t="s">
        <v>1071</v>
      </c>
      <c r="Z82" s="7" t="s">
        <v>33</v>
      </c>
      <c r="AA82" s="6" t="s">
        <v>1072</v>
      </c>
      <c r="AB82" s="6" t="s">
        <v>1073</v>
      </c>
      <c r="AC82" s="6" t="s">
        <v>355</v>
      </c>
    </row>
    <row r="83" ht="22.5" customHeight="1">
      <c r="A83" s="11" t="str">
        <f>REGEXEXTRACT(D83, "\d{4}\.\s(.*?)\.\sProc\. ACM")"),"Breaking the Resolution Barriers of mmWave Arrays via Null Steering for Sleep Monitoring in Multi-Person Scenarios</f>
        <v xml:space="preserve">Breaking the Resolution Barriers of mmWave Arrays via Null Steering for Sleep Monitoring in Multi-Person Scenarios</v>
      </c>
      <c r="B83" s="7">
        <f t="shared" si="25"/>
        <v>149</v>
      </c>
      <c r="C83" s="8" t="s">
        <v>1074</v>
      </c>
      <c r="D83" s="10" t="s">
        <v>1075</v>
      </c>
      <c r="E83" s="9">
        <v>45958</v>
      </c>
      <c r="F83" s="7">
        <v>2025</v>
      </c>
      <c r="G83" s="7" t="s">
        <v>575</v>
      </c>
      <c r="H83" s="13" t="str">
        <f t="shared" si="22"/>
        <v>2025_Sep_149</v>
      </c>
      <c r="I83" s="10" t="str">
        <f t="shared" si="23"/>
        <v>https://doi.org/10.1145/3749466</v>
      </c>
      <c r="J83" s="7">
        <f t="shared" si="24"/>
        <v>29</v>
      </c>
      <c r="K83" s="6" t="s">
        <v>133</v>
      </c>
      <c r="L83" s="24" t="str">
        <f t="shared" si="27"/>
        <v>No</v>
      </c>
      <c r="M83" s="7" t="s">
        <v>34</v>
      </c>
      <c r="N83" s="7" t="s">
        <v>33</v>
      </c>
      <c r="O83" s="7" t="s">
        <v>34</v>
      </c>
      <c r="P83" s="13"/>
      <c r="Q83" s="6"/>
      <c r="R83" s="7" t="s">
        <v>33</v>
      </c>
      <c r="S83" s="7" t="s">
        <v>34</v>
      </c>
      <c r="T83" s="13"/>
      <c r="U83" s="6" t="s">
        <v>1076</v>
      </c>
      <c r="V83" s="7" t="s">
        <v>33</v>
      </c>
      <c r="W83" s="6" t="s">
        <v>1077</v>
      </c>
      <c r="X83" s="7" t="s">
        <v>34</v>
      </c>
      <c r="Y83" s="6" t="s">
        <v>1078</v>
      </c>
      <c r="Z83" s="7" t="s">
        <v>34</v>
      </c>
      <c r="AA83" s="6" t="s">
        <v>1079</v>
      </c>
      <c r="AB83" s="6" t="s">
        <v>1080</v>
      </c>
      <c r="AC83" s="6" t="s">
        <v>355</v>
      </c>
    </row>
    <row r="84" ht="22.5" customHeight="1">
      <c r="A84" s="11" t="str">
        <f>REGEXEXTRACT(D84, "\d{4}\.\s(.*?)\.\sProc\. ACM")"),"The Manipulative Power of Voice Characteristics: Investigating Deceptive Patterns in Mandarin Chinese Female Synthetic Speech</f>
        <v xml:space="preserve">The Manipulative Power of Voice Characteristics: Investigating Deceptive Patterns in Mandarin Chinese Female Synthetic Speech</v>
      </c>
      <c r="B84" s="7">
        <f t="shared" si="25"/>
        <v>150</v>
      </c>
      <c r="C84" s="8" t="s">
        <v>1081</v>
      </c>
      <c r="D84" s="10" t="s">
        <v>1082</v>
      </c>
      <c r="E84" s="9">
        <v>45961</v>
      </c>
      <c r="F84" s="7">
        <v>2025</v>
      </c>
      <c r="G84" s="7" t="s">
        <v>575</v>
      </c>
      <c r="H84" s="13" t="str">
        <f t="shared" si="22"/>
        <v>2025_Sep_150</v>
      </c>
      <c r="I84" s="10" t="str">
        <f t="shared" si="23"/>
        <v>https://doi.org/10.1145/3749510</v>
      </c>
      <c r="J84" s="7">
        <f t="shared" si="24"/>
        <v>32</v>
      </c>
      <c r="K84" s="6" t="s">
        <v>42</v>
      </c>
      <c r="L84" s="24" t="str">
        <f t="shared" si="27"/>
        <v>No</v>
      </c>
      <c r="M84" s="7" t="s">
        <v>33</v>
      </c>
      <c r="N84" s="7" t="s">
        <v>34</v>
      </c>
      <c r="O84" s="7" t="s">
        <v>35</v>
      </c>
      <c r="P84" s="13"/>
      <c r="Q84" s="6"/>
      <c r="R84" s="7" t="s">
        <v>34</v>
      </c>
      <c r="S84" s="7" t="s">
        <v>35</v>
      </c>
      <c r="T84" s="13"/>
      <c r="U84" s="6"/>
      <c r="V84" s="7" t="s">
        <v>35</v>
      </c>
      <c r="W84" s="6"/>
      <c r="X84" s="7" t="s">
        <v>35</v>
      </c>
      <c r="Y84" s="6"/>
      <c r="Z84" s="7" t="s">
        <v>35</v>
      </c>
      <c r="AA84" s="6"/>
      <c r="AB84" s="6"/>
      <c r="AC84" s="6" t="s">
        <v>355</v>
      </c>
    </row>
    <row r="85" ht="22.5" customHeight="1">
      <c r="A85" s="11" t="str">
        <f>REGEXEXTRACT(D85, "\d{4}\.\s(.*?)\.\sProc\. ACM")"),"KineticsSense: A Multimodal Wearable Sensor Framework for Modeling Lower-Limb Motion Kinetics</f>
        <v xml:space="preserve">KineticsSense: A Multimodal Wearable Sensor Framework for Modeling Lower-Limb Motion Kinetics</v>
      </c>
      <c r="B85" s="7">
        <f t="shared" si="25"/>
        <v>151</v>
      </c>
      <c r="C85" s="8" t="s">
        <v>1083</v>
      </c>
      <c r="D85" s="10" t="s">
        <v>1084</v>
      </c>
      <c r="E85" s="9">
        <v>45961</v>
      </c>
      <c r="F85" s="7">
        <v>2025</v>
      </c>
      <c r="G85" s="7" t="s">
        <v>575</v>
      </c>
      <c r="H85" s="13" t="str">
        <f t="shared" si="22"/>
        <v>2025_Sep_151</v>
      </c>
      <c r="I85" s="10" t="str">
        <f t="shared" si="23"/>
        <v>https://doi.org/10.1145/3749462</v>
      </c>
      <c r="J85" s="7">
        <f t="shared" si="24"/>
        <v>35</v>
      </c>
      <c r="K85" s="6" t="s">
        <v>133</v>
      </c>
      <c r="L85" s="24" t="str">
        <f t="shared" si="27"/>
        <v>No</v>
      </c>
      <c r="M85" s="7" t="s">
        <v>34</v>
      </c>
      <c r="N85" s="7" t="s">
        <v>33</v>
      </c>
      <c r="O85" s="7" t="s">
        <v>33</v>
      </c>
      <c r="P85" s="10" t="s">
        <v>1085</v>
      </c>
      <c r="Q85" s="6" t="s">
        <v>1086</v>
      </c>
      <c r="R85" s="7" t="s">
        <v>33</v>
      </c>
      <c r="S85" s="7" t="s">
        <v>33</v>
      </c>
      <c r="T85" s="10" t="s">
        <v>1085</v>
      </c>
      <c r="U85" s="6" t="s">
        <v>1087</v>
      </c>
      <c r="V85" s="7" t="s">
        <v>33</v>
      </c>
      <c r="W85" s="6" t="s">
        <v>1088</v>
      </c>
      <c r="X85" s="7" t="s">
        <v>34</v>
      </c>
      <c r="Y85" s="6"/>
      <c r="Z85" s="7" t="s">
        <v>34</v>
      </c>
      <c r="AA85" s="6" t="s">
        <v>1089</v>
      </c>
      <c r="AB85" s="6" t="s">
        <v>1090</v>
      </c>
      <c r="AC85" s="6" t="s">
        <v>355</v>
      </c>
    </row>
    <row r="86" ht="22.5" customHeight="1">
      <c r="A86" s="11" t="str">
        <f>REGEXEXTRACT(D86, "\d{4}\.\s(.*?)\.\sProc\. ACM")"),"WSCoach: Wearable Real-time Auditory Feedback for Reducing Unwanted Words in Daily Communication</f>
        <v xml:space="preserve">WSCoach: Wearable Real-time Auditory Feedback for Reducing Unwanted Words in Daily Communication</v>
      </c>
      <c r="B86" s="7">
        <f t="shared" si="25"/>
        <v>152</v>
      </c>
      <c r="C86" s="8" t="s">
        <v>1091</v>
      </c>
      <c r="D86" s="10" t="s">
        <v>1092</v>
      </c>
      <c r="E86" s="9">
        <v>45961</v>
      </c>
      <c r="F86" s="7">
        <v>2025</v>
      </c>
      <c r="G86" s="7" t="s">
        <v>575</v>
      </c>
      <c r="H86" s="13" t="str">
        <f t="shared" si="22"/>
        <v>2025_Sep_152</v>
      </c>
      <c r="I86" s="10" t="str">
        <f t="shared" si="23"/>
        <v>https://doi.org/10.1145/3749531</v>
      </c>
      <c r="J86" s="7">
        <f t="shared" si="24"/>
        <v>30</v>
      </c>
      <c r="K86" s="6" t="s">
        <v>1093</v>
      </c>
      <c r="L86" s="24" t="str">
        <f t="shared" si="27"/>
        <v>No</v>
      </c>
      <c r="M86" s="7" t="s">
        <v>34</v>
      </c>
      <c r="N86" s="7" t="s">
        <v>33</v>
      </c>
      <c r="O86" s="7" t="s">
        <v>33</v>
      </c>
      <c r="P86" s="10" t="s">
        <v>1094</v>
      </c>
      <c r="Q86" s="6" t="s">
        <v>1095</v>
      </c>
      <c r="R86" s="7" t="s">
        <v>33</v>
      </c>
      <c r="S86" s="35" t="s">
        <v>33</v>
      </c>
      <c r="T86" s="10" t="s">
        <v>1096</v>
      </c>
      <c r="U86" s="6" t="s">
        <v>1097</v>
      </c>
      <c r="V86" s="7" t="s">
        <v>33</v>
      </c>
      <c r="W86" s="6" t="s">
        <v>1098</v>
      </c>
      <c r="X86" s="7" t="s">
        <v>33</v>
      </c>
      <c r="Y86" s="6" t="s">
        <v>1099</v>
      </c>
      <c r="Z86" s="7" t="s">
        <v>33</v>
      </c>
      <c r="AA86" s="6" t="s">
        <v>1100</v>
      </c>
      <c r="AB86" s="6" t="s">
        <v>1101</v>
      </c>
      <c r="AC86" s="6" t="s">
        <v>355</v>
      </c>
    </row>
    <row r="87" ht="22.5" customHeight="1">
      <c r="A87" s="11" t="str">
        <f>REGEXEXTRACT(D87, "\d{4}\.\s(.*?)\.\sProc\. ACM")"),"Living Sustainability: In-Context Interactive Environmental Impact Communication</f>
        <v xml:space="preserve">Living Sustainability: In-Context Interactive Environmental Impact Communication</v>
      </c>
      <c r="B87" s="7">
        <f t="shared" si="25"/>
        <v>153</v>
      </c>
      <c r="C87" s="8" t="s">
        <v>1102</v>
      </c>
      <c r="D87" s="10" t="s">
        <v>1103</v>
      </c>
      <c r="E87" s="9">
        <v>45962</v>
      </c>
      <c r="F87" s="7">
        <v>2025</v>
      </c>
      <c r="G87" s="7" t="s">
        <v>575</v>
      </c>
      <c r="H87" s="13" t="str">
        <f t="shared" si="22"/>
        <v>2025_Sep_153</v>
      </c>
      <c r="I87" s="10" t="str">
        <f t="shared" si="23"/>
        <v>https://doi.org/10.1145/3749488</v>
      </c>
      <c r="J87" s="7">
        <f t="shared" si="24"/>
        <v>42</v>
      </c>
      <c r="K87" s="6" t="s">
        <v>133</v>
      </c>
      <c r="L87" s="24" t="str">
        <f t="shared" si="27"/>
        <v>No</v>
      </c>
      <c r="M87" s="7" t="s">
        <v>33</v>
      </c>
      <c r="N87" s="7" t="s">
        <v>33</v>
      </c>
      <c r="O87" s="7" t="s">
        <v>34</v>
      </c>
      <c r="P87" s="13"/>
      <c r="Q87" s="6"/>
      <c r="R87" s="7" t="s">
        <v>33</v>
      </c>
      <c r="S87" s="7" t="s">
        <v>144</v>
      </c>
      <c r="T87" s="10" t="s">
        <v>1104</v>
      </c>
      <c r="U87" s="6" t="s">
        <v>1105</v>
      </c>
      <c r="V87" s="7" t="s">
        <v>34</v>
      </c>
      <c r="W87" s="6" t="s">
        <v>1106</v>
      </c>
      <c r="X87" s="7" t="s">
        <v>33</v>
      </c>
      <c r="Y87" s="6" t="s">
        <v>1107</v>
      </c>
      <c r="Z87" s="7" t="s">
        <v>34</v>
      </c>
      <c r="AA87" s="6" t="s">
        <v>1108</v>
      </c>
      <c r="AB87" s="6" t="s">
        <v>1109</v>
      </c>
      <c r="AC87" s="6" t="s">
        <v>355</v>
      </c>
    </row>
    <row r="88" ht="22.5" customHeight="1">
      <c r="A88" s="11" t="str">
        <f>REGEXEXTRACT(D88, "\d{4}\.\s(.*?)\.\sProc\. ACM")"),"CleAR: Robust Context-Guided Generative Lighting Estimation for Mobile Augmented Reality</f>
        <v xml:space="preserve">CleAR: Robust Context-Guided Generative Lighting Estimation for Mobile Augmented Reality</v>
      </c>
      <c r="B88" s="7">
        <f t="shared" si="25"/>
        <v>154</v>
      </c>
      <c r="C88" s="8" t="s">
        <v>1110</v>
      </c>
      <c r="D88" s="10" t="s">
        <v>1111</v>
      </c>
      <c r="E88" s="9">
        <v>45962</v>
      </c>
      <c r="F88" s="7">
        <v>2025</v>
      </c>
      <c r="G88" s="7" t="s">
        <v>575</v>
      </c>
      <c r="H88" s="13" t="str">
        <f t="shared" si="22"/>
        <v>2025_Sep_154</v>
      </c>
      <c r="I88" s="10" t="str">
        <f t="shared" si="23"/>
        <v>https://doi.org/10.1145/3749535</v>
      </c>
      <c r="J88" s="7">
        <f t="shared" si="24"/>
        <v>26</v>
      </c>
      <c r="K88" s="6" t="s">
        <v>133</v>
      </c>
      <c r="L88" s="24" t="str">
        <f t="shared" si="27"/>
        <v>No</v>
      </c>
      <c r="M88" s="7" t="s">
        <v>33</v>
      </c>
      <c r="N88" s="7" t="s">
        <v>33</v>
      </c>
      <c r="O88" s="7" t="s">
        <v>33</v>
      </c>
      <c r="P88" s="10" t="s">
        <v>1112</v>
      </c>
      <c r="Q88" s="6" t="s">
        <v>1113</v>
      </c>
      <c r="R88" s="7" t="s">
        <v>33</v>
      </c>
      <c r="S88" s="7" t="s">
        <v>34</v>
      </c>
      <c r="T88" s="13"/>
      <c r="U88" s="6" t="s">
        <v>1114</v>
      </c>
      <c r="V88" s="7" t="s">
        <v>33</v>
      </c>
      <c r="W88" s="6" t="s">
        <v>1115</v>
      </c>
      <c r="X88" s="7" t="s">
        <v>33</v>
      </c>
      <c r="Y88" s="6" t="s">
        <v>1116</v>
      </c>
      <c r="Z88" s="7" t="s">
        <v>34</v>
      </c>
      <c r="AA88" s="6" t="s">
        <v>1117</v>
      </c>
      <c r="AB88" s="6" t="s">
        <v>1118</v>
      </c>
      <c r="AC88" s="6" t="s">
        <v>355</v>
      </c>
    </row>
    <row r="89" ht="22.5" customHeight="1">
      <c r="A89" s="11" t="str">
        <f>REGEXEXTRACT(D89, "\d{4}\.\s(.*?)\.\sProc\. ACM")"),"From Awareness to Action: Ambient Display and Customizable Attention Signals for Self-regulated Smartphone Usage</f>
        <v xml:space="preserve">From Awareness to Action: Ambient Display and Customizable Attention Signals for Self-regulated Smartphone Usage</v>
      </c>
      <c r="B89" s="7">
        <f t="shared" si="25"/>
        <v>155</v>
      </c>
      <c r="C89" s="8" t="s">
        <v>1119</v>
      </c>
      <c r="D89" s="10" t="s">
        <v>1120</v>
      </c>
      <c r="E89" s="9">
        <v>45962</v>
      </c>
      <c r="F89" s="7">
        <v>2025</v>
      </c>
      <c r="G89" s="7" t="s">
        <v>575</v>
      </c>
      <c r="H89" s="13" t="str">
        <f t="shared" si="22"/>
        <v>2025_Sep_155</v>
      </c>
      <c r="I89" s="10" t="str">
        <f t="shared" si="23"/>
        <v>https://doi.org/10.1145/3749507</v>
      </c>
      <c r="J89" s="7">
        <f t="shared" si="24"/>
        <v>28</v>
      </c>
      <c r="K89" s="6" t="s">
        <v>652</v>
      </c>
      <c r="L89" s="24" t="str">
        <f t="shared" si="27"/>
        <v>No</v>
      </c>
      <c r="M89" s="7" t="s">
        <v>33</v>
      </c>
      <c r="N89" s="7" t="s">
        <v>33</v>
      </c>
      <c r="O89" s="7" t="s">
        <v>33</v>
      </c>
      <c r="P89" s="10" t="s">
        <v>1121</v>
      </c>
      <c r="Q89" s="6" t="s">
        <v>1122</v>
      </c>
      <c r="R89" s="7" t="s">
        <v>33</v>
      </c>
      <c r="S89" s="7" t="s">
        <v>33</v>
      </c>
      <c r="T89" s="10" t="s">
        <v>1123</v>
      </c>
      <c r="U89" s="6" t="s">
        <v>1124</v>
      </c>
      <c r="V89" s="7" t="s">
        <v>34</v>
      </c>
      <c r="W89" s="6" t="s">
        <v>1125</v>
      </c>
      <c r="X89" s="7" t="s">
        <v>33</v>
      </c>
      <c r="Y89" s="6" t="s">
        <v>1126</v>
      </c>
      <c r="Z89" s="7" t="s">
        <v>34</v>
      </c>
      <c r="AA89" s="6" t="s">
        <v>1127</v>
      </c>
      <c r="AB89" s="6" t="s">
        <v>1128</v>
      </c>
      <c r="AC89" s="6" t="s">
        <v>355</v>
      </c>
    </row>
    <row r="90" ht="22.5" customHeight="1">
      <c r="A90" s="11" t="str">
        <f>REGEXEXTRACT(D90, "\d{4}\.\s(.*?)\.\sProc\. ACM")"),"SEGALL: A Unified Active Learning Framework for Wireless Sensing Data Segmentation</f>
        <v xml:space="preserve">SEGALL: A Unified Active Learning Framework for Wireless Sensing Data Segmentation</v>
      </c>
      <c r="B90" s="7">
        <f t="shared" si="25"/>
        <v>156</v>
      </c>
      <c r="C90" s="8" t="s">
        <v>1129</v>
      </c>
      <c r="D90" s="10" t="s">
        <v>1130</v>
      </c>
      <c r="E90" s="9">
        <v>45963</v>
      </c>
      <c r="F90" s="7">
        <v>2025</v>
      </c>
      <c r="G90" s="7" t="s">
        <v>575</v>
      </c>
      <c r="H90" s="13" t="str">
        <f t="shared" si="22"/>
        <v>2025_Sep_156</v>
      </c>
      <c r="I90" s="10" t="str">
        <f t="shared" si="23"/>
        <v>https://doi.org/10.1145/3749492</v>
      </c>
      <c r="J90" s="7">
        <f t="shared" si="24"/>
        <v>27</v>
      </c>
      <c r="K90" s="6" t="s">
        <v>133</v>
      </c>
      <c r="L90" s="24" t="str">
        <f t="shared" si="27"/>
        <v>No</v>
      </c>
      <c r="M90" s="7" t="s">
        <v>34</v>
      </c>
      <c r="N90" s="7" t="s">
        <v>33</v>
      </c>
      <c r="O90" s="7" t="s">
        <v>34</v>
      </c>
      <c r="P90" s="13"/>
      <c r="Q90" s="6"/>
      <c r="R90" s="7" t="s">
        <v>33</v>
      </c>
      <c r="S90" s="7" t="s">
        <v>144</v>
      </c>
      <c r="T90" s="13"/>
      <c r="U90" s="6" t="s">
        <v>1131</v>
      </c>
      <c r="V90" s="7" t="s">
        <v>33</v>
      </c>
      <c r="W90" s="6" t="s">
        <v>1132</v>
      </c>
      <c r="X90" s="7" t="s">
        <v>34</v>
      </c>
      <c r="Y90" s="6" t="s">
        <v>1133</v>
      </c>
      <c r="Z90" s="7" t="s">
        <v>34</v>
      </c>
      <c r="AA90" s="6" t="s">
        <v>1134</v>
      </c>
      <c r="AB90" s="6" t="s">
        <v>1135</v>
      </c>
      <c r="AC90" s="6" t="s">
        <v>355</v>
      </c>
    </row>
    <row r="91" ht="22.5" customHeight="1">
      <c r="A91" s="11" t="str">
        <f>REGEXEXTRACT(D91, "\d{4}\.\s(.*?)\.\sProc\. ACM")"),"MASTER: A Multi-modal Foundation Model for Human Activity Recognition</f>
        <v xml:space="preserve">MASTER: A Multi-modal Foundation Model for Human Activity Recognition</v>
      </c>
      <c r="B91" s="7">
        <f t="shared" si="25"/>
        <v>157</v>
      </c>
      <c r="C91" s="8" t="s">
        <v>1136</v>
      </c>
      <c r="D91" s="10" t="s">
        <v>1137</v>
      </c>
      <c r="E91" s="9">
        <v>45963</v>
      </c>
      <c r="F91" s="7">
        <v>2025</v>
      </c>
      <c r="G91" s="7" t="s">
        <v>575</v>
      </c>
      <c r="H91" s="13" t="str">
        <f t="shared" si="22"/>
        <v>2025_Sep_157</v>
      </c>
      <c r="I91" s="10" t="str">
        <f t="shared" si="23"/>
        <v>https://doi.org/10.1145/3749511</v>
      </c>
      <c r="J91" s="7">
        <f t="shared" si="24"/>
        <v>26</v>
      </c>
      <c r="K91" s="6" t="s">
        <v>209</v>
      </c>
      <c r="L91" s="24" t="str">
        <f t="shared" si="27"/>
        <v>No</v>
      </c>
      <c r="M91" s="7" t="s">
        <v>34</v>
      </c>
      <c r="N91" s="7" t="s">
        <v>33</v>
      </c>
      <c r="O91" s="7" t="s">
        <v>33</v>
      </c>
      <c r="P91" s="10" t="s">
        <v>1138</v>
      </c>
      <c r="Q91" s="6" t="s">
        <v>1023</v>
      </c>
      <c r="R91" s="7" t="s">
        <v>33</v>
      </c>
      <c r="S91" s="7" t="s">
        <v>33</v>
      </c>
      <c r="T91" s="10" t="s">
        <v>1139</v>
      </c>
      <c r="U91" s="6" t="s">
        <v>1140</v>
      </c>
      <c r="V91" s="7" t="s">
        <v>33</v>
      </c>
      <c r="W91" s="6" t="s">
        <v>1141</v>
      </c>
      <c r="X91" s="7" t="s">
        <v>34</v>
      </c>
      <c r="Y91" s="6"/>
      <c r="Z91" s="7" t="s">
        <v>33</v>
      </c>
      <c r="AA91" s="6" t="s">
        <v>1072</v>
      </c>
      <c r="AB91" s="6" t="s">
        <v>1142</v>
      </c>
      <c r="AC91" s="6" t="s">
        <v>355</v>
      </c>
    </row>
  </sheetData>
  <conditionalFormatting sqref="P1:P18 P20:P59 P61:P91">
    <cfRule type="colorScale" priority="1">
      <colorScale>
        <cfvo type="min"/>
        <cfvo type="max"/>
        <color indexed="65"/>
        <color rgb="FF57BB8A"/>
      </colorScale>
    </cfRule>
  </conditionalFormatting>
  <dataValidations count="2" disablePrompts="0">
    <dataValidation sqref="A2:A91 H2:I91 K2:K91 P2:Q91 T2:U91 W2:W91 Y2:Y91 AA2:AB91" type="none" allowBlank="1" errorStyle="stop" imeMode="noControl" operator="between" showDropDown="1" showErrorMessage="0" showInputMessage="0"/>
    <dataValidation sqref="D2:D91" type="none" allowBlank="1" errorStyle="stop" imeMode="noControl" operator="between" showDropDown="1" showErrorMessage="0" showInputMessage="0"/>
  </dataValidations>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T8"/>
    <hyperlink r:id="rId16" ref="C9"/>
    <hyperlink r:id="rId17" ref="D9"/>
    <hyperlink r:id="rId18" ref="C10"/>
    <hyperlink r:id="rId19" ref="D10"/>
    <hyperlink r:id="rId20" ref="P10"/>
    <hyperlink r:id="rId20" ref="T10"/>
    <hyperlink r:id="rId21" ref="C11"/>
    <hyperlink r:id="rId22" ref="D11"/>
    <hyperlink r:id="rId23" ref="C12"/>
    <hyperlink r:id="rId24" ref="D12"/>
    <hyperlink r:id="rId25" ref="T12"/>
    <hyperlink r:id="rId26" ref="C13"/>
    <hyperlink r:id="rId27" ref="D13"/>
    <hyperlink r:id="rId28" ref="C14"/>
    <hyperlink r:id="rId29" ref="D14"/>
    <hyperlink r:id="rId30" ref="C15"/>
    <hyperlink r:id="rId31" ref="D15"/>
    <hyperlink r:id="rId32" ref="T15"/>
    <hyperlink r:id="rId33" ref="C16"/>
    <hyperlink r:id="rId34" ref="D16"/>
    <hyperlink r:id="rId35" ref="C17"/>
    <hyperlink r:id="rId36" ref="D17"/>
    <hyperlink r:id="rId37" ref="T17"/>
    <hyperlink r:id="rId38" ref="C18"/>
    <hyperlink r:id="rId39" ref="D18"/>
    <hyperlink r:id="rId40" ref="C19"/>
    <hyperlink r:id="rId41" ref="D19"/>
    <hyperlink r:id="rId42" ref="P19"/>
    <hyperlink r:id="rId43" ref="T19"/>
    <hyperlink r:id="rId44" ref="C20"/>
    <hyperlink r:id="rId45" ref="D20"/>
    <hyperlink r:id="rId46" ref="T20"/>
    <hyperlink r:id="rId47" ref="C21"/>
    <hyperlink r:id="rId48" ref="D21"/>
    <hyperlink r:id="rId49" ref="C22"/>
    <hyperlink r:id="rId50" ref="P22"/>
    <hyperlink r:id="rId51" ref="C23"/>
    <hyperlink r:id="rId52" ref="C24"/>
    <hyperlink r:id="rId53" ref="D24"/>
    <hyperlink r:id="rId54" ref="C25"/>
    <hyperlink r:id="rId55" ref="D25"/>
    <hyperlink r:id="rId56" ref="C26"/>
    <hyperlink r:id="rId57" ref="D26"/>
    <hyperlink r:id="rId58" ref="P26"/>
    <hyperlink r:id="rId59" ref="T26"/>
    <hyperlink r:id="rId60" ref="C27"/>
    <hyperlink r:id="rId61" ref="D27"/>
    <hyperlink r:id="rId62" ref="C28"/>
    <hyperlink r:id="rId63" ref="D28"/>
    <hyperlink r:id="rId64" ref="C29"/>
    <hyperlink r:id="rId65" ref="D29"/>
    <hyperlink r:id="rId66" ref="P29"/>
    <hyperlink r:id="rId66" ref="T29"/>
    <hyperlink r:id="rId67" ref="C30"/>
    <hyperlink r:id="rId68" ref="D30"/>
    <hyperlink r:id="rId69" ref="C31"/>
    <hyperlink r:id="rId70" ref="D31"/>
    <hyperlink r:id="rId71" ref="C32"/>
    <hyperlink r:id="rId72" ref="P32"/>
    <hyperlink r:id="rId72" ref="T32"/>
    <hyperlink r:id="rId73" ref="C33"/>
    <hyperlink r:id="rId74" ref="T33"/>
    <hyperlink r:id="rId75" ref="C34"/>
    <hyperlink r:id="rId76" ref="C35"/>
    <hyperlink r:id="rId77" ref="D35"/>
    <hyperlink r:id="rId78" ref="P35"/>
    <hyperlink r:id="rId78" ref="T35"/>
    <hyperlink r:id="rId79" ref="C36"/>
    <hyperlink r:id="rId80" ref="C37"/>
    <hyperlink r:id="rId81" ref="C38"/>
    <hyperlink r:id="rId82" ref="C39"/>
    <hyperlink r:id="rId83" ref="P39"/>
    <hyperlink r:id="rId83" ref="T39"/>
    <hyperlink r:id="rId84" ref="C40"/>
    <hyperlink r:id="rId85" ref="C41"/>
    <hyperlink r:id="rId86" ref="C42"/>
    <hyperlink r:id="rId87" ref="C43"/>
    <hyperlink r:id="rId88" ref="C44"/>
    <hyperlink r:id="rId89" ref="C45"/>
    <hyperlink r:id="rId90" ref="C46"/>
    <hyperlink r:id="rId91" ref="C47"/>
    <hyperlink r:id="rId92" ref="C48"/>
    <hyperlink r:id="rId93" ref="C49"/>
    <hyperlink r:id="rId94" ref="P49"/>
    <hyperlink r:id="rId95" ref="C50"/>
    <hyperlink r:id="rId96" ref="C51"/>
    <hyperlink r:id="rId97" ref="P51"/>
    <hyperlink r:id="rId98" ref="C52"/>
    <hyperlink r:id="rId99" ref="C53"/>
    <hyperlink r:id="rId100" ref="P53"/>
    <hyperlink r:id="rId101" ref="C54"/>
    <hyperlink r:id="rId102" ref="P54"/>
    <hyperlink r:id="rId102" ref="T54"/>
    <hyperlink r:id="rId103" ref="C55"/>
    <hyperlink r:id="rId104" ref="C56"/>
    <hyperlink r:id="rId105" ref="P56"/>
    <hyperlink r:id="rId106" ref="T56"/>
    <hyperlink r:id="rId107" ref="C57"/>
    <hyperlink r:id="rId108" location="supplementary-materials" ref="P57"/>
    <hyperlink r:id="rId109" ref="T57"/>
    <hyperlink r:id="rId110" ref="C58"/>
    <hyperlink r:id="rId111" ref="C59"/>
    <hyperlink r:id="rId112" ref="C60"/>
    <hyperlink r:id="rId113" ref="P60"/>
    <hyperlink r:id="rId114" ref="C61"/>
    <hyperlink r:id="rId115" ref="T61"/>
    <hyperlink r:id="rId116" ref="C62"/>
    <hyperlink r:id="rId117" ref="C63"/>
    <hyperlink r:id="rId118" ref="W63"/>
    <hyperlink r:id="rId119" ref="C64"/>
    <hyperlink r:id="rId120" ref="C65"/>
    <hyperlink r:id="rId121" ref="C66"/>
    <hyperlink r:id="rId122" ref="C67"/>
    <hyperlink r:id="rId123" ref="C68"/>
    <hyperlink r:id="rId124" ref="C69"/>
    <hyperlink r:id="rId125" ref="C70"/>
    <hyperlink r:id="rId126" ref="P70"/>
    <hyperlink r:id="rId126" ref="T70"/>
    <hyperlink r:id="rId127" ref="C71"/>
    <hyperlink r:id="rId128" ref="C72"/>
    <hyperlink r:id="rId129" ref="D72"/>
    <hyperlink r:id="rId130" ref="C73"/>
    <hyperlink r:id="rId131" ref="D73"/>
    <hyperlink r:id="rId132" ref="P73"/>
    <hyperlink r:id="rId132" ref="T73"/>
    <hyperlink r:id="rId133" ref="C74"/>
    <hyperlink r:id="rId134" ref="D74"/>
    <hyperlink r:id="rId135" ref="C75"/>
    <hyperlink r:id="rId136" ref="D75"/>
    <hyperlink r:id="rId137" ref="C76"/>
    <hyperlink r:id="rId138" ref="D76"/>
    <hyperlink r:id="rId139" ref="P76"/>
    <hyperlink r:id="rId140" ref="T76"/>
    <hyperlink r:id="rId141" ref="C77"/>
    <hyperlink r:id="rId142" ref="D77"/>
    <hyperlink r:id="rId143" ref="P77"/>
    <hyperlink r:id="rId143" ref="T77"/>
    <hyperlink r:id="rId144" ref="C78"/>
    <hyperlink r:id="rId145" ref="D78"/>
    <hyperlink r:id="rId146" ref="C79"/>
    <hyperlink r:id="rId147" ref="D79"/>
    <hyperlink r:id="rId148" ref="P79"/>
    <hyperlink r:id="rId148" ref="T79"/>
    <hyperlink r:id="rId149" ref="C80"/>
    <hyperlink r:id="rId150" ref="D80"/>
    <hyperlink r:id="rId151" ref="C81"/>
    <hyperlink r:id="rId152" ref="C82"/>
    <hyperlink r:id="rId153" ref="D82"/>
    <hyperlink r:id="rId154" ref="P82"/>
    <hyperlink r:id="rId155" ref="T82"/>
    <hyperlink r:id="rId156" ref="C83"/>
    <hyperlink r:id="rId157" ref="D83"/>
    <hyperlink r:id="rId158" ref="C84"/>
    <hyperlink r:id="rId159" ref="D84"/>
    <hyperlink r:id="rId160" ref="C85"/>
    <hyperlink r:id="rId161" ref="D85"/>
    <hyperlink r:id="rId162" ref="P85"/>
    <hyperlink r:id="rId162" ref="T85"/>
    <hyperlink r:id="rId163" ref="C86"/>
    <hyperlink r:id="rId164" ref="D86"/>
    <hyperlink r:id="rId165" location="installation" ref="P86"/>
    <hyperlink r:id="rId166" ref="T86"/>
    <hyperlink r:id="rId167" ref="C87"/>
    <hyperlink r:id="rId168" ref="D87"/>
    <hyperlink r:id="rId169" ref="T87"/>
    <hyperlink r:id="rId170" ref="C88"/>
    <hyperlink r:id="rId171" ref="D88"/>
    <hyperlink r:id="rId172" ref="P88"/>
    <hyperlink r:id="rId173" ref="C89"/>
    <hyperlink r:id="rId174" ref="D89"/>
    <hyperlink r:id="rId175" ref="P89"/>
    <hyperlink r:id="rId176" ref="T89"/>
    <hyperlink r:id="rId177" ref="C90"/>
    <hyperlink r:id="rId178" ref="D90"/>
    <hyperlink r:id="rId179" ref="C91"/>
    <hyperlink r:id="rId180" ref="D91"/>
    <hyperlink r:id="rId181" ref="P91"/>
    <hyperlink r:id="rId182" ref="T91"/>
  </hyperlinks>
  <printOptions headings="0" gridLines="1" horizontalCentered="1"/>
  <pageMargins left="0.25" right="0.25" top="0.75" bottom="0.75" header="0" footer="0"/>
  <pageSetup paperSize="9" scale="100" fitToWidth="1" fitToHeight="0" pageOrder="overThenDown" orientation="landscape" usePrinterDefaults="1" blackAndWhite="0" draft="0" cellComments="atEnd" useFirstPageNumber="0" errors="displayed" horizontalDpi="600" verticalDpi="600" copies="1"/>
  <headerFooter/>
  <tableParts count="1">
    <tablePart r:id="rId183"/>
  </tableParts>
  <extLst>
    <ext xmlns:x14="http://schemas.microsoft.com/office/spreadsheetml/2009/9/main" uri="{78C0D931-6437-407d-A8EE-F0AAD7539E65}">
      <x14:conditionalFormattings>
        <x14:conditionalFormatting xmlns:xm="http://schemas.microsoft.com/office/excel/2006/main">
          <x14:cfRule type="expression" priority="2" id="{24636241-B94A-4B4B-9924-A2BF4EE06580}">
            <xm:f>AND(REGEXMATCH($O2,"^(Yes|Partially)$"), ISBLANK($P2))</xm:f>
            <x14:dxf>
              <font/>
              <fill>
                <patternFill patternType="solid">
                  <fgColor rgb="FFE68282"/>
                  <bgColor rgb="FFE68282"/>
                </patternFill>
              </fill>
              <border>
                <left/>
                <right/>
                <top/>
                <bottom/>
                <diagonal/>
              </border>
            </x14:dxf>
          </x14:cfRule>
          <xm:sqref>P2:P18 P20:P59 P61:P91</xm:sqref>
        </x14:conditionalFormatting>
        <x14:conditionalFormatting xmlns:xm="http://schemas.microsoft.com/office/excel/2006/main">
          <x14:cfRule type="expression" priority="3" id="{CB8DE729-4FB8-443B-962B-12DCEA605A72}">
            <xm:f>AND(REGEXMATCH($S2,"^(Yes|Partially)$"), ISBLANK($T2))</xm:f>
            <x14:dxf>
              <font/>
              <fill>
                <patternFill patternType="solid">
                  <fgColor rgb="FFE68282"/>
                  <bgColor rgb="FFE68282"/>
                </patternFill>
              </fill>
              <border>
                <left/>
                <right/>
                <top/>
                <bottom/>
                <diagonal/>
              </border>
            </x14:dxf>
          </x14:cfRule>
          <xm:sqref>T2:T91 U16 P39 U60</xm:sqref>
        </x14:conditionalFormatting>
        <x14:conditionalFormatting xmlns:xm="http://schemas.microsoft.com/office/excel/2006/main">
          <x14:cfRule type="expression" priority="4" id="{A76FB3D9-DC7D-435E-A832-C567BB7F7202}">
            <xm:f>AND($V2="Yes", ISBLANK($W2))</xm:f>
            <x14:dxf>
              <font/>
              <fill>
                <patternFill patternType="solid">
                  <fgColor rgb="FFE68282"/>
                  <bgColor rgb="FFE68282"/>
                </patternFill>
              </fill>
              <border>
                <left/>
                <right/>
                <top/>
                <bottom/>
                <diagonal/>
              </border>
            </x14:dxf>
          </x14:cfRule>
          <xm:sqref>W2:W91</xm:sqref>
        </x14:conditionalFormatting>
        <x14:conditionalFormatting xmlns:xm="http://schemas.microsoft.com/office/excel/2006/main">
          <x14:cfRule type="expression" priority="5" id="{8FA30A56-C350-401C-9248-B67970CCDD1A}">
            <xm:f>AND($X2="Yes", ISBLANK($Y2))</xm:f>
            <x14:dxf>
              <font/>
              <fill>
                <patternFill patternType="solid">
                  <fgColor rgb="FFE68282"/>
                  <bgColor rgb="FFE68282"/>
                </patternFill>
              </fill>
              <border>
                <left/>
                <right/>
                <top/>
                <bottom/>
                <diagonal/>
              </border>
            </x14:dxf>
          </x14:cfRule>
          <xm:sqref>Y2:Y91</xm:sqref>
        </x14:conditionalFormatting>
      </x14:conditionalFormattings>
    </ext>
    <ext xmlns:x14="http://schemas.microsoft.com/office/spreadsheetml/2009/9/main" uri="{CCE6A557-97BC-4b89-ADB6-D9C93CAAB3DF}">
      <x14:dataValidations xmlns:xm="http://schemas.microsoft.com/office/excel/2006/main" count="10" disablePrompts="0">
        <x14:dataValidation xr:uid="{A2852C11-0B5F-404E-90B8-C1702046CA94}" type="list" allowBlank="1" errorStyle="stop" imeMode="noControl" operator="between" showDropDown="0" showErrorMessage="0" showInputMessage="0">
          <x14:formula1>
            <xm:f>"Yes,No"</xm:f>
          </x14:formula1>
          <xm:sqref>L2:L91</xm:sqref>
        </x14:dataValidation>
        <x14:dataValidation xr:uid="{4555A760-B365-4022-9C6B-9E56ECC3D78E}" type="list" allowBlank="1" errorStyle="stop" imeMode="noControl" operator="between" showDropDown="0" showErrorMessage="0" showInputMessage="0">
          <x14:formula1>
            <xm:f>"Yes,No,Unknown"</xm:f>
          </x14:formula1>
          <xm:sqref>R2:R91</xm:sqref>
        </x14:dataValidation>
        <x14:dataValidation xr:uid="{E6261DAD-D497-4387-80CE-F764930244C2}" type="list" allowBlank="1" errorStyle="stop" imeMode="noControl" operator="between" showDropDown="0" showErrorMessage="0" showInputMessage="0">
          <x14:formula1>
            <xm:f>"Yes,No,Unknown"</xm:f>
          </x14:formula1>
          <xm:sqref>N2:N91</xm:sqref>
        </x14:dataValidation>
        <x14:dataValidation xr:uid="{8084B71F-C533-476B-B81D-89B7F1ED3E99}" type="list" allowBlank="1" errorStyle="stop" imeMode="noControl" operator="between" showDropDown="0" showErrorMessage="0" showInputMessage="0">
          <x14:formula1>
            <xm:f>"Yes,No,Partially,Unknown,N/A"</xm:f>
          </x14:formula1>
          <xm:sqref>Z2:Z91</xm:sqref>
        </x14:dataValidation>
        <x14:dataValidation xr:uid="{B92813A1-FF66-4EAF-A410-770B87E83E43}" type="custom" allowBlank="1" errorStyle="stop" imeMode="noControl" operator="between" showDropDown="1" showErrorMessage="0" showInputMessage="0">
          <x14:formula1>
            <xm:f>AND(ISNUMBER(B2),(NOT(OR(NOT(ISERROR(DATEVALUE(B2))), AND(ISNUMBER(B2), LEFT(CELL("format", B2))="D")))))</xm:f>
          </x14:formula1>
          <xm:sqref>B2:B91 F2:F91 J2:J91</xm:sqref>
        </x14:dataValidation>
        <x14:dataValidation xr:uid="{2D00B83D-AC0B-4D68-BCF6-08E57342F368}" type="custom" allowBlank="1" errorStyle="stop" imeMode="noControl" operator="between" showDropDown="1" showErrorMessage="0" showInputMessage="0">
          <x14:formula1>
            <xm:f>OR(NOT(ISERROR(DATEVALUE(E2))), AND(ISNUMBER(E2), LEFT(CELL("format", E2))="D"))</xm:f>
          </x14:formula1>
          <xm:sqref>E2:E91</xm:sqref>
        </x14:dataValidation>
        <x14:dataValidation xr:uid="{86197F3D-CCE9-4AA8-B887-13A26DE34CA6}" type="list" allowBlank="1" errorStyle="stop" imeMode="noControl" operator="between" showDropDown="0" showErrorMessage="0" showInputMessage="0">
          <x14:formula1>
            <xm:f>"Yes,No,Unknown"</xm:f>
          </x14:formula1>
          <xm:sqref>M2:M91</xm:sqref>
        </x14:dataValidation>
        <x14:dataValidation xr:uid="{41D54256-B77C-4950-B07A-BC2040CD7D99}" type="list" allowBlank="1" errorStyle="stop" imeMode="noControl" operator="between" showDropDown="0" showErrorMessage="0" showInputMessage="0">
          <x14:formula1>
            <xm:f>"Yes,No,Unknown,N/A"</xm:f>
          </x14:formula1>
          <xm:sqref>V2:V91 X2:X91</xm:sqref>
        </x14:dataValidation>
        <x14:dataValidation xr:uid="{D513A29A-053C-461B-9B19-9D2EFDBD0C8C}" type="list" allowBlank="1" errorStyle="stop" imeMode="noControl" operator="between" showDropDown="0" showErrorMessage="0" showInputMessage="0">
          <x14:formula1>
            <xm:f>"Yes,No,Partially,Unknown,N/A,Upon_request"</xm:f>
          </x14:formula1>
          <xm:sqref>O2:O91 S2:S91</xm:sqref>
        </x14:dataValidation>
        <x14:dataValidation xr:uid="{A2E34917-1F5B-40C7-8757-42A46FE738CF}" type="list" allowBlank="1" errorStyle="stop" imeMode="noControl" operator="between" showDropDown="0" showErrorMessage="0" showInputMessage="0">
          <x14:formula1>
            <xm:f>"Mar,Jun,Sep,Dec"</xm:f>
          </x14:formula1>
          <xm:sqref>G2:G91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1"/>
  </sheetPr>
  <sheetViews>
    <sheetView zoomScale="100" workbookViewId="0">
      <pane xSplit="2" ySplit="1" topLeftCell="C2" activePane="bottomRight" state="frozen"/>
      <selection activeCell="C2" activeCellId="0" sqref="C2"/>
    </sheetView>
  </sheetViews>
  <sheetFormatPr defaultColWidth="12.630000000000001" defaultRowHeight="15.75" customHeight="1"/>
  <cols>
    <col customWidth="1" min="1" max="1" width="24.25"/>
    <col customWidth="1" min="2" max="2" width="20.129999999999999"/>
    <col customWidth="1" min="3" max="3" width="21"/>
    <col customWidth="1" min="4" max="4" width="14.75"/>
    <col customWidth="1" min="6" max="6" width="11.880000000000001"/>
    <col customWidth="1" min="7" max="7" width="12.630000000000001"/>
    <col customWidth="1" min="8" max="8" width="15.130000000000001"/>
    <col customWidth="1" min="9" max="9" width="28"/>
    <col customWidth="1" min="10" max="10" width="18.879999999999999"/>
    <col customWidth="1" min="11" max="11" width="36.75"/>
    <col customWidth="1" min="12" max="12" width="21.379999999999999"/>
    <col customWidth="1" min="13" max="13" width="18.879999999999999"/>
    <col customWidth="1" min="14" max="14" width="19.879999999999999"/>
    <col customWidth="1" min="15" max="16" width="19.75"/>
    <col customWidth="1" min="17" max="17" width="34.5"/>
    <col customWidth="1" min="18" max="18" width="19"/>
    <col customWidth="1" min="19" max="19" width="19.379999999999999"/>
    <col customWidth="1" min="20" max="21" width="19.75"/>
    <col customWidth="1" min="22" max="22" width="22.629999999999999"/>
    <col customWidth="1" min="23" max="23" width="32.630000000000003"/>
    <col customWidth="1" min="24" max="24" width="22.629999999999999"/>
    <col customWidth="1" min="25" max="25" width="25.5"/>
    <col customWidth="1" min="26" max="26" width="27.25"/>
    <col customWidth="1" min="27" max="27" width="39.25"/>
    <col customWidth="1" min="28" max="29" width="34.130000000000003"/>
  </cols>
  <sheetData>
    <row r="1" ht="22.5" customHeight="1">
      <c r="A1" s="1" t="s">
        <v>0</v>
      </c>
      <c r="B1" s="2" t="s">
        <v>1</v>
      </c>
      <c r="C1" s="3" t="s">
        <v>2</v>
      </c>
      <c r="D1" s="3" t="s">
        <v>3</v>
      </c>
      <c r="E1" s="3" t="s">
        <v>4</v>
      </c>
      <c r="F1" s="2" t="s">
        <v>5</v>
      </c>
      <c r="G1" s="2" t="s">
        <v>6</v>
      </c>
      <c r="H1" s="2" t="s">
        <v>7</v>
      </c>
      <c r="I1" s="2" t="s">
        <v>8</v>
      </c>
      <c r="J1" s="2" t="s">
        <v>9</v>
      </c>
      <c r="K1" s="2" t="s">
        <v>10</v>
      </c>
      <c r="L1" s="2" t="s">
        <v>11</v>
      </c>
      <c r="M1" s="2" t="s">
        <v>12</v>
      </c>
      <c r="N1" s="4" t="s">
        <v>13</v>
      </c>
      <c r="O1" s="4" t="s">
        <v>14</v>
      </c>
      <c r="P1" s="4" t="s">
        <v>15</v>
      </c>
      <c r="Q1" s="4" t="s">
        <v>16</v>
      </c>
      <c r="R1" s="5" t="s">
        <v>17</v>
      </c>
      <c r="S1" s="5" t="s">
        <v>18</v>
      </c>
      <c r="T1" s="5" t="s">
        <v>19</v>
      </c>
      <c r="U1" s="5" t="s">
        <v>20</v>
      </c>
      <c r="V1" s="2" t="s">
        <v>21</v>
      </c>
      <c r="W1" s="3" t="s">
        <v>22</v>
      </c>
      <c r="X1" s="2" t="s">
        <v>23</v>
      </c>
      <c r="Y1" s="3" t="s">
        <v>24</v>
      </c>
      <c r="Z1" s="2" t="s">
        <v>25</v>
      </c>
      <c r="AA1" s="3" t="s">
        <v>26</v>
      </c>
      <c r="AB1" s="3" t="s">
        <v>27</v>
      </c>
      <c r="AC1" s="3" t="s">
        <v>28</v>
      </c>
    </row>
    <row r="2" ht="22.5" customHeight="1">
      <c r="A2" s="11" t="str">
        <f>REGEXEXTRACT(D2, "\d{4}\.\s(.*?)\.\sProc\. ACM")"),"AudioCast: Enabling Ubiquitous Connectivity for Embedded Systems through Audio-broadcasting Low-power Tags</f>
        <v xml:space="preserve">AudioCast: Enabling Ubiquitous Connectivity for Embedded Systems through Audio-broadcasting Low-power Tags</v>
      </c>
      <c r="B2" s="7">
        <f t="shared" ref="B2:B9" si="28">IFERROR(VALUE(REGEXEXTRACT(D2,"Article\s+(\d+)")),"")
</f>
        <v>27</v>
      </c>
      <c r="C2" s="8" t="s">
        <v>1143</v>
      </c>
      <c r="D2" s="6" t="s">
        <v>1144</v>
      </c>
      <c r="E2" s="9">
        <v>45966</v>
      </c>
      <c r="F2" s="7">
        <v>2025</v>
      </c>
      <c r="G2" s="7" t="s">
        <v>1145</v>
      </c>
      <c r="H2" s="6" t="str">
        <f t="shared" ref="H2:H42" si="29">TEXT($F2,"0000") &amp; "_" &amp; $G2 &amp; "_" &amp; TEXT($B2,"000")</f>
        <v>2025_Jun_027</v>
      </c>
      <c r="I2" s="12" t="str">
        <f t="shared" ref="I2:I42" si="30">CONCATENATE("https",RIGHT(D2,LEN(D2) - (FIND("://",D2) - 1)))</f>
        <v>https://doi.org/10.1145/3729471</v>
      </c>
      <c r="J2" s="7">
        <f>IF(D2:D42&lt;&gt;"", VALUE(REGEXEXTRACT(D2:D42, "(\d+)\s+pages")), )
</f>
        <v>32</v>
      </c>
      <c r="K2" s="6" t="s">
        <v>45</v>
      </c>
      <c r="L2" s="7" t="str">
        <f t="shared" ref="L2:L9" si="31">IF(REGEXMATCH(LOWER($A2),"(^|[^a-z])dataset(s)?([^a-z]|$)"),"Yes","No")"),"No</f>
        <v>No</v>
      </c>
      <c r="M2" s="7" t="s">
        <v>33</v>
      </c>
      <c r="N2" s="7" t="s">
        <v>33</v>
      </c>
      <c r="O2" s="7" t="s">
        <v>33</v>
      </c>
      <c r="P2" s="10" t="s">
        <v>1146</v>
      </c>
      <c r="Q2" s="6" t="s">
        <v>1147</v>
      </c>
      <c r="R2" s="7" t="s">
        <v>34</v>
      </c>
      <c r="S2" s="7" t="s">
        <v>35</v>
      </c>
      <c r="T2" s="6"/>
      <c r="U2" s="6"/>
      <c r="V2" s="7" t="s">
        <v>33</v>
      </c>
      <c r="W2" s="6" t="s">
        <v>1148</v>
      </c>
      <c r="X2" s="7" t="s">
        <v>34</v>
      </c>
      <c r="Y2" s="13"/>
      <c r="Z2" s="7" t="s">
        <v>144</v>
      </c>
      <c r="AA2" s="6" t="s">
        <v>1149</v>
      </c>
      <c r="AB2" s="6" t="s">
        <v>1150</v>
      </c>
      <c r="AC2" s="6" t="s">
        <v>39</v>
      </c>
    </row>
    <row r="3" ht="22.5" customHeight="1">
      <c r="A3" s="11" t="str">
        <f>REGEXEXTRACT(D3, "\d{4}\.\s(.*?)\.\sProc\. ACM")"),"RadioGami: Batteryless, Long-range Wireless Paper Sensors Using Tunnel Diodes</f>
        <v xml:space="preserve">RadioGami: Batteryless, Long-range Wireless Paper Sensors Using Tunnel Diodes</v>
      </c>
      <c r="B3" s="7">
        <f t="shared" si="28"/>
        <v>28</v>
      </c>
      <c r="C3" s="8" t="s">
        <v>1151</v>
      </c>
      <c r="D3" s="6" t="s">
        <v>1152</v>
      </c>
      <c r="E3" s="9">
        <v>45966</v>
      </c>
      <c r="F3" s="7">
        <v>2025</v>
      </c>
      <c r="G3" s="7" t="s">
        <v>1145</v>
      </c>
      <c r="H3" s="6" t="str">
        <f t="shared" si="29"/>
        <v>2025_Jun_028</v>
      </c>
      <c r="I3" s="12" t="str">
        <f t="shared" si="30"/>
        <v>https://doi.org/10.1145/3729487</v>
      </c>
      <c r="J3" s="7">
        <f>IF(D3:D42&lt;&gt;"", VALUE(REGEXEXTRACT(D3:D42, "(\d+)\s+pages")), )
</f>
        <v>32</v>
      </c>
      <c r="K3" s="6" t="s">
        <v>668</v>
      </c>
      <c r="L3" s="7" t="str">
        <f t="shared" si="31"/>
        <v>No</v>
      </c>
      <c r="M3" s="7" t="s">
        <v>33</v>
      </c>
      <c r="N3" s="7" t="s">
        <v>34</v>
      </c>
      <c r="O3" s="7" t="s">
        <v>35</v>
      </c>
      <c r="P3" s="6"/>
      <c r="Q3" s="6"/>
      <c r="R3" s="7" t="s">
        <v>34</v>
      </c>
      <c r="S3" s="7" t="s">
        <v>35</v>
      </c>
      <c r="T3" s="6"/>
      <c r="U3" s="6"/>
      <c r="V3" s="7" t="s">
        <v>33</v>
      </c>
      <c r="W3" s="6" t="s">
        <v>1153</v>
      </c>
      <c r="X3" s="7" t="s">
        <v>33</v>
      </c>
      <c r="Y3" s="6" t="s">
        <v>1154</v>
      </c>
      <c r="Z3" s="7" t="s">
        <v>35</v>
      </c>
      <c r="AA3" s="6" t="s">
        <v>1155</v>
      </c>
      <c r="AB3" s="6" t="s">
        <v>1156</v>
      </c>
      <c r="AC3" s="6" t="s">
        <v>39</v>
      </c>
    </row>
    <row r="4" ht="22.5" customHeight="1">
      <c r="A4" s="11" t="str">
        <f>REGEXEXTRACT(D4, "\d{4}\.\s(.*?)\.\sProc\. ACM")"),"CALM: A Ubiquitous Crowdsourced Analytic Learning Mechanism for Continual Service Construction with Data Privacy Preservation</f>
        <v xml:space="preserve">CALM: A Ubiquitous Crowdsourced Analytic Learning Mechanism for Continual Service Construction with Data Privacy Preservation</v>
      </c>
      <c r="B4" s="7">
        <f t="shared" si="28"/>
        <v>29</v>
      </c>
      <c r="C4" s="8" t="s">
        <v>1157</v>
      </c>
      <c r="D4" s="6" t="s">
        <v>1158</v>
      </c>
      <c r="E4" s="9">
        <v>45967</v>
      </c>
      <c r="F4" s="7">
        <v>2025</v>
      </c>
      <c r="G4" s="7" t="s">
        <v>1145</v>
      </c>
      <c r="H4" s="6" t="str">
        <f t="shared" si="29"/>
        <v>2025_Jun_029</v>
      </c>
      <c r="I4" s="12" t="str">
        <f t="shared" si="30"/>
        <v>https://doi.org/10.1145/3729473</v>
      </c>
      <c r="J4" s="7">
        <f>IF(D4:D42&lt;&gt;"", VALUE(REGEXEXTRACT(D4:D42, "(\d+)\s+pages")), )
</f>
        <v>30</v>
      </c>
      <c r="K4" s="6" t="s">
        <v>71</v>
      </c>
      <c r="L4" s="7" t="str">
        <f t="shared" si="31"/>
        <v>No</v>
      </c>
      <c r="M4" s="7" t="s">
        <v>34</v>
      </c>
      <c r="N4" s="7" t="s">
        <v>33</v>
      </c>
      <c r="O4" s="7" t="s">
        <v>34</v>
      </c>
      <c r="P4" s="6"/>
      <c r="Q4" s="6" t="s">
        <v>1159</v>
      </c>
      <c r="R4" s="7" t="s">
        <v>33</v>
      </c>
      <c r="S4" s="7" t="s">
        <v>94</v>
      </c>
      <c r="T4" s="6"/>
      <c r="U4" s="6" t="s">
        <v>1160</v>
      </c>
      <c r="V4" s="7" t="s">
        <v>34</v>
      </c>
      <c r="W4" s="6"/>
      <c r="X4" s="7" t="s">
        <v>34</v>
      </c>
      <c r="Y4" s="13"/>
      <c r="Z4" s="7" t="s">
        <v>34</v>
      </c>
      <c r="AA4" s="6"/>
      <c r="AB4" s="6" t="s">
        <v>1161</v>
      </c>
      <c r="AC4" s="6" t="s">
        <v>39</v>
      </c>
    </row>
    <row r="5" ht="22.5" customHeight="1">
      <c r="A5" s="11" t="str">
        <f>REGEXEXTRACT(D5, "\d{4}\.\s(.*?)\.\sProc\. ACM")"),"SputumLocator: Enhancing Airway Clearance with Auscultation-based Sputum Localization</f>
        <v xml:space="preserve">SputumLocator: Enhancing Airway Clearance with Auscultation-based Sputum Localization</v>
      </c>
      <c r="B5" s="7">
        <f t="shared" si="28"/>
        <v>30</v>
      </c>
      <c r="C5" s="8" t="s">
        <v>1162</v>
      </c>
      <c r="D5" s="6" t="s">
        <v>1163</v>
      </c>
      <c r="E5" s="9">
        <v>45967</v>
      </c>
      <c r="F5" s="7">
        <v>2025</v>
      </c>
      <c r="G5" s="7" t="s">
        <v>1145</v>
      </c>
      <c r="H5" s="6" t="str">
        <f t="shared" si="29"/>
        <v>2025_Jun_030</v>
      </c>
      <c r="I5" s="12" t="str">
        <f t="shared" si="30"/>
        <v>https://doi.org/10.1145/3729472</v>
      </c>
      <c r="J5" s="7">
        <f>IF(D5:D42&lt;&gt;"", VALUE(REGEXEXTRACT(D5:D42, "(\d+)\s+pages")), )
</f>
        <v>28</v>
      </c>
      <c r="K5" s="6" t="s">
        <v>32</v>
      </c>
      <c r="L5" s="7" t="str">
        <f t="shared" si="31"/>
        <v>No</v>
      </c>
      <c r="M5" s="7" t="s">
        <v>34</v>
      </c>
      <c r="N5" s="7" t="s">
        <v>33</v>
      </c>
      <c r="O5" s="7" t="s">
        <v>34</v>
      </c>
      <c r="P5" s="6"/>
      <c r="Q5" s="6"/>
      <c r="R5" s="7" t="s">
        <v>33</v>
      </c>
      <c r="S5" s="7" t="s">
        <v>34</v>
      </c>
      <c r="T5" s="6"/>
      <c r="U5" s="6" t="s">
        <v>1164</v>
      </c>
      <c r="V5" s="7" t="s">
        <v>34</v>
      </c>
      <c r="W5" s="6"/>
      <c r="X5" s="7" t="s">
        <v>34</v>
      </c>
      <c r="Y5" s="13"/>
      <c r="Z5" s="7" t="s">
        <v>34</v>
      </c>
      <c r="AA5" s="6"/>
      <c r="AB5" s="6" t="s">
        <v>1165</v>
      </c>
      <c r="AC5" s="6" t="s">
        <v>39</v>
      </c>
    </row>
    <row r="6" ht="22.5" customHeight="1">
      <c r="A6" s="11" t="str">
        <f>REGEXEXTRACT(D6, "\d{4}\.\s(.*?)\.\sProc\. ACM")"),"EchoTouch: Low-power Face-touching Behavior Recognition Using Active Acoustic Sensing on Glasses</f>
        <v xml:space="preserve">EchoTouch: Low-power Face-touching Behavior Recognition Using Active Acoustic Sensing on Glasses</v>
      </c>
      <c r="B6" s="7">
        <f t="shared" si="28"/>
        <v>31</v>
      </c>
      <c r="C6" s="8" t="s">
        <v>1166</v>
      </c>
      <c r="D6" s="23" t="s">
        <v>1167</v>
      </c>
      <c r="E6" s="9">
        <v>45967</v>
      </c>
      <c r="F6" s="7">
        <v>2025</v>
      </c>
      <c r="G6" s="7" t="s">
        <v>1145</v>
      </c>
      <c r="H6" s="6" t="str">
        <f t="shared" si="29"/>
        <v>2025_Jun_031</v>
      </c>
      <c r="I6" s="12" t="str">
        <f t="shared" si="30"/>
        <v>https://doi.org/10.1145/3729481</v>
      </c>
      <c r="J6" s="7">
        <f>IF(D6:D42&lt;&gt;"", VALUE(REGEXEXTRACT(D6:D42, "(\d+)\s+pages")), )
</f>
        <v>33</v>
      </c>
      <c r="K6" s="6" t="s">
        <v>217</v>
      </c>
      <c r="L6" s="7" t="str">
        <f t="shared" si="31"/>
        <v>No</v>
      </c>
      <c r="M6" s="7" t="s">
        <v>34</v>
      </c>
      <c r="N6" s="7" t="s">
        <v>33</v>
      </c>
      <c r="O6" s="7" t="s">
        <v>34</v>
      </c>
      <c r="P6" s="6"/>
      <c r="Q6" s="6"/>
      <c r="R6" s="7" t="s">
        <v>33</v>
      </c>
      <c r="S6" s="7" t="s">
        <v>34</v>
      </c>
      <c r="T6" s="6"/>
      <c r="U6" s="6"/>
      <c r="V6" s="7" t="s">
        <v>33</v>
      </c>
      <c r="W6" s="6" t="s">
        <v>1168</v>
      </c>
      <c r="X6" s="7" t="s">
        <v>34</v>
      </c>
      <c r="Y6" s="13"/>
      <c r="Z6" s="7" t="s">
        <v>34</v>
      </c>
      <c r="AA6" s="6"/>
      <c r="AB6" s="6" t="s">
        <v>1169</v>
      </c>
      <c r="AC6" s="6" t="s">
        <v>39</v>
      </c>
    </row>
    <row r="7" ht="22.5" customHeight="1">
      <c r="A7" s="11" t="str">
        <f>REGEXEXTRACT(D7, "\d{4}\.\s(.*?)\.\sProc\. ACM")"),"DermaGlow: Objective Quantification of Melanin, Erythema and Skin-tone Using Wearable Optical Spectroscopy</f>
        <v xml:space="preserve">DermaGlow: Objective Quantification of Melanin, Erythema and Skin-tone Using Wearable Optical Spectroscopy</v>
      </c>
      <c r="B7" s="7">
        <f t="shared" si="28"/>
        <v>32</v>
      </c>
      <c r="C7" s="8" t="s">
        <v>1170</v>
      </c>
      <c r="D7" s="6" t="s">
        <v>1171</v>
      </c>
      <c r="E7" s="9">
        <v>45967</v>
      </c>
      <c r="F7" s="7">
        <v>2025</v>
      </c>
      <c r="G7" s="7" t="s">
        <v>1145</v>
      </c>
      <c r="H7" s="6" t="str">
        <f t="shared" si="29"/>
        <v>2025_Jun_032</v>
      </c>
      <c r="I7" s="12" t="str">
        <f t="shared" si="30"/>
        <v>https://doi.org/10.1145/3729474</v>
      </c>
      <c r="J7" s="7">
        <f>IF(D7:D42&lt;&gt;"", VALUE(REGEXEXTRACT(D7:D42, "(\d+)\s+pages")), )
</f>
        <v>28</v>
      </c>
      <c r="K7" s="6" t="s">
        <v>32</v>
      </c>
      <c r="L7" s="7" t="str">
        <f t="shared" si="31"/>
        <v>No</v>
      </c>
      <c r="M7" s="7" t="s">
        <v>33</v>
      </c>
      <c r="N7" s="7" t="s">
        <v>33</v>
      </c>
      <c r="O7" s="7" t="s">
        <v>34</v>
      </c>
      <c r="P7" s="6"/>
      <c r="Q7" s="6" t="s">
        <v>1172</v>
      </c>
      <c r="R7" s="7" t="s">
        <v>33</v>
      </c>
      <c r="S7" s="7" t="s">
        <v>34</v>
      </c>
      <c r="T7" s="6"/>
      <c r="U7" s="6" t="s">
        <v>1173</v>
      </c>
      <c r="V7" s="7" t="s">
        <v>34</v>
      </c>
      <c r="W7" s="6" t="s">
        <v>1174</v>
      </c>
      <c r="X7" s="7" t="s">
        <v>34</v>
      </c>
      <c r="Y7" s="13"/>
      <c r="Z7" s="7" t="s">
        <v>34</v>
      </c>
      <c r="AA7" s="6"/>
      <c r="AB7" s="6" t="s">
        <v>1175</v>
      </c>
      <c r="AC7" s="6" t="s">
        <v>39</v>
      </c>
    </row>
    <row r="8" ht="22.5" customHeight="1">
      <c r="A8" s="11" t="str">
        <f>REGEXEXTRACT(D8, "\d{4}\.\s(.*?)\.\sProc\. ACM")"),"DCSNN: An Efficient and High-speed sEMG-based Transient-state Micro-gesture Recognition Method on Wearable Devices</f>
        <v xml:space="preserve">DCSNN: An Efficient and High-speed sEMG-based Transient-state Micro-gesture Recognition Method on Wearable Devices</v>
      </c>
      <c r="B8" s="7">
        <f t="shared" si="28"/>
        <v>33</v>
      </c>
      <c r="C8" s="8" t="s">
        <v>1176</v>
      </c>
      <c r="D8" s="6" t="s">
        <v>1177</v>
      </c>
      <c r="E8" s="9">
        <v>45967</v>
      </c>
      <c r="F8" s="7">
        <v>2025</v>
      </c>
      <c r="G8" s="7" t="s">
        <v>1145</v>
      </c>
      <c r="H8" s="6" t="str">
        <f t="shared" si="29"/>
        <v>2025_Jun_033</v>
      </c>
      <c r="I8" s="12" t="str">
        <f t="shared" si="30"/>
        <v>https://doi.org/10.1145/3729494</v>
      </c>
      <c r="J8" s="7">
        <f>IF(D8:D42&lt;&gt;"", VALUE(REGEXEXTRACT(D8:D42, "(\d+)\s+pages")), )
</f>
        <v>34</v>
      </c>
      <c r="K8" s="6" t="s">
        <v>45</v>
      </c>
      <c r="L8" s="7" t="str">
        <f t="shared" si="31"/>
        <v>No</v>
      </c>
      <c r="M8" s="7" t="s">
        <v>34</v>
      </c>
      <c r="N8" s="7" t="s">
        <v>33</v>
      </c>
      <c r="O8" s="7" t="s">
        <v>55</v>
      </c>
      <c r="P8" s="10" t="s">
        <v>1178</v>
      </c>
      <c r="Q8" s="6" t="s">
        <v>1179</v>
      </c>
      <c r="R8" s="7" t="s">
        <v>33</v>
      </c>
      <c r="S8" s="7" t="s">
        <v>33</v>
      </c>
      <c r="T8" s="10" t="s">
        <v>1180</v>
      </c>
      <c r="U8" s="6"/>
      <c r="V8" s="7" t="s">
        <v>34</v>
      </c>
      <c r="W8" s="6" t="s">
        <v>1181</v>
      </c>
      <c r="X8" s="7" t="s">
        <v>34</v>
      </c>
      <c r="Y8" s="13"/>
      <c r="Z8" s="7" t="s">
        <v>144</v>
      </c>
      <c r="AA8" s="6" t="s">
        <v>1182</v>
      </c>
      <c r="AB8" s="6" t="s">
        <v>1183</v>
      </c>
      <c r="AC8" s="6" t="s">
        <v>39</v>
      </c>
    </row>
    <row r="9" ht="22.5" customHeight="1">
      <c r="A9" s="11" t="str">
        <f>REGEXEXTRACT(D9, "\d{4}\.\s(.*?)\.\sProc\. ACM")"),"Past, Present, and Future of Sensor-based Human Activity Recognition Using Wearables: A Surveying Tutorial on a Still Challenging Task</f>
        <v xml:space="preserve">Past, Present, and Future of Sensor-based Human Activity Recognition Using Wearables: A Surveying Tutorial on a Still Challenging Task</v>
      </c>
      <c r="B9" s="7">
        <f t="shared" si="28"/>
        <v>34</v>
      </c>
      <c r="C9" s="8" t="s">
        <v>1184</v>
      </c>
      <c r="D9" s="6" t="s">
        <v>1185</v>
      </c>
      <c r="E9" s="9">
        <v>45967</v>
      </c>
      <c r="F9" s="7">
        <v>2025</v>
      </c>
      <c r="G9" s="7" t="s">
        <v>1145</v>
      </c>
      <c r="H9" s="6" t="str">
        <f t="shared" si="29"/>
        <v>2025_Jun_034</v>
      </c>
      <c r="I9" s="12" t="str">
        <f t="shared" si="30"/>
        <v>https://doi.org/10.1145/3729467</v>
      </c>
      <c r="J9" s="7">
        <f>IF(D9:D42&lt;&gt;"", VALUE(REGEXEXTRACT(D9:D42, "(\d+)\s+pages")), )
</f>
        <v>44</v>
      </c>
      <c r="K9" s="6" t="s">
        <v>110</v>
      </c>
      <c r="L9" s="7" t="str">
        <f t="shared" si="31"/>
        <v>No</v>
      </c>
      <c r="M9" s="7" t="s">
        <v>33</v>
      </c>
      <c r="N9" s="7" t="s">
        <v>34</v>
      </c>
      <c r="O9" s="7" t="s">
        <v>35</v>
      </c>
      <c r="P9" s="6"/>
      <c r="Q9" s="6"/>
      <c r="R9" s="7" t="s">
        <v>34</v>
      </c>
      <c r="S9" s="7" t="s">
        <v>35</v>
      </c>
      <c r="T9" s="6"/>
      <c r="U9" s="6"/>
      <c r="V9" s="7" t="s">
        <v>35</v>
      </c>
      <c r="W9" s="6"/>
      <c r="X9" s="7" t="s">
        <v>35</v>
      </c>
      <c r="Y9" s="13"/>
      <c r="Z9" s="7" t="s">
        <v>35</v>
      </c>
      <c r="AA9" s="6"/>
      <c r="AB9" s="6"/>
      <c r="AC9" s="6" t="s">
        <v>39</v>
      </c>
    </row>
    <row r="10" ht="22.5" customHeight="1">
      <c r="A10" s="11" t="str">
        <f>REGEXEXTRACT(D10, "\d{4}\.\s(.*?)\.\sProc\. ACM")"),"OpenMAE: Efficient Masked Autoencoder for Vibration Sensing with Open-domain Data Enrichment</f>
        <v xml:space="preserve">OpenMAE: Efficient Masked Autoencoder for Vibration Sensing with Open-domain Data Enrichment</v>
      </c>
      <c r="B10" s="7">
        <f t="shared" ref="B10:B42" si="32">IFERROR(VALUE(REGEXEXTRACT(D10,"Article\s+(\d+)")),"")
</f>
        <v>35</v>
      </c>
      <c r="C10" s="8" t="s">
        <v>1186</v>
      </c>
      <c r="D10" s="6" t="s">
        <v>1187</v>
      </c>
      <c r="E10" s="9">
        <v>45967</v>
      </c>
      <c r="F10" s="7">
        <v>2025</v>
      </c>
      <c r="G10" s="7" t="s">
        <v>1145</v>
      </c>
      <c r="H10" s="6" t="str">
        <f t="shared" si="29"/>
        <v>2025_Jun_035</v>
      </c>
      <c r="I10" s="12" t="str">
        <f t="shared" si="30"/>
        <v>https://doi.org/10.1145/3729485</v>
      </c>
      <c r="J10" s="7">
        <f>IF(D10:D42&lt;&gt;"", VALUE(REGEXEXTRACT(D10:D42, "(\d+)\s+pages")), )
</f>
        <v>29</v>
      </c>
      <c r="K10" s="6" t="s">
        <v>71</v>
      </c>
      <c r="L10" s="7" t="str">
        <f t="shared" ref="L10:L42" si="33">IF(REGEXMATCH(LOWER($A10),"(^|[^a-z])dataset(s)?([^a-z]|$)"),"Yes","No")"),"No</f>
        <v>No</v>
      </c>
      <c r="M10" s="7" t="s">
        <v>34</v>
      </c>
      <c r="N10" s="7" t="s">
        <v>33</v>
      </c>
      <c r="O10" s="7" t="s">
        <v>34</v>
      </c>
      <c r="P10" s="13"/>
      <c r="Q10" s="6"/>
      <c r="R10" s="7" t="s">
        <v>33</v>
      </c>
      <c r="S10" s="7" t="s">
        <v>34</v>
      </c>
      <c r="T10" s="10" t="s">
        <v>1188</v>
      </c>
      <c r="U10" s="6" t="s">
        <v>1189</v>
      </c>
      <c r="V10" s="7" t="s">
        <v>34</v>
      </c>
      <c r="W10" s="6"/>
      <c r="X10" s="7" t="s">
        <v>34</v>
      </c>
      <c r="Y10" s="13"/>
      <c r="Z10" s="7" t="s">
        <v>34</v>
      </c>
      <c r="AA10" s="6"/>
      <c r="AB10" s="6" t="s">
        <v>1190</v>
      </c>
      <c r="AC10" s="6" t="s">
        <v>39</v>
      </c>
    </row>
    <row r="11" ht="22.5" customHeight="1">
      <c r="A11" s="11" t="str">
        <f>REGEXEXTRACT(D11, "\d{4}\.\s(.*?)\.\sProc\. ACM")"),"H2OPulse: Smartphone-assisted Vein Evaluation for Early Recognition of Dehydration</f>
        <v xml:space="preserve">H2OPulse: Smartphone-assisted Vein Evaluation for Early Recognition of Dehydration</v>
      </c>
      <c r="B11" s="7">
        <f t="shared" si="32"/>
        <v>36</v>
      </c>
      <c r="C11" s="8" t="s">
        <v>1191</v>
      </c>
      <c r="D11" s="6" t="s">
        <v>1192</v>
      </c>
      <c r="E11" s="9">
        <v>45967</v>
      </c>
      <c r="F11" s="7">
        <v>2025</v>
      </c>
      <c r="G11" s="7" t="s">
        <v>1145</v>
      </c>
      <c r="H11" s="6" t="str">
        <f t="shared" si="29"/>
        <v>2025_Jun_036</v>
      </c>
      <c r="I11" s="12" t="str">
        <f t="shared" si="30"/>
        <v>https://doi.org/10.1145/3729490</v>
      </c>
      <c r="J11" s="7">
        <f>IF(D11:D42&lt;&gt;"", VALUE(REGEXEXTRACT(D11:D42, "(\d+)\s+pages")), )
</f>
        <v>24</v>
      </c>
      <c r="K11" s="6" t="s">
        <v>243</v>
      </c>
      <c r="L11" s="7" t="str">
        <f t="shared" si="33"/>
        <v>No</v>
      </c>
      <c r="M11" s="7" t="s">
        <v>33</v>
      </c>
      <c r="N11" s="7" t="s">
        <v>33</v>
      </c>
      <c r="O11" s="7" t="s">
        <v>33</v>
      </c>
      <c r="P11" s="10" t="s">
        <v>1193</v>
      </c>
      <c r="Q11" s="6"/>
      <c r="R11" s="7" t="s">
        <v>33</v>
      </c>
      <c r="S11" s="7" t="s">
        <v>34</v>
      </c>
      <c r="T11" s="6"/>
      <c r="U11" s="6" t="s">
        <v>1194</v>
      </c>
      <c r="V11" s="7" t="s">
        <v>34</v>
      </c>
      <c r="W11" s="6" t="s">
        <v>1195</v>
      </c>
      <c r="X11" s="7" t="s">
        <v>33</v>
      </c>
      <c r="Y11" s="6" t="s">
        <v>1196</v>
      </c>
      <c r="Z11" s="7" t="s">
        <v>34</v>
      </c>
      <c r="AA11" s="6" t="s">
        <v>1197</v>
      </c>
      <c r="AB11" s="6" t="s">
        <v>1198</v>
      </c>
      <c r="AC11" s="6" t="s">
        <v>39</v>
      </c>
    </row>
    <row r="12" ht="22.5" customHeight="1">
      <c r="A12" s="11" t="str">
        <f>REGEXEXTRACT(D12, "\d{4}\.\s(.*?)\.\sProc\. ACM")"),"CRoP: Context-wise Robust Static Human-Sensing Personalization</f>
        <v xml:space="preserve">CRoP: Context-wise Robust Static Human-Sensing Personalization</v>
      </c>
      <c r="B12" s="7">
        <f t="shared" si="32"/>
        <v>37</v>
      </c>
      <c r="C12" s="8" t="s">
        <v>1199</v>
      </c>
      <c r="D12" s="6" t="s">
        <v>1200</v>
      </c>
      <c r="E12" s="9">
        <v>45967</v>
      </c>
      <c r="F12" s="7">
        <v>2025</v>
      </c>
      <c r="G12" s="7" t="s">
        <v>1145</v>
      </c>
      <c r="H12" s="6" t="str">
        <f t="shared" si="29"/>
        <v>2025_Jun_037</v>
      </c>
      <c r="I12" s="12" t="str">
        <f t="shared" si="30"/>
        <v>https://doi.org/10.1145/3729483</v>
      </c>
      <c r="J12" s="7">
        <f>IF(D12:D42&lt;&gt;"", VALUE(REGEXEXTRACT(D12:D42, "(\d+)\s+pages")), )
</f>
        <v>34</v>
      </c>
      <c r="K12" s="6" t="s">
        <v>71</v>
      </c>
      <c r="L12" s="7" t="str">
        <f t="shared" si="33"/>
        <v>No</v>
      </c>
      <c r="M12" s="7" t="s">
        <v>33</v>
      </c>
      <c r="N12" s="7" t="s">
        <v>33</v>
      </c>
      <c r="O12" s="7" t="s">
        <v>33</v>
      </c>
      <c r="P12" s="10" t="s">
        <v>1201</v>
      </c>
      <c r="Q12" s="6"/>
      <c r="R12" s="7" t="s">
        <v>33</v>
      </c>
      <c r="S12" s="7" t="s">
        <v>144</v>
      </c>
      <c r="T12" s="6"/>
      <c r="U12" s="6" t="s">
        <v>1202</v>
      </c>
      <c r="V12" s="7" t="s">
        <v>34</v>
      </c>
      <c r="W12" s="6"/>
      <c r="X12" s="7" t="s">
        <v>34</v>
      </c>
      <c r="Y12" s="13"/>
      <c r="Z12" s="7" t="s">
        <v>33</v>
      </c>
      <c r="AA12" s="6" t="s">
        <v>1203</v>
      </c>
      <c r="AB12" s="6" t="s">
        <v>1204</v>
      </c>
      <c r="AC12" s="6" t="s">
        <v>39</v>
      </c>
    </row>
    <row r="13" ht="22.5" customHeight="1">
      <c r="A13" s="11" t="str">
        <f>REGEXEXTRACT(D13, "\d{4}\.\s(.*?)\.\sProc\. ACM")"),"From Verbal Reports to Personalized Activity Trackers: Understanding the Challenges of Ground Truth Data Collection with Older Adults in the Wild</f>
        <v xml:space="preserve">From Verbal Reports to Personalized Activity Trackers: Understanding the Challenges of Ground Truth Data Collection with Older Adults in the Wild</v>
      </c>
      <c r="B13" s="7">
        <f t="shared" si="32"/>
        <v>38</v>
      </c>
      <c r="C13" s="8" t="s">
        <v>1205</v>
      </c>
      <c r="D13" s="6" t="s">
        <v>1206</v>
      </c>
      <c r="E13" s="9">
        <v>45967</v>
      </c>
      <c r="F13" s="7">
        <v>2025</v>
      </c>
      <c r="G13" s="7" t="s">
        <v>1145</v>
      </c>
      <c r="H13" s="6" t="str">
        <f t="shared" si="29"/>
        <v>2025_Jun_038</v>
      </c>
      <c r="I13" s="12" t="str">
        <f t="shared" si="30"/>
        <v>https://doi.org/10.1145/3731749</v>
      </c>
      <c r="J13" s="7">
        <f>IF(D13:D42&lt;&gt;"", VALUE(REGEXEXTRACT(D13:D42, "(\d+)\s+pages")), )
</f>
        <v>33</v>
      </c>
      <c r="K13" s="6" t="s">
        <v>42</v>
      </c>
      <c r="L13" s="7" t="str">
        <f t="shared" si="33"/>
        <v>No</v>
      </c>
      <c r="M13" s="7" t="s">
        <v>33</v>
      </c>
      <c r="N13" s="7" t="s">
        <v>34</v>
      </c>
      <c r="O13" s="7" t="s">
        <v>35</v>
      </c>
      <c r="P13" s="6"/>
      <c r="Q13" s="6"/>
      <c r="R13" s="7" t="s">
        <v>34</v>
      </c>
      <c r="S13" s="7" t="s">
        <v>35</v>
      </c>
      <c r="T13" s="6"/>
      <c r="U13" s="6"/>
      <c r="V13" s="7" t="s">
        <v>35</v>
      </c>
      <c r="W13" s="6"/>
      <c r="X13" s="7" t="s">
        <v>35</v>
      </c>
      <c r="Y13" s="13"/>
      <c r="Z13" s="7" t="s">
        <v>35</v>
      </c>
      <c r="AA13" s="6"/>
      <c r="AB13" s="6"/>
      <c r="AC13" s="6" t="s">
        <v>39</v>
      </c>
    </row>
    <row r="14" ht="22.5" customHeight="1">
      <c r="A14" s="11" t="str">
        <f>REGEXEXTRACT(D14, "\d{4}\.\s(.*?)\.\sProc\. ACM")"),"KeyPrint: Practical Black-box Keystroke Inference Attacks to Mobile Devices</f>
        <v xml:space="preserve">KeyPrint: Practical Black-box Keystroke Inference Attacks to Mobile Devices</v>
      </c>
      <c r="B14" s="7">
        <f t="shared" si="32"/>
        <v>39</v>
      </c>
      <c r="C14" s="8" t="s">
        <v>1207</v>
      </c>
      <c r="D14" s="6" t="s">
        <v>1208</v>
      </c>
      <c r="E14" s="9">
        <v>45967</v>
      </c>
      <c r="F14" s="7">
        <v>2025</v>
      </c>
      <c r="G14" s="7" t="s">
        <v>1145</v>
      </c>
      <c r="H14" s="6" t="str">
        <f t="shared" si="29"/>
        <v>2025_Jun_039</v>
      </c>
      <c r="I14" s="12" t="str">
        <f t="shared" si="30"/>
        <v>https://doi.org/10.1145/3729493</v>
      </c>
      <c r="J14" s="7">
        <f>IF(D14:D42&lt;&gt;"", VALUE(REGEXEXTRACT(D14:D42, "(\d+)\s+pages")), )
</f>
        <v>30</v>
      </c>
      <c r="K14" s="6" t="s">
        <v>71</v>
      </c>
      <c r="L14" s="7" t="str">
        <f t="shared" si="33"/>
        <v>No</v>
      </c>
      <c r="M14" s="7" t="s">
        <v>34</v>
      </c>
      <c r="N14" s="7" t="s">
        <v>33</v>
      </c>
      <c r="O14" s="7" t="s">
        <v>34</v>
      </c>
      <c r="P14" s="6"/>
      <c r="Q14" s="6"/>
      <c r="R14" s="7" t="s">
        <v>33</v>
      </c>
      <c r="S14" s="7" t="s">
        <v>34</v>
      </c>
      <c r="T14" s="6"/>
      <c r="U14" s="6"/>
      <c r="V14" s="7" t="s">
        <v>34</v>
      </c>
      <c r="W14" s="6" t="s">
        <v>1209</v>
      </c>
      <c r="X14" s="7" t="s">
        <v>34</v>
      </c>
      <c r="Y14" s="13"/>
      <c r="Z14" s="7" t="s">
        <v>34</v>
      </c>
      <c r="AA14" s="6"/>
      <c r="AB14" s="6" t="s">
        <v>1210</v>
      </c>
      <c r="AC14" s="6" t="s">
        <v>39</v>
      </c>
    </row>
    <row r="15" ht="22.5" customHeight="1">
      <c r="A15" s="14" t="str">
        <f>REGEXEXTRACT(D15, "\d{4}\.\s(.*?)\.\sProc\. ACM")"),"LEGO: Synthesizing IoT Device Components Based on Static Analysis and Large Language Models</f>
        <v xml:space="preserve">LEGO: Synthesizing IoT Device Components Based on Static Analysis and Large Language Models</v>
      </c>
      <c r="B15" s="15">
        <f t="shared" si="32"/>
        <v>40</v>
      </c>
      <c r="C15" s="16" t="s">
        <v>1211</v>
      </c>
      <c r="D15" s="17" t="s">
        <v>1212</v>
      </c>
      <c r="E15" s="18">
        <v>45967</v>
      </c>
      <c r="F15" s="15">
        <v>2025</v>
      </c>
      <c r="G15" s="15" t="s">
        <v>1145</v>
      </c>
      <c r="H15" s="17" t="str">
        <f t="shared" si="29"/>
        <v>2025_Jun_040</v>
      </c>
      <c r="I15" s="19" t="str">
        <f t="shared" si="30"/>
        <v>https://doi.org/10.1145/3729482</v>
      </c>
      <c r="J15" s="15">
        <f>IF(D15:D42&lt;&gt;"", VALUE(REGEXEXTRACT(D15:D42, "(\d+)\s+pages")), )
</f>
        <v>26</v>
      </c>
      <c r="K15" s="17" t="s">
        <v>71</v>
      </c>
      <c r="L15" s="15" t="str">
        <f t="shared" si="33"/>
        <v>No</v>
      </c>
      <c r="M15" s="15" t="s">
        <v>33</v>
      </c>
      <c r="N15" s="15" t="s">
        <v>33</v>
      </c>
      <c r="O15" s="15" t="s">
        <v>33</v>
      </c>
      <c r="P15" s="22" t="s">
        <v>1213</v>
      </c>
      <c r="Q15" s="17" t="s">
        <v>1214</v>
      </c>
      <c r="R15" s="15" t="s">
        <v>33</v>
      </c>
      <c r="S15" s="15" t="s">
        <v>33</v>
      </c>
      <c r="T15" s="22" t="s">
        <v>1213</v>
      </c>
      <c r="U15" s="17" t="s">
        <v>1214</v>
      </c>
      <c r="V15" s="15" t="s">
        <v>33</v>
      </c>
      <c r="W15" s="17" t="s">
        <v>1215</v>
      </c>
      <c r="X15" s="15" t="s">
        <v>33</v>
      </c>
      <c r="Y15" s="17" t="s">
        <v>1216</v>
      </c>
      <c r="Z15" s="15" t="s">
        <v>33</v>
      </c>
      <c r="AA15" s="17" t="s">
        <v>1217</v>
      </c>
      <c r="AB15" s="17" t="s">
        <v>1218</v>
      </c>
      <c r="AC15" s="17" t="s">
        <v>39</v>
      </c>
    </row>
    <row r="16" ht="22.5" customHeight="1">
      <c r="A16" s="11" t="str">
        <f>REGEXEXTRACT(D16, "\d{4}\.\s(.*?)\.\sProc\. ACM")"),"UVX-ray: Urban Village Safety Risk Diagnosis Leveraging Multi-Source Urban Data</f>
        <v xml:space="preserve">UVX-ray: Urban Village Safety Risk Diagnosis Leveraging Multi-Source Urban Data</v>
      </c>
      <c r="B16" s="7">
        <f t="shared" si="32"/>
        <v>41</v>
      </c>
      <c r="C16" s="8" t="s">
        <v>1219</v>
      </c>
      <c r="D16" s="6" t="s">
        <v>1220</v>
      </c>
      <c r="E16" s="9">
        <v>45971</v>
      </c>
      <c r="F16" s="7">
        <v>2025</v>
      </c>
      <c r="G16" s="7" t="s">
        <v>1145</v>
      </c>
      <c r="H16" s="6" t="str">
        <f t="shared" si="29"/>
        <v>2025_Jun_041</v>
      </c>
      <c r="I16" s="12" t="str">
        <f t="shared" si="30"/>
        <v>https://doi.org/10.1145/3729477</v>
      </c>
      <c r="J16" s="7">
        <f>IF(D16:D42&lt;&gt;"", VALUE(REGEXEXTRACT(D16:D42, "(\d+)\s+pages")), )
</f>
        <v>23</v>
      </c>
      <c r="K16" s="6" t="s">
        <v>133</v>
      </c>
      <c r="L16" s="7" t="str">
        <f t="shared" si="33"/>
        <v>No</v>
      </c>
      <c r="M16" s="7" t="s">
        <v>34</v>
      </c>
      <c r="N16" s="7" t="s">
        <v>33</v>
      </c>
      <c r="O16" s="7" t="s">
        <v>34</v>
      </c>
      <c r="P16" s="6"/>
      <c r="Q16" s="6"/>
      <c r="R16" s="7" t="s">
        <v>33</v>
      </c>
      <c r="S16" s="7" t="s">
        <v>34</v>
      </c>
      <c r="T16" s="6"/>
      <c r="U16" s="6" t="s">
        <v>1221</v>
      </c>
      <c r="V16" s="7" t="s">
        <v>33</v>
      </c>
      <c r="W16" s="6" t="s">
        <v>1222</v>
      </c>
      <c r="X16" s="7" t="s">
        <v>33</v>
      </c>
      <c r="Y16" s="6" t="s">
        <v>1223</v>
      </c>
      <c r="Z16" s="7" t="s">
        <v>34</v>
      </c>
      <c r="AA16" s="6"/>
      <c r="AB16" s="6" t="s">
        <v>1224</v>
      </c>
      <c r="AC16" s="6" t="s">
        <v>181</v>
      </c>
    </row>
    <row r="17" ht="22.5" customHeight="1">
      <c r="A17" s="11" t="str">
        <f>REGEXEXTRACT(D17, "\d{4}\.\s(.*?)\.\sProc\. ACM")"),"SoundTrack: A Contactless Mobile Solution for Real-time Running Metric Estimation for Treadmill Running in the Wild</f>
        <v xml:space="preserve">SoundTrack: A Contactless Mobile Solution for Real-time Running Metric Estimation for Treadmill Running in the Wild</v>
      </c>
      <c r="B17" s="7">
        <f t="shared" si="32"/>
        <v>42</v>
      </c>
      <c r="C17" s="8" t="s">
        <v>1225</v>
      </c>
      <c r="D17" s="6" t="s">
        <v>1226</v>
      </c>
      <c r="E17" s="9">
        <v>45971</v>
      </c>
      <c r="F17" s="7">
        <v>2025</v>
      </c>
      <c r="G17" s="7" t="s">
        <v>1145</v>
      </c>
      <c r="H17" s="6" t="str">
        <f t="shared" si="29"/>
        <v>2025_Jun_042</v>
      </c>
      <c r="I17" s="12" t="str">
        <f t="shared" si="30"/>
        <v>https://doi.org/10.1145/3729486</v>
      </c>
      <c r="J17" s="7">
        <f>IF(D17:D42&lt;&gt;"", VALUE(REGEXEXTRACT(D17:D42, "(\d+)\s+pages")), )
</f>
        <v>30</v>
      </c>
      <c r="K17" s="6" t="s">
        <v>1227</v>
      </c>
      <c r="L17" s="7" t="str">
        <f t="shared" si="33"/>
        <v>No</v>
      </c>
      <c r="M17" s="7" t="s">
        <v>34</v>
      </c>
      <c r="N17" s="7" t="s">
        <v>33</v>
      </c>
      <c r="O17" s="7" t="s">
        <v>34</v>
      </c>
      <c r="P17" s="10" t="s">
        <v>1228</v>
      </c>
      <c r="Q17" s="6" t="s">
        <v>1229</v>
      </c>
      <c r="R17" s="7" t="s">
        <v>33</v>
      </c>
      <c r="S17" s="7" t="s">
        <v>33</v>
      </c>
      <c r="T17" s="10" t="s">
        <v>1228</v>
      </c>
      <c r="U17" s="6"/>
      <c r="V17" s="7" t="s">
        <v>33</v>
      </c>
      <c r="W17" s="6" t="s">
        <v>1230</v>
      </c>
      <c r="X17" s="7" t="s">
        <v>34</v>
      </c>
      <c r="Y17" s="13"/>
      <c r="Z17" s="7" t="s">
        <v>144</v>
      </c>
      <c r="AA17" s="6" t="s">
        <v>1231</v>
      </c>
      <c r="AB17" s="6" t="s">
        <v>1232</v>
      </c>
      <c r="AC17" s="6" t="s">
        <v>181</v>
      </c>
    </row>
    <row r="18" ht="22.5" customHeight="1">
      <c r="A18" s="11" t="str">
        <f>REGEXEXTRACT(D18, "\d{4}\.\s(.*?)\.\sProc\. ACM")"),"A-UVI: GNSS-Assisted EO-based UV Index Estimation Method for Individual-level Precise UV Exposure Assessment</f>
        <v xml:space="preserve">A-UVI: GNSS-Assisted EO-based UV Index Estimation Method for Individual-level Precise UV Exposure Assessment</v>
      </c>
      <c r="B18" s="7">
        <f t="shared" si="32"/>
        <v>43</v>
      </c>
      <c r="C18" s="8" t="s">
        <v>1233</v>
      </c>
      <c r="D18" s="6" t="s">
        <v>1234</v>
      </c>
      <c r="E18" s="9">
        <v>45971</v>
      </c>
      <c r="F18" s="7">
        <v>2025</v>
      </c>
      <c r="G18" s="7" t="s">
        <v>1145</v>
      </c>
      <c r="H18" s="6" t="str">
        <f t="shared" si="29"/>
        <v>2025_Jun_043</v>
      </c>
      <c r="I18" s="12" t="str">
        <f t="shared" si="30"/>
        <v>https://doi.org/10.1145/3729463</v>
      </c>
      <c r="J18" s="7">
        <f>IF(D18:D42&lt;&gt;"", VALUE(REGEXEXTRACT(D18:D42, "(\d+)\s+pages")), )
</f>
        <v>34</v>
      </c>
      <c r="K18" s="6" t="s">
        <v>64</v>
      </c>
      <c r="L18" s="7" t="str">
        <f t="shared" si="33"/>
        <v>No</v>
      </c>
      <c r="M18" s="7" t="s">
        <v>33</v>
      </c>
      <c r="N18" s="7" t="s">
        <v>33</v>
      </c>
      <c r="O18" s="7" t="s">
        <v>34</v>
      </c>
      <c r="P18" s="6"/>
      <c r="Q18" s="6" t="s">
        <v>1235</v>
      </c>
      <c r="R18" s="7" t="s">
        <v>33</v>
      </c>
      <c r="S18" s="7" t="s">
        <v>34</v>
      </c>
      <c r="T18" s="6"/>
      <c r="U18" s="6" t="s">
        <v>1236</v>
      </c>
      <c r="V18" s="7" t="s">
        <v>33</v>
      </c>
      <c r="W18" s="6" t="s">
        <v>1237</v>
      </c>
      <c r="X18" s="7" t="s">
        <v>33</v>
      </c>
      <c r="Y18" s="6" t="s">
        <v>1238</v>
      </c>
      <c r="Z18" s="7" t="s">
        <v>34</v>
      </c>
      <c r="AA18" s="6" t="s">
        <v>1239</v>
      </c>
      <c r="AB18" s="6" t="s">
        <v>1240</v>
      </c>
      <c r="AC18" s="6" t="s">
        <v>181</v>
      </c>
    </row>
    <row r="19" ht="22.5" customHeight="1">
      <c r="A19" s="11" t="str">
        <f>REGEXEXTRACT(D19, "\d{4}\.\s(.*?)\.\sProc\. ACM")"),"UltraBoard: Always-available Wearable Ultrasonic Mid-air Haptic Interface for Responsive and Robust VR Inputs</f>
        <v xml:space="preserve">UltraBoard: Always-available Wearable Ultrasonic Mid-air Haptic Interface for Responsive and Robust VR Inputs</v>
      </c>
      <c r="B19" s="7">
        <f t="shared" si="32"/>
        <v>44</v>
      </c>
      <c r="C19" s="8" t="s">
        <v>1241</v>
      </c>
      <c r="D19" s="6" t="s">
        <v>1242</v>
      </c>
      <c r="E19" s="9">
        <v>45971</v>
      </c>
      <c r="F19" s="7">
        <v>2025</v>
      </c>
      <c r="G19" s="7" t="s">
        <v>1145</v>
      </c>
      <c r="H19" s="6" t="str">
        <f t="shared" si="29"/>
        <v>2025_Jun_044</v>
      </c>
      <c r="I19" s="12" t="str">
        <f t="shared" si="30"/>
        <v>https://doi.org/10.1145/3731413</v>
      </c>
      <c r="J19" s="7">
        <f>IF(D19:D42&lt;&gt;"", VALUE(REGEXEXTRACT(D19:D42, "(\d+)\s+pages")), )
</f>
        <v>31</v>
      </c>
      <c r="K19" s="6" t="s">
        <v>348</v>
      </c>
      <c r="L19" s="7" t="str">
        <f t="shared" si="33"/>
        <v>No</v>
      </c>
      <c r="M19" s="7" t="s">
        <v>33</v>
      </c>
      <c r="N19" s="7" t="s">
        <v>94</v>
      </c>
      <c r="O19" s="7" t="s">
        <v>34</v>
      </c>
      <c r="P19" s="13"/>
      <c r="Q19" s="6" t="s">
        <v>1243</v>
      </c>
      <c r="R19" s="7" t="s">
        <v>34</v>
      </c>
      <c r="S19" s="7" t="s">
        <v>35</v>
      </c>
      <c r="T19" s="6"/>
      <c r="U19" s="6"/>
      <c r="V19" s="7" t="s">
        <v>33</v>
      </c>
      <c r="W19" s="6" t="s">
        <v>1244</v>
      </c>
      <c r="X19" s="7" t="s">
        <v>34</v>
      </c>
      <c r="Y19" s="13"/>
      <c r="Z19" s="7" t="s">
        <v>34</v>
      </c>
      <c r="AA19" s="6"/>
      <c r="AB19" s="6" t="s">
        <v>1245</v>
      </c>
      <c r="AC19" s="6" t="s">
        <v>181</v>
      </c>
    </row>
    <row r="20" ht="22.5" customHeight="1">
      <c r="A20" s="11" t="str">
        <f>REGEXEXTRACT(D20, "\d{4}\.\s(.*?)\.\sProc\. ACM")"),"CataractBot: An LLM-powered Expert-in-the-Loop Chatbot for Cataract Patients</f>
        <v xml:space="preserve">CataractBot: An LLM-powered Expert-in-the-Loop Chatbot for Cataract Patients</v>
      </c>
      <c r="B20" s="7">
        <f t="shared" si="32"/>
        <v>45</v>
      </c>
      <c r="C20" s="8" t="s">
        <v>1246</v>
      </c>
      <c r="D20" s="6" t="s">
        <v>1247</v>
      </c>
      <c r="E20" s="9">
        <v>45971</v>
      </c>
      <c r="F20" s="7">
        <v>2025</v>
      </c>
      <c r="G20" s="7" t="s">
        <v>1145</v>
      </c>
      <c r="H20" s="6" t="str">
        <f t="shared" si="29"/>
        <v>2025_Jun_045</v>
      </c>
      <c r="I20" s="12" t="str">
        <f t="shared" si="30"/>
        <v>https://doi.org/10.1145/3729479</v>
      </c>
      <c r="J20" s="7">
        <f>IF(D20:D42&lt;&gt;"", VALUE(REGEXEXTRACT(D20:D42, "(\d+)\s+pages")), )
</f>
        <v>31</v>
      </c>
      <c r="K20" s="6" t="s">
        <v>652</v>
      </c>
      <c r="L20" s="7" t="str">
        <f t="shared" si="33"/>
        <v>No</v>
      </c>
      <c r="M20" s="7" t="s">
        <v>33</v>
      </c>
      <c r="N20" s="7" t="s">
        <v>33</v>
      </c>
      <c r="O20" s="7" t="s">
        <v>33</v>
      </c>
      <c r="P20" s="10" t="s">
        <v>1248</v>
      </c>
      <c r="Q20" s="6" t="s">
        <v>1249</v>
      </c>
      <c r="R20" s="7" t="s">
        <v>33</v>
      </c>
      <c r="S20" s="7" t="s">
        <v>34</v>
      </c>
      <c r="T20" s="6"/>
      <c r="U20" s="6" t="s">
        <v>1250</v>
      </c>
      <c r="V20" s="7" t="s">
        <v>34</v>
      </c>
      <c r="W20" s="6"/>
      <c r="X20" s="7" t="s">
        <v>94</v>
      </c>
      <c r="Y20" s="6" t="s">
        <v>1251</v>
      </c>
      <c r="Z20" s="7" t="s">
        <v>33</v>
      </c>
      <c r="AA20" s="6" t="s">
        <v>1252</v>
      </c>
      <c r="AB20" s="6" t="s">
        <v>1253</v>
      </c>
      <c r="AC20" s="6" t="s">
        <v>181</v>
      </c>
    </row>
    <row r="21" ht="22.5" customHeight="1">
      <c r="A21" s="11" t="str">
        <f>REGEXEXTRACT(D21, "\d{4}\.\s(.*?)\.\sProc\. ACM")"),"TxP: Reciprocal Generation of Ground Pressure Dynamics and Activity Descriptions for Improving Human Activity Recognition</f>
        <v xml:space="preserve">TxP: Reciprocal Generation of Ground Pressure Dynamics and Activity Descriptions for Improving Human Activity Recognition</v>
      </c>
      <c r="B21" s="7">
        <f t="shared" si="32"/>
        <v>46</v>
      </c>
      <c r="C21" s="8" t="s">
        <v>1254</v>
      </c>
      <c r="D21" s="6" t="s">
        <v>1255</v>
      </c>
      <c r="E21" s="9">
        <v>45971</v>
      </c>
      <c r="F21" s="7">
        <v>2025</v>
      </c>
      <c r="G21" s="7" t="s">
        <v>1145</v>
      </c>
      <c r="H21" s="6" t="str">
        <f t="shared" si="29"/>
        <v>2025_Jun_046</v>
      </c>
      <c r="I21" s="12" t="str">
        <f t="shared" si="30"/>
        <v>https://doi.org/10.1145/3732001</v>
      </c>
      <c r="J21" s="7">
        <f>IF(D21:D42&lt;&gt;"", VALUE(REGEXEXTRACT(D21:D42, "(\d+)\s+pages")), )
</f>
        <v>32</v>
      </c>
      <c r="K21" s="7" t="s">
        <v>209</v>
      </c>
      <c r="L21" s="7" t="str">
        <f t="shared" si="33"/>
        <v>No</v>
      </c>
      <c r="M21" s="7" t="s">
        <v>33</v>
      </c>
      <c r="N21" s="7" t="s">
        <v>33</v>
      </c>
      <c r="O21" s="7" t="s">
        <v>33</v>
      </c>
      <c r="P21" s="10" t="s">
        <v>1256</v>
      </c>
      <c r="Q21" s="6" t="s">
        <v>1257</v>
      </c>
      <c r="R21" s="7" t="s">
        <v>33</v>
      </c>
      <c r="S21" s="7" t="s">
        <v>33</v>
      </c>
      <c r="T21" s="10" t="s">
        <v>1256</v>
      </c>
      <c r="U21" s="6" t="s">
        <v>1258</v>
      </c>
      <c r="V21" s="7" t="s">
        <v>33</v>
      </c>
      <c r="W21" s="6" t="s">
        <v>1259</v>
      </c>
      <c r="X21" s="7" t="s">
        <v>33</v>
      </c>
      <c r="Y21" s="6" t="s">
        <v>1260</v>
      </c>
      <c r="Z21" s="7" t="s">
        <v>34</v>
      </c>
      <c r="AA21" s="6" t="s">
        <v>1261</v>
      </c>
      <c r="AB21" s="6" t="s">
        <v>1262</v>
      </c>
      <c r="AC21" s="6" t="s">
        <v>181</v>
      </c>
    </row>
    <row r="22" ht="22.5" customHeight="1">
      <c r="A22" s="11" t="str">
        <f>REGEXEXTRACT(D22, "\d{4}\.\s(.*?)\.\sProc\. ACM")"),"T-Oil: A Contactless Edible Oil Adulteration Perception Using Terahertz Signals</f>
        <v xml:space="preserve">T-Oil: A Contactless Edible Oil Adulteration Perception Using Terahertz Signals</v>
      </c>
      <c r="B22" s="7">
        <f t="shared" si="32"/>
        <v>47</v>
      </c>
      <c r="C22" s="8" t="s">
        <v>1263</v>
      </c>
      <c r="D22" s="6" t="s">
        <v>1264</v>
      </c>
      <c r="E22" s="9">
        <v>45971</v>
      </c>
      <c r="F22" s="7">
        <v>2025</v>
      </c>
      <c r="G22" s="7" t="s">
        <v>1145</v>
      </c>
      <c r="H22" s="6" t="str">
        <f t="shared" si="29"/>
        <v>2025_Jun_047</v>
      </c>
      <c r="I22" s="12" t="str">
        <f t="shared" si="30"/>
        <v>https://doi.org/10.1145/3729468</v>
      </c>
      <c r="J22" s="7">
        <f>IF(D22:D42&lt;&gt;"", VALUE(REGEXEXTRACT(D22:D42, "(\d+)\s+pages")), )
</f>
        <v>24</v>
      </c>
      <c r="K22" s="6" t="s">
        <v>64</v>
      </c>
      <c r="L22" s="7" t="str">
        <f t="shared" si="33"/>
        <v>No</v>
      </c>
      <c r="M22" s="7" t="s">
        <v>34</v>
      </c>
      <c r="N22" s="7" t="s">
        <v>33</v>
      </c>
      <c r="O22" s="7" t="s">
        <v>34</v>
      </c>
      <c r="P22" s="6"/>
      <c r="Q22" s="6" t="s">
        <v>1265</v>
      </c>
      <c r="R22" s="7" t="s">
        <v>33</v>
      </c>
      <c r="S22" s="7" t="s">
        <v>34</v>
      </c>
      <c r="T22" s="6"/>
      <c r="U22" s="6" t="s">
        <v>1266</v>
      </c>
      <c r="V22" s="7" t="s">
        <v>33</v>
      </c>
      <c r="W22" s="45" t="s">
        <v>1267</v>
      </c>
      <c r="X22" s="7" t="s">
        <v>94</v>
      </c>
      <c r="Y22" s="6" t="s">
        <v>1268</v>
      </c>
      <c r="Z22" s="7" t="s">
        <v>34</v>
      </c>
      <c r="AA22" s="6"/>
      <c r="AB22" s="6" t="s">
        <v>1269</v>
      </c>
      <c r="AC22" s="6" t="s">
        <v>181</v>
      </c>
    </row>
    <row r="23" ht="22.5" customHeight="1">
      <c r="A23" s="11" t="str">
        <f>REGEXEXTRACT(D23, "\d{4}\.\s(.*?)\.\sProc\. ACM")"),"Multi-granularity Supervised Contrastive Learning with Online Adaptation for Contactless In-bed Posture Classification</f>
        <v xml:space="preserve">Multi-granularity Supervised Contrastive Learning with Online Adaptation for Contactless In-bed Posture Classification</v>
      </c>
      <c r="B23" s="7">
        <f t="shared" si="32"/>
        <v>48</v>
      </c>
      <c r="C23" s="8" t="s">
        <v>1270</v>
      </c>
      <c r="D23" s="6" t="s">
        <v>1271</v>
      </c>
      <c r="E23" s="9">
        <v>45971</v>
      </c>
      <c r="F23" s="7">
        <v>2025</v>
      </c>
      <c r="G23" s="7" t="s">
        <v>1145</v>
      </c>
      <c r="H23" s="6" t="str">
        <f t="shared" si="29"/>
        <v>2025_Jun_048</v>
      </c>
      <c r="I23" s="12" t="str">
        <f t="shared" si="30"/>
        <v>https://doi.org/10.1145/3729464</v>
      </c>
      <c r="J23" s="7">
        <f>IF(D23:D42&lt;&gt;"", VALUE(REGEXEXTRACT(D23:D42, "(\d+)\s+pages")), )
</f>
        <v>32</v>
      </c>
      <c r="K23" s="6" t="s">
        <v>64</v>
      </c>
      <c r="L23" s="7" t="str">
        <f t="shared" si="33"/>
        <v>No</v>
      </c>
      <c r="M23" s="7" t="s">
        <v>33</v>
      </c>
      <c r="N23" s="7" t="s">
        <v>33</v>
      </c>
      <c r="O23" s="7" t="s">
        <v>34</v>
      </c>
      <c r="P23" s="6"/>
      <c r="Q23" s="6" t="s">
        <v>1272</v>
      </c>
      <c r="R23" s="7" t="s">
        <v>33</v>
      </c>
      <c r="S23" s="7" t="s">
        <v>34</v>
      </c>
      <c r="T23" s="6"/>
      <c r="U23" s="6" t="s">
        <v>1273</v>
      </c>
      <c r="V23" s="7" t="s">
        <v>33</v>
      </c>
      <c r="W23" s="6" t="s">
        <v>1274</v>
      </c>
      <c r="X23" s="7" t="s">
        <v>34</v>
      </c>
      <c r="Y23" s="13"/>
      <c r="Z23" s="7" t="s">
        <v>34</v>
      </c>
      <c r="AA23" s="6"/>
      <c r="AB23" s="6" t="s">
        <v>1275</v>
      </c>
      <c r="AC23" s="6" t="s">
        <v>181</v>
      </c>
    </row>
    <row r="24" ht="22.5" customHeight="1">
      <c r="A24" s="11" t="str">
        <f>REGEXEXTRACT(D24, "\d{4}\.\s(.*?)\.\sProc\. ACM")"),"Manipulation of Acoustic Focusing for Multi-target Sensing with Distributed Microphones in Smart Car Cabin</f>
        <v xml:space="preserve">Manipulation of Acoustic Focusing for Multi-target Sensing with Distributed Microphones in Smart Car Cabin</v>
      </c>
      <c r="B24" s="7">
        <f t="shared" si="32"/>
        <v>49</v>
      </c>
      <c r="C24" s="8" t="s">
        <v>1276</v>
      </c>
      <c r="D24" s="6" t="s">
        <v>1277</v>
      </c>
      <c r="E24" s="9">
        <v>45971</v>
      </c>
      <c r="F24" s="7">
        <v>2025</v>
      </c>
      <c r="G24" s="7" t="s">
        <v>1145</v>
      </c>
      <c r="H24" s="6" t="str">
        <f t="shared" si="29"/>
        <v>2025_Jun_049</v>
      </c>
      <c r="I24" s="12" t="str">
        <f t="shared" si="30"/>
        <v>https://doi.org/10.1145/3729470</v>
      </c>
      <c r="J24" s="7">
        <f>IF(D24:D42&lt;&gt;"", VALUE(REGEXEXTRACT(D24:D42, "(\d+)\s+pages")), )
</f>
        <v>28</v>
      </c>
      <c r="K24" s="6" t="s">
        <v>777</v>
      </c>
      <c r="L24" s="7" t="str">
        <f t="shared" si="33"/>
        <v>No</v>
      </c>
      <c r="M24" s="7" t="s">
        <v>33</v>
      </c>
      <c r="N24" s="7" t="s">
        <v>33</v>
      </c>
      <c r="O24" s="7" t="s">
        <v>34</v>
      </c>
      <c r="P24" s="6"/>
      <c r="Q24" s="6" t="s">
        <v>1278</v>
      </c>
      <c r="R24" s="7" t="s">
        <v>94</v>
      </c>
      <c r="S24" s="7" t="s">
        <v>94</v>
      </c>
      <c r="T24" s="6"/>
      <c r="U24" s="6" t="s">
        <v>1279</v>
      </c>
      <c r="V24" s="7" t="s">
        <v>33</v>
      </c>
      <c r="W24" s="6" t="s">
        <v>1280</v>
      </c>
      <c r="X24" s="7" t="s">
        <v>94</v>
      </c>
      <c r="Y24" s="13"/>
      <c r="Z24" s="7" t="s">
        <v>34</v>
      </c>
      <c r="AA24" s="6"/>
      <c r="AB24" s="6" t="s">
        <v>1281</v>
      </c>
      <c r="AC24" s="6" t="s">
        <v>181</v>
      </c>
    </row>
    <row r="25" ht="22.5" customHeight="1">
      <c r="A25" s="11" t="str">
        <f>REGEXEXTRACT(D25, "\d{4}\.\s(.*?)\.\sProc\. ACM")"),"Everytime Everywhere All at Once: Enhancing Temporal-Spatial Traceability of Optical Codes through Voltmarks</f>
        <v xml:space="preserve">Everytime Everywhere All at Once: Enhancing Temporal-Spatial Traceability of Optical Codes through Voltmarks</v>
      </c>
      <c r="B25" s="7">
        <f t="shared" si="32"/>
        <v>50</v>
      </c>
      <c r="C25" s="8" t="s">
        <v>1282</v>
      </c>
      <c r="D25" s="6" t="s">
        <v>1283</v>
      </c>
      <c r="E25" s="9">
        <v>45971</v>
      </c>
      <c r="F25" s="7">
        <v>2025</v>
      </c>
      <c r="G25" s="7" t="s">
        <v>1145</v>
      </c>
      <c r="H25" s="6" t="str">
        <f t="shared" si="29"/>
        <v>2025_Jun_050</v>
      </c>
      <c r="I25" s="12" t="str">
        <f t="shared" si="30"/>
        <v>https://doi.org/10.1145/3729500</v>
      </c>
      <c r="J25" s="7">
        <f>IF(D25:D42&lt;&gt;"", VALUE(REGEXEXTRACT(D25:D42, "(\d+)\s+pages")), )
</f>
        <v>23</v>
      </c>
      <c r="K25" s="6" t="s">
        <v>71</v>
      </c>
      <c r="L25" s="7" t="str">
        <f t="shared" si="33"/>
        <v>No</v>
      </c>
      <c r="M25" s="7" t="s">
        <v>33</v>
      </c>
      <c r="N25" s="7" t="s">
        <v>33</v>
      </c>
      <c r="O25" s="7" t="s">
        <v>34</v>
      </c>
      <c r="P25" s="6"/>
      <c r="Q25" s="6" t="s">
        <v>1284</v>
      </c>
      <c r="R25" s="7" t="s">
        <v>33</v>
      </c>
      <c r="S25" s="7" t="s">
        <v>144</v>
      </c>
      <c r="T25" s="12" t="s">
        <v>1285</v>
      </c>
      <c r="U25" s="6" t="s">
        <v>1286</v>
      </c>
      <c r="V25" s="7" t="s">
        <v>33</v>
      </c>
      <c r="W25" s="6" t="s">
        <v>1287</v>
      </c>
      <c r="X25" s="7" t="s">
        <v>33</v>
      </c>
      <c r="Y25" s="6" t="s">
        <v>1288</v>
      </c>
      <c r="Z25" s="7" t="s">
        <v>34</v>
      </c>
      <c r="AA25" s="6"/>
      <c r="AB25" s="6" t="s">
        <v>1289</v>
      </c>
      <c r="AC25" s="6" t="s">
        <v>181</v>
      </c>
    </row>
    <row r="26" ht="22.5" customHeight="1">
      <c r="A26" s="11" t="str">
        <f>REGEXEXTRACT(D26, "\d{4}\.\s(.*?)\.\sProc\. ACM")"),"MmHSE: Enhanced Eavesdropping Attack on Headsets Leveraging COTS mmWave Radar</f>
        <v xml:space="preserve">MmHSE: Enhanced Eavesdropping Attack on Headsets Leveraging COTS mmWave Radar</v>
      </c>
      <c r="B26" s="7">
        <f t="shared" si="32"/>
        <v>51</v>
      </c>
      <c r="C26" s="8" t="s">
        <v>1290</v>
      </c>
      <c r="D26" s="6" t="s">
        <v>1291</v>
      </c>
      <c r="E26" s="9">
        <v>45971</v>
      </c>
      <c r="F26" s="7">
        <v>2025</v>
      </c>
      <c r="G26" s="7" t="s">
        <v>1145</v>
      </c>
      <c r="H26" s="6" t="str">
        <f t="shared" si="29"/>
        <v>2025_Jun_051</v>
      </c>
      <c r="I26" s="12" t="str">
        <f t="shared" si="30"/>
        <v>https://doi.org/10.1145/3729475</v>
      </c>
      <c r="J26" s="7">
        <f>IF(D26:D42&lt;&gt;"", VALUE(REGEXEXTRACT(D26:D42, "(\d+)\s+pages")), )
</f>
        <v>27</v>
      </c>
      <c r="K26" s="6" t="s">
        <v>133</v>
      </c>
      <c r="L26" s="7" t="str">
        <f t="shared" si="33"/>
        <v>No</v>
      </c>
      <c r="M26" s="7" t="s">
        <v>34</v>
      </c>
      <c r="N26" s="7" t="s">
        <v>33</v>
      </c>
      <c r="O26" s="7" t="s">
        <v>34</v>
      </c>
      <c r="P26" s="6"/>
      <c r="Q26" s="6" t="s">
        <v>1292</v>
      </c>
      <c r="R26" s="7" t="s">
        <v>33</v>
      </c>
      <c r="S26" s="7" t="s">
        <v>144</v>
      </c>
      <c r="T26" s="10" t="s">
        <v>1293</v>
      </c>
      <c r="U26" s="6" t="s">
        <v>1294</v>
      </c>
      <c r="V26" s="7" t="s">
        <v>33</v>
      </c>
      <c r="W26" s="6" t="s">
        <v>1295</v>
      </c>
      <c r="X26" s="7" t="s">
        <v>33</v>
      </c>
      <c r="Y26" s="6" t="s">
        <v>1296</v>
      </c>
      <c r="Z26" s="7" t="s">
        <v>34</v>
      </c>
      <c r="AA26" s="6"/>
      <c r="AB26" s="6" t="s">
        <v>1297</v>
      </c>
      <c r="AC26" s="6" t="s">
        <v>181</v>
      </c>
    </row>
    <row r="27" ht="22.5" customHeight="1">
      <c r="A27" s="11" t="str">
        <f>REGEXEXTRACT(D27, "\d{4}\.\s(.*?)\.\sProc\. ACM")"),"S2Pair: Secure and Simple Device Pairing Using Human Bone as a Key Generator</f>
        <v xml:space="preserve">S2Pair: Secure and Simple Device Pairing Using Human Bone as a Key Generator</v>
      </c>
      <c r="B27" s="7">
        <f t="shared" si="32"/>
        <v>52</v>
      </c>
      <c r="C27" s="8" t="s">
        <v>1298</v>
      </c>
      <c r="D27" s="6" t="s">
        <v>1299</v>
      </c>
      <c r="E27" s="9">
        <v>45971</v>
      </c>
      <c r="F27" s="7">
        <v>2025</v>
      </c>
      <c r="G27" s="7" t="s">
        <v>1145</v>
      </c>
      <c r="H27" s="6" t="str">
        <f t="shared" si="29"/>
        <v>2025_Jun_052</v>
      </c>
      <c r="I27" s="12" t="str">
        <f t="shared" si="30"/>
        <v>https://doi.org/10.1145/3729466</v>
      </c>
      <c r="J27" s="7">
        <f>IF(D27:D42&lt;&gt;"", VALUE(REGEXEXTRACT(D27:D42, "(\d+)\s+pages")), )
</f>
        <v>29</v>
      </c>
      <c r="K27" s="6" t="s">
        <v>217</v>
      </c>
      <c r="L27" s="7" t="str">
        <f t="shared" si="33"/>
        <v>No</v>
      </c>
      <c r="M27" s="7" t="s">
        <v>34</v>
      </c>
      <c r="N27" s="7" t="s">
        <v>33</v>
      </c>
      <c r="O27" s="7" t="s">
        <v>34</v>
      </c>
      <c r="P27" s="6"/>
      <c r="Q27" s="6"/>
      <c r="R27" s="7" t="s">
        <v>33</v>
      </c>
      <c r="S27" s="7" t="s">
        <v>34</v>
      </c>
      <c r="T27" s="6"/>
      <c r="U27" s="6" t="s">
        <v>1300</v>
      </c>
      <c r="V27" s="7" t="s">
        <v>33</v>
      </c>
      <c r="W27" s="6" t="s">
        <v>1301</v>
      </c>
      <c r="X27" s="7" t="s">
        <v>33</v>
      </c>
      <c r="Y27" s="6" t="s">
        <v>1302</v>
      </c>
      <c r="Z27" s="7" t="s">
        <v>34</v>
      </c>
      <c r="AA27" s="6"/>
      <c r="AB27" s="6" t="s">
        <v>1303</v>
      </c>
      <c r="AC27" s="6" t="s">
        <v>181</v>
      </c>
    </row>
    <row r="28" ht="22.5" customHeight="1">
      <c r="A28" s="11" t="str">
        <f>REGEXEXTRACT(D28, "\d{4}\.\s(.*?)\.\sProc\. ACM")"),"RF-AE: Single-site Arterial Elasticity Estimation Using UWB Signals</f>
        <v xml:space="preserve">RF-AE: Single-site Arterial Elasticity Estimation Using UWB Signals</v>
      </c>
      <c r="B28" s="7">
        <f t="shared" si="32"/>
        <v>53</v>
      </c>
      <c r="C28" s="8" t="s">
        <v>1304</v>
      </c>
      <c r="D28" s="6" t="s">
        <v>1305</v>
      </c>
      <c r="E28" s="9">
        <v>45971</v>
      </c>
      <c r="F28" s="7">
        <v>2025</v>
      </c>
      <c r="G28" s="7" t="s">
        <v>1145</v>
      </c>
      <c r="H28" s="6" t="str">
        <f t="shared" si="29"/>
        <v>2025_Jun_053</v>
      </c>
      <c r="I28" s="12" t="str">
        <f t="shared" si="30"/>
        <v>https://doi.org/10.1145/3729460</v>
      </c>
      <c r="J28" s="7">
        <f>IF(D28:D42&lt;&gt;"", VALUE(REGEXEXTRACT(D28:D42, "(\d+)\s+pages")), )
</f>
        <v>26</v>
      </c>
      <c r="K28" s="6" t="s">
        <v>45</v>
      </c>
      <c r="L28" s="7" t="str">
        <f t="shared" si="33"/>
        <v>No</v>
      </c>
      <c r="M28" s="7" t="s">
        <v>33</v>
      </c>
      <c r="N28" s="7" t="s">
        <v>94</v>
      </c>
      <c r="O28" s="7" t="s">
        <v>34</v>
      </c>
      <c r="P28" s="6"/>
      <c r="Q28" s="6" t="s">
        <v>1306</v>
      </c>
      <c r="R28" s="7" t="s">
        <v>33</v>
      </c>
      <c r="S28" s="7" t="s">
        <v>34</v>
      </c>
      <c r="T28" s="6"/>
      <c r="U28" s="6" t="s">
        <v>1307</v>
      </c>
      <c r="V28" s="7" t="s">
        <v>33</v>
      </c>
      <c r="W28" s="6" t="s">
        <v>1308</v>
      </c>
      <c r="X28" s="7" t="s">
        <v>94</v>
      </c>
      <c r="Y28" s="13"/>
      <c r="Z28" s="7" t="s">
        <v>34</v>
      </c>
      <c r="AA28" s="6"/>
      <c r="AB28" s="6" t="s">
        <v>1309</v>
      </c>
      <c r="AC28" s="6" t="s">
        <v>181</v>
      </c>
    </row>
    <row r="29" ht="22.5" customHeight="1">
      <c r="A29" s="14" t="str">
        <f>REGEXEXTRACT(D29, "\d{4}\.\s(.*?)\.\sProc\. ACM")"),""I would still use it but I wouldn't trust it": Evaluating Mechanisms for Transparency and Control for Smart-Home Sensors</f>
        <v xml:space="preserve">"I would still use it but I wouldn't trust it": Evaluating Mechanisms for Transparency and Control for Smart-Home Sensors</v>
      </c>
      <c r="B29" s="15">
        <f t="shared" si="32"/>
        <v>54</v>
      </c>
      <c r="C29" s="16" t="s">
        <v>1310</v>
      </c>
      <c r="D29" s="17" t="s">
        <v>1311</v>
      </c>
      <c r="E29" s="18">
        <v>45971</v>
      </c>
      <c r="F29" s="15">
        <v>2025</v>
      </c>
      <c r="G29" s="15" t="s">
        <v>1145</v>
      </c>
      <c r="H29" s="17" t="str">
        <f t="shared" si="29"/>
        <v>2025_Jun_054</v>
      </c>
      <c r="I29" s="19" t="str">
        <f t="shared" si="30"/>
        <v>https://doi.org/10.1145/3729480</v>
      </c>
      <c r="J29" s="15">
        <f>IF(D29:D42&lt;&gt;"", VALUE(REGEXEXTRACT(D29:D42, "(\d+)\s+pages")), )
</f>
        <v>33</v>
      </c>
      <c r="K29" s="17" t="s">
        <v>42</v>
      </c>
      <c r="L29" s="15" t="str">
        <f t="shared" si="33"/>
        <v>No</v>
      </c>
      <c r="M29" s="15" t="s">
        <v>33</v>
      </c>
      <c r="N29" s="15" t="s">
        <v>34</v>
      </c>
      <c r="O29" s="15" t="s">
        <v>35</v>
      </c>
      <c r="P29" s="17"/>
      <c r="Q29" s="17"/>
      <c r="R29" s="15" t="s">
        <v>34</v>
      </c>
      <c r="S29" s="15" t="s">
        <v>35</v>
      </c>
      <c r="T29" s="17"/>
      <c r="U29" s="17"/>
      <c r="V29" s="15" t="s">
        <v>35</v>
      </c>
      <c r="W29" s="17"/>
      <c r="X29" s="15" t="s">
        <v>35</v>
      </c>
      <c r="Y29" s="20"/>
      <c r="Z29" s="15" t="s">
        <v>35</v>
      </c>
      <c r="AA29" s="17"/>
      <c r="AB29" s="17"/>
      <c r="AC29" s="17" t="s">
        <v>181</v>
      </c>
    </row>
    <row r="30" ht="22.5" customHeight="1">
      <c r="A30" s="11" t="str">
        <f>REGEXEXTRACT(D30, "\d{4}\.\s(.*?)\.\sProc\. ACM")"),"HandID: Towards Unobtrusive Gesture-independent User Authentication on Smartphones Using Vibration-based Hand Biometrics</f>
        <v xml:space="preserve">HandID: Towards Unobtrusive Gesture-independent User Authentication on Smartphones Using Vibration-based Hand Biometrics</v>
      </c>
      <c r="B30" s="7">
        <f t="shared" si="32"/>
        <v>55</v>
      </c>
      <c r="C30" s="8" t="s">
        <v>1312</v>
      </c>
      <c r="D30" s="6" t="s">
        <v>1313</v>
      </c>
      <c r="E30" s="9">
        <v>45963</v>
      </c>
      <c r="F30" s="7">
        <v>2025</v>
      </c>
      <c r="G30" s="7" t="s">
        <v>1145</v>
      </c>
      <c r="H30" s="6" t="str">
        <f t="shared" si="29"/>
        <v>2025_Jun_055</v>
      </c>
      <c r="I30" s="12" t="str">
        <f t="shared" si="30"/>
        <v>https://doi.org/10.1145/3729489</v>
      </c>
      <c r="J30" s="7">
        <f>IF(D30:D42&lt;&gt;"", VALUE(REGEXEXTRACT(D30:D42, "(\d+)\s+pages")), )
</f>
        <v>27</v>
      </c>
      <c r="K30" s="6" t="s">
        <v>133</v>
      </c>
      <c r="L30" s="7" t="str">
        <f t="shared" si="33"/>
        <v>No</v>
      </c>
      <c r="M30" s="7" t="s">
        <v>34</v>
      </c>
      <c r="N30" s="7" t="s">
        <v>33</v>
      </c>
      <c r="O30" s="7" t="s">
        <v>34</v>
      </c>
      <c r="P30" s="6"/>
      <c r="Q30" s="6"/>
      <c r="R30" s="7" t="s">
        <v>33</v>
      </c>
      <c r="S30" s="7" t="s">
        <v>34</v>
      </c>
      <c r="T30" s="6"/>
      <c r="U30" s="6" t="s">
        <v>1314</v>
      </c>
      <c r="V30" s="7" t="s">
        <v>33</v>
      </c>
      <c r="W30" s="6" t="s">
        <v>1315</v>
      </c>
      <c r="X30" s="7" t="s">
        <v>34</v>
      </c>
      <c r="Y30" s="6" t="s">
        <v>1316</v>
      </c>
      <c r="Z30" s="7" t="s">
        <v>34</v>
      </c>
      <c r="AA30" s="6" t="s">
        <v>1117</v>
      </c>
      <c r="AB30" s="6" t="s">
        <v>1317</v>
      </c>
      <c r="AC30" s="6" t="s">
        <v>355</v>
      </c>
    </row>
    <row r="31" ht="22.5" customHeight="1">
      <c r="A31" s="11" t="str">
        <f>REGEXEXTRACT(D31, "\d{4}\.\s(.*?)\.\sProc\. ACM")"),"Deconfounding Causal Inference through Two-branch Framework with Early-forking for Sensor-based Cross-domain Activity Recognition</f>
        <v xml:space="preserve">Deconfounding Causal Inference through Two-branch Framework with Early-forking for Sensor-based Cross-domain Activity Recognition</v>
      </c>
      <c r="B31" s="7">
        <f t="shared" si="32"/>
        <v>56</v>
      </c>
      <c r="C31" s="46" t="s">
        <v>1318</v>
      </c>
      <c r="D31" s="6" t="s">
        <v>1319</v>
      </c>
      <c r="E31" s="9">
        <v>45964</v>
      </c>
      <c r="F31" s="7">
        <v>2025</v>
      </c>
      <c r="G31" s="7" t="s">
        <v>1145</v>
      </c>
      <c r="H31" s="6" t="str">
        <f t="shared" si="29"/>
        <v>2025_Jun_056</v>
      </c>
      <c r="I31" s="12" t="str">
        <f t="shared" si="30"/>
        <v>https://doi.org/10.1145/3729495</v>
      </c>
      <c r="J31" s="7">
        <f>IF(D31:D42&lt;&gt;"", VALUE(REGEXEXTRACT(D31:D42, "(\d+)\s+pages")), )
</f>
        <v>30</v>
      </c>
      <c r="K31" s="6" t="s">
        <v>71</v>
      </c>
      <c r="L31" s="7" t="str">
        <f t="shared" si="33"/>
        <v>No</v>
      </c>
      <c r="M31" s="7" t="s">
        <v>34</v>
      </c>
      <c r="N31" s="7" t="s">
        <v>33</v>
      </c>
      <c r="O31" s="7" t="s">
        <v>34</v>
      </c>
      <c r="P31" s="6"/>
      <c r="Q31" s="6"/>
      <c r="R31" s="7" t="s">
        <v>33</v>
      </c>
      <c r="S31" s="7" t="s">
        <v>144</v>
      </c>
      <c r="T31" s="6"/>
      <c r="U31" s="6" t="s">
        <v>1320</v>
      </c>
      <c r="V31" s="7" t="s">
        <v>33</v>
      </c>
      <c r="W31" s="6" t="s">
        <v>1321</v>
      </c>
      <c r="X31" s="7" t="s">
        <v>34</v>
      </c>
      <c r="Y31" s="6" t="s">
        <v>1322</v>
      </c>
      <c r="Z31" s="7" t="s">
        <v>34</v>
      </c>
      <c r="AA31" s="6" t="s">
        <v>1323</v>
      </c>
      <c r="AB31" s="6" t="s">
        <v>1324</v>
      </c>
      <c r="AC31" s="6" t="s">
        <v>355</v>
      </c>
    </row>
    <row r="32" ht="22.5" customHeight="1">
      <c r="A32" s="11" t="str">
        <f>REGEXEXTRACT(D32, "\d{4}\.\s(.*?)\.\sProc\. ACM")"),"Combating Chirp Interference for Multi-target LoRa Localization</f>
        <v xml:space="preserve">Combating Chirp Interference for Multi-target LoRa Localization</v>
      </c>
      <c r="B32" s="7">
        <f t="shared" si="32"/>
        <v>57</v>
      </c>
      <c r="C32" s="8" t="s">
        <v>1325</v>
      </c>
      <c r="D32" s="10" t="s">
        <v>1326</v>
      </c>
      <c r="E32" s="9">
        <v>45964</v>
      </c>
      <c r="F32" s="7">
        <v>2025</v>
      </c>
      <c r="G32" s="7" t="s">
        <v>1145</v>
      </c>
      <c r="H32" s="6" t="str">
        <f t="shared" si="29"/>
        <v>2025_Jun_057</v>
      </c>
      <c r="I32" s="12" t="str">
        <f t="shared" si="30"/>
        <v>https://doi.org/10.1145/3729491</v>
      </c>
      <c r="J32" s="7">
        <f>IF(D32:D42&lt;&gt;"", VALUE(REGEXEXTRACT(D32:D42, "(\d+)\s+pages")), )
</f>
        <v>26</v>
      </c>
      <c r="K32" s="6" t="s">
        <v>777</v>
      </c>
      <c r="L32" s="7" t="str">
        <f t="shared" si="33"/>
        <v>No</v>
      </c>
      <c r="M32" s="7" t="s">
        <v>34</v>
      </c>
      <c r="N32" s="7" t="s">
        <v>33</v>
      </c>
      <c r="O32" s="7" t="s">
        <v>34</v>
      </c>
      <c r="P32" s="6"/>
      <c r="Q32" s="6" t="s">
        <v>1327</v>
      </c>
      <c r="R32" s="7" t="s">
        <v>33</v>
      </c>
      <c r="S32" s="7" t="s">
        <v>34</v>
      </c>
      <c r="T32" s="6"/>
      <c r="U32" s="6"/>
      <c r="V32" s="7" t="s">
        <v>33</v>
      </c>
      <c r="W32" s="6" t="s">
        <v>1328</v>
      </c>
      <c r="X32" s="7" t="s">
        <v>34</v>
      </c>
      <c r="Y32" s="13"/>
      <c r="Z32" s="7" t="s">
        <v>34</v>
      </c>
      <c r="AA32" s="6" t="s">
        <v>1329</v>
      </c>
      <c r="AB32" s="6" t="s">
        <v>1330</v>
      </c>
      <c r="AC32" s="6" t="s">
        <v>355</v>
      </c>
    </row>
    <row r="33" ht="22.5" customHeight="1">
      <c r="A33" s="11" t="str">
        <f>REGEXEXTRACT(D33, "\d{4}\.\s(.*?)\.\sProc\. ACM")"),"Incorporating Uncertainty in Predictive Models Using Mobile Sensing and Clinical Data: A Case Study on Persistent Post-surgical Pain</f>
        <v xml:space="preserve">Incorporating Uncertainty in Predictive Models Using Mobile Sensing and Clinical Data: A Case Study on Persistent Post-surgical Pain</v>
      </c>
      <c r="B33" s="7">
        <f t="shared" si="32"/>
        <v>58</v>
      </c>
      <c r="C33" s="8" t="s">
        <v>1331</v>
      </c>
      <c r="D33" s="10" t="s">
        <v>1332</v>
      </c>
      <c r="E33" s="44">
        <v>45964</v>
      </c>
      <c r="F33" s="7">
        <v>2025</v>
      </c>
      <c r="G33" s="7" t="s">
        <v>1145</v>
      </c>
      <c r="H33" s="6" t="str">
        <f t="shared" si="29"/>
        <v>2025_Jun_058</v>
      </c>
      <c r="I33" s="12" t="str">
        <f t="shared" si="30"/>
        <v>https://doi.org/10.1145/3729488</v>
      </c>
      <c r="J33" s="7">
        <f>IF(D33:D42&lt;&gt;"", VALUE(REGEXEXTRACT(D33:D42, "(\d+)\s+pages")), )
</f>
        <v>33</v>
      </c>
      <c r="K33" s="6" t="s">
        <v>32</v>
      </c>
      <c r="L33" s="7" t="str">
        <f t="shared" si="33"/>
        <v>No</v>
      </c>
      <c r="M33" s="7" t="s">
        <v>33</v>
      </c>
      <c r="N33" s="7" t="s">
        <v>33</v>
      </c>
      <c r="O33" s="7" t="s">
        <v>34</v>
      </c>
      <c r="P33" s="6"/>
      <c r="Q33" s="6" t="s">
        <v>1333</v>
      </c>
      <c r="R33" s="7" t="s">
        <v>33</v>
      </c>
      <c r="S33" s="7" t="s">
        <v>34</v>
      </c>
      <c r="T33" s="6"/>
      <c r="U33" s="6"/>
      <c r="V33" s="7" t="s">
        <v>34</v>
      </c>
      <c r="W33" s="6" t="s">
        <v>1334</v>
      </c>
      <c r="X33" s="7" t="s">
        <v>33</v>
      </c>
      <c r="Y33" s="6" t="s">
        <v>1335</v>
      </c>
      <c r="Z33" s="7" t="s">
        <v>34</v>
      </c>
      <c r="AA33" s="6" t="s">
        <v>1336</v>
      </c>
      <c r="AB33" s="6" t="s">
        <v>1337</v>
      </c>
      <c r="AC33" s="6" t="s">
        <v>355</v>
      </c>
    </row>
    <row r="34" ht="22.5" customHeight="1">
      <c r="A34" s="11" t="str">
        <f>REGEXEXTRACT(D34, "\d{4}\.\s(.*?)\.\sProc\. ACM")"),"From Spatial Domain to Temporal Domain: Unleashing the Capability of CFAR for mmWave Point Cloud Generation</f>
        <v xml:space="preserve">From Spatial Domain to Temporal Domain: Unleashing the Capability of CFAR for mmWave Point Cloud Generation</v>
      </c>
      <c r="B34" s="7">
        <f t="shared" si="32"/>
        <v>59</v>
      </c>
      <c r="C34" s="8" t="s">
        <v>1338</v>
      </c>
      <c r="D34" s="10" t="s">
        <v>1339</v>
      </c>
      <c r="E34" s="9">
        <v>45965</v>
      </c>
      <c r="F34" s="7">
        <v>2025</v>
      </c>
      <c r="G34" s="7" t="s">
        <v>1145</v>
      </c>
      <c r="H34" s="6" t="str">
        <f t="shared" si="29"/>
        <v>2025_Jun_059</v>
      </c>
      <c r="I34" s="12" t="str">
        <f t="shared" si="30"/>
        <v>https://doi.org/10.1145/3729465</v>
      </c>
      <c r="J34" s="7">
        <f>IF(D34:D42&lt;&gt;"", VALUE(REGEXEXTRACT(D34:D42, "(\d+)\s+pages")), )
</f>
        <v>29</v>
      </c>
      <c r="K34" s="6" t="s">
        <v>133</v>
      </c>
      <c r="L34" s="7" t="str">
        <f t="shared" si="33"/>
        <v>No</v>
      </c>
      <c r="M34" s="7" t="s">
        <v>34</v>
      </c>
      <c r="N34" s="7" t="s">
        <v>33</v>
      </c>
      <c r="O34" s="7" t="s">
        <v>34</v>
      </c>
      <c r="P34" s="6"/>
      <c r="Q34" s="6"/>
      <c r="R34" s="7" t="s">
        <v>33</v>
      </c>
      <c r="S34" s="7" t="s">
        <v>34</v>
      </c>
      <c r="T34" s="6"/>
      <c r="U34" s="6" t="s">
        <v>1340</v>
      </c>
      <c r="V34" s="7" t="s">
        <v>33</v>
      </c>
      <c r="W34" s="6" t="s">
        <v>1341</v>
      </c>
      <c r="X34" s="7" t="s">
        <v>34</v>
      </c>
      <c r="Y34" s="6" t="s">
        <v>1342</v>
      </c>
      <c r="Z34" s="7" t="s">
        <v>34</v>
      </c>
      <c r="AA34" s="6" t="s">
        <v>1117</v>
      </c>
      <c r="AB34" s="6" t="s">
        <v>1343</v>
      </c>
      <c r="AC34" s="6" t="s">
        <v>355</v>
      </c>
    </row>
    <row r="35" ht="22.5" customHeight="1">
      <c r="A35" s="11" t="str">
        <f>REGEXEXTRACT(D35, "\d{4}\.\s(.*?)\.\sProc\. ACM")"),"USpeech: Ultrasound-Enhanced Speech with Minimal Human Effort via Cross-Modal Synthesis</f>
        <v xml:space="preserve">USpeech: Ultrasound-Enhanced Speech with Minimal Human Effort via Cross-Modal Synthesis</v>
      </c>
      <c r="B35" s="7">
        <f t="shared" si="32"/>
        <v>60</v>
      </c>
      <c r="C35" s="8" t="s">
        <v>1344</v>
      </c>
      <c r="D35" s="10" t="s">
        <v>1345</v>
      </c>
      <c r="E35" s="9">
        <v>45965</v>
      </c>
      <c r="F35" s="7">
        <v>2025</v>
      </c>
      <c r="G35" s="7" t="s">
        <v>1145</v>
      </c>
      <c r="H35" s="6" t="str">
        <f t="shared" si="29"/>
        <v>2025_Jun_060</v>
      </c>
      <c r="I35" s="12" t="str">
        <f t="shared" si="30"/>
        <v>https://doi.org/10.1145/3729462</v>
      </c>
      <c r="J35" s="7">
        <f>IF(D35:D42&lt;&gt;"", VALUE(REGEXEXTRACT(D35:D42, "(\d+)\s+pages")), )
</f>
        <v>31</v>
      </c>
      <c r="K35" s="6" t="s">
        <v>64</v>
      </c>
      <c r="L35" s="7" t="str">
        <f t="shared" si="33"/>
        <v>No</v>
      </c>
      <c r="M35" s="7" t="s">
        <v>34</v>
      </c>
      <c r="N35" s="7" t="s">
        <v>33</v>
      </c>
      <c r="O35" s="7" t="s">
        <v>33</v>
      </c>
      <c r="P35" s="10" t="s">
        <v>1346</v>
      </c>
      <c r="Q35" s="6" t="s">
        <v>1347</v>
      </c>
      <c r="R35" s="7" t="s">
        <v>33</v>
      </c>
      <c r="S35" s="7" t="s">
        <v>144</v>
      </c>
      <c r="T35" s="10" t="s">
        <v>1348</v>
      </c>
      <c r="U35" s="6" t="s">
        <v>1349</v>
      </c>
      <c r="V35" s="7" t="s">
        <v>33</v>
      </c>
      <c r="W35" s="6" t="s">
        <v>1350</v>
      </c>
      <c r="X35" s="7" t="s">
        <v>34</v>
      </c>
      <c r="Y35" s="13"/>
      <c r="Z35" s="7" t="s">
        <v>144</v>
      </c>
      <c r="AA35" s="6" t="s">
        <v>1351</v>
      </c>
      <c r="AB35" s="6" t="s">
        <v>1352</v>
      </c>
      <c r="AC35" s="6" t="s">
        <v>355</v>
      </c>
    </row>
    <row r="36" ht="22.5" customHeight="1">
      <c r="A36" s="11" t="str">
        <f>REGEXEXTRACT(D36, "\d{4}\.\s(.*?)\.\sProc\. ACM")"),"WindDancer: Understanding Acoustic Sensing under Ambient Airflow</f>
        <v xml:space="preserve">WindDancer: Understanding Acoustic Sensing under Ambient Airflow</v>
      </c>
      <c r="B36" s="7">
        <f t="shared" si="32"/>
        <v>61</v>
      </c>
      <c r="C36" s="8" t="s">
        <v>1353</v>
      </c>
      <c r="D36" s="10" t="s">
        <v>1354</v>
      </c>
      <c r="E36" s="9">
        <v>45965</v>
      </c>
      <c r="F36" s="7">
        <v>2025</v>
      </c>
      <c r="G36" s="7" t="s">
        <v>1145</v>
      </c>
      <c r="H36" s="6" t="str">
        <f t="shared" si="29"/>
        <v>2025_Jun_061</v>
      </c>
      <c r="I36" s="12" t="str">
        <f t="shared" si="30"/>
        <v>https://doi.org/10.1145/3729469</v>
      </c>
      <c r="J36" s="7">
        <f>IF(D36:D42&lt;&gt;"", VALUE(REGEXEXTRACT(D36:D42, "(\d+)\s+pages")), )
</f>
        <v>25</v>
      </c>
      <c r="K36" s="6" t="s">
        <v>64</v>
      </c>
      <c r="L36" s="7" t="str">
        <f t="shared" si="33"/>
        <v>No</v>
      </c>
      <c r="M36" s="7" t="s">
        <v>33</v>
      </c>
      <c r="N36" s="7" t="s">
        <v>33</v>
      </c>
      <c r="O36" s="7" t="s">
        <v>33</v>
      </c>
      <c r="P36" s="10" t="s">
        <v>1355</v>
      </c>
      <c r="Q36" s="6" t="s">
        <v>1356</v>
      </c>
      <c r="R36" s="7" t="s">
        <v>33</v>
      </c>
      <c r="S36" s="7" t="s">
        <v>34</v>
      </c>
      <c r="T36" s="6"/>
      <c r="U36" s="6" t="s">
        <v>1357</v>
      </c>
      <c r="V36" s="7" t="s">
        <v>33</v>
      </c>
      <c r="W36" s="6" t="s">
        <v>1358</v>
      </c>
      <c r="X36" s="7" t="s">
        <v>33</v>
      </c>
      <c r="Y36" s="6" t="s">
        <v>1359</v>
      </c>
      <c r="Z36" s="7" t="s">
        <v>33</v>
      </c>
      <c r="AA36" s="6" t="s">
        <v>680</v>
      </c>
      <c r="AB36" s="6" t="s">
        <v>1360</v>
      </c>
      <c r="AC36" s="6" t="s">
        <v>355</v>
      </c>
    </row>
    <row r="37" ht="22.5" customHeight="1">
      <c r="A37" s="11" t="str">
        <f>REGEXEXTRACT(D37, "\d{4}\.\s(.*?)\.\sProc\. ACM")"),"TIEboard: A Digital Educational Tool for Kids Geometric Learning</f>
        <v xml:space="preserve">TIEboard: A Digital Educational Tool for Kids Geometric Learning</v>
      </c>
      <c r="B37" s="7">
        <f t="shared" si="32"/>
        <v>62</v>
      </c>
      <c r="C37" s="8" t="s">
        <v>1361</v>
      </c>
      <c r="D37" s="10" t="s">
        <v>1362</v>
      </c>
      <c r="E37" s="9">
        <v>45967</v>
      </c>
      <c r="F37" s="7">
        <v>2025</v>
      </c>
      <c r="G37" s="7" t="s">
        <v>1145</v>
      </c>
      <c r="H37" s="6" t="str">
        <f t="shared" si="29"/>
        <v>2025_Jun_062</v>
      </c>
      <c r="I37" s="12" t="str">
        <f t="shared" si="30"/>
        <v>https://doi.org/10.1145/3729478</v>
      </c>
      <c r="J37" s="7">
        <f>IF(D37:D42&lt;&gt;"", VALUE(REGEXEXTRACT(D37:D42, "(\d+)\s+pages")), )
</f>
        <v>27</v>
      </c>
      <c r="K37" s="6" t="s">
        <v>1093</v>
      </c>
      <c r="L37" s="7" t="str">
        <f t="shared" si="33"/>
        <v>No</v>
      </c>
      <c r="M37" s="7" t="s">
        <v>34</v>
      </c>
      <c r="N37" s="7" t="s">
        <v>33</v>
      </c>
      <c r="O37" s="7" t="s">
        <v>34</v>
      </c>
      <c r="P37" s="6"/>
      <c r="Q37" s="6" t="s">
        <v>1363</v>
      </c>
      <c r="R37" s="7" t="s">
        <v>34</v>
      </c>
      <c r="S37" s="7" t="s">
        <v>35</v>
      </c>
      <c r="T37" s="6"/>
      <c r="U37" s="6"/>
      <c r="V37" s="7" t="s">
        <v>33</v>
      </c>
      <c r="W37" s="6" t="s">
        <v>1364</v>
      </c>
      <c r="X37" s="7" t="s">
        <v>34</v>
      </c>
      <c r="Y37" s="6" t="s">
        <v>1365</v>
      </c>
      <c r="Z37" s="7" t="s">
        <v>34</v>
      </c>
      <c r="AA37" s="6" t="s">
        <v>1366</v>
      </c>
      <c r="AB37" s="6" t="s">
        <v>1367</v>
      </c>
      <c r="AC37" s="6" t="s">
        <v>355</v>
      </c>
    </row>
    <row r="38" ht="22.5" customHeight="1">
      <c r="A38" s="11" t="str">
        <f>REGEXEXTRACT(D38, "\d{4}\.\s(.*?)\.\sProc\. ACM")"),"TAPOR: 3D Hand Pose Reconstruction with Fully Passive Thermal Sensing for Around-Device Interactions</f>
        <v xml:space="preserve">TAPOR: 3D Hand Pose Reconstruction with Fully Passive Thermal Sensing for Around-Device Interactions</v>
      </c>
      <c r="B38" s="7">
        <f t="shared" si="32"/>
        <v>63</v>
      </c>
      <c r="C38" s="8" t="s">
        <v>1368</v>
      </c>
      <c r="D38" s="10" t="s">
        <v>1369</v>
      </c>
      <c r="E38" s="9">
        <v>45967</v>
      </c>
      <c r="F38" s="7">
        <v>2025</v>
      </c>
      <c r="G38" s="7" t="s">
        <v>1145</v>
      </c>
      <c r="H38" s="6" t="str">
        <f t="shared" si="29"/>
        <v>2025_Jun_063</v>
      </c>
      <c r="I38" s="12" t="str">
        <f t="shared" si="30"/>
        <v>https://doi.org/10.1145/3729499</v>
      </c>
      <c r="J38" s="7">
        <f>IF(D38:D42&lt;&gt;"", VALUE(REGEXEXTRACT(D38:D42, "(\d+)\s+pages")), )
</f>
        <v>25</v>
      </c>
      <c r="K38" s="6" t="s">
        <v>777</v>
      </c>
      <c r="L38" s="7" t="str">
        <f t="shared" si="33"/>
        <v>No</v>
      </c>
      <c r="M38" s="7" t="s">
        <v>34</v>
      </c>
      <c r="N38" s="7" t="s">
        <v>33</v>
      </c>
      <c r="O38" s="7" t="s">
        <v>33</v>
      </c>
      <c r="P38" s="10" t="s">
        <v>1370</v>
      </c>
      <c r="Q38" s="6" t="s">
        <v>1371</v>
      </c>
      <c r="R38" s="7" t="s">
        <v>33</v>
      </c>
      <c r="S38" s="7" t="s">
        <v>33</v>
      </c>
      <c r="T38" s="10" t="s">
        <v>1370</v>
      </c>
      <c r="U38" s="6" t="s">
        <v>1372</v>
      </c>
      <c r="V38" s="7" t="s">
        <v>33</v>
      </c>
      <c r="W38" s="6" t="s">
        <v>1373</v>
      </c>
      <c r="X38" s="7" t="s">
        <v>34</v>
      </c>
      <c r="Y38" s="6" t="s">
        <v>1374</v>
      </c>
      <c r="Z38" s="7" t="s">
        <v>33</v>
      </c>
      <c r="AA38" s="6" t="s">
        <v>680</v>
      </c>
      <c r="AB38" s="10" t="s">
        <v>1375</v>
      </c>
      <c r="AC38" s="6" t="s">
        <v>355</v>
      </c>
    </row>
    <row r="39" ht="22.5" customHeight="1">
      <c r="A39" s="11" t="str">
        <f>REGEXEXTRACT(D39, "\d{4}\.\s(.*?)\.\sProc\. ACM")"),"MmMulti: Multi-person Action Recognition Based on Multi-task Learning Using Millimeter Waves</f>
        <v xml:space="preserve">MmMulti: Multi-person Action Recognition Based on Multi-task Learning Using Millimeter Waves</v>
      </c>
      <c r="B39" s="7">
        <f t="shared" si="32"/>
        <v>64</v>
      </c>
      <c r="C39" s="8" t="s">
        <v>1376</v>
      </c>
      <c r="D39" s="10" t="s">
        <v>1377</v>
      </c>
      <c r="E39" s="9">
        <v>45967</v>
      </c>
      <c r="F39" s="7">
        <v>2025</v>
      </c>
      <c r="G39" s="7" t="s">
        <v>1145</v>
      </c>
      <c r="H39" s="6" t="str">
        <f t="shared" si="29"/>
        <v>2025_Jun_064</v>
      </c>
      <c r="I39" s="12" t="str">
        <f t="shared" si="30"/>
        <v>https://doi.org/10.1145/3729461</v>
      </c>
      <c r="J39" s="7">
        <f>IF(D39:D42&lt;&gt;"", VALUE(REGEXEXTRACT(D39:D42, "(\d+)\s+pages")), )
</f>
        <v>25</v>
      </c>
      <c r="K39" s="6" t="s">
        <v>777</v>
      </c>
      <c r="L39" s="7" t="str">
        <f t="shared" si="33"/>
        <v>No</v>
      </c>
      <c r="M39" s="7" t="s">
        <v>34</v>
      </c>
      <c r="N39" s="7" t="s">
        <v>33</v>
      </c>
      <c r="O39" s="7" t="s">
        <v>34</v>
      </c>
      <c r="P39" s="6"/>
      <c r="Q39" s="6" t="s">
        <v>1378</v>
      </c>
      <c r="R39" s="7" t="s">
        <v>33</v>
      </c>
      <c r="S39" s="7" t="s">
        <v>33</v>
      </c>
      <c r="T39" s="10" t="s">
        <v>1379</v>
      </c>
      <c r="U39" s="6" t="s">
        <v>1380</v>
      </c>
      <c r="V39" s="7" t="s">
        <v>33</v>
      </c>
      <c r="W39" s="6" t="s">
        <v>1381</v>
      </c>
      <c r="X39" s="7" t="s">
        <v>34</v>
      </c>
      <c r="Y39" s="6" t="s">
        <v>1382</v>
      </c>
      <c r="Z39" s="7" t="s">
        <v>34</v>
      </c>
      <c r="AA39" s="6" t="s">
        <v>1383</v>
      </c>
      <c r="AB39" s="6" t="s">
        <v>1384</v>
      </c>
      <c r="AC39" s="6" t="s">
        <v>355</v>
      </c>
    </row>
    <row r="40" ht="22.5" customHeight="1">
      <c r="A40" s="11" t="str">
        <f>REGEXEXTRACT(D40, "\d{4}\.\s(.*?)\.\sProc\. ACM")"),"RingBP: Towards Continuous, Comfortable, and Generalized Blood Pressure Monitoring Using a Smart Ring</f>
        <v xml:space="preserve">RingBP: Towards Continuous, Comfortable, and Generalized Blood Pressure Monitoring Using a Smart Ring</v>
      </c>
      <c r="B40" s="7">
        <f t="shared" si="32"/>
        <v>65</v>
      </c>
      <c r="C40" s="8" t="s">
        <v>1385</v>
      </c>
      <c r="D40" s="10" t="s">
        <v>1386</v>
      </c>
      <c r="E40" s="9">
        <v>45967</v>
      </c>
      <c r="F40" s="7">
        <v>2025</v>
      </c>
      <c r="G40" s="7" t="s">
        <v>1145</v>
      </c>
      <c r="H40" s="6" t="str">
        <f t="shared" si="29"/>
        <v>2025_Jun_065</v>
      </c>
      <c r="I40" s="12" t="str">
        <f t="shared" si="30"/>
        <v>https://doi.org/10.1145/3731600</v>
      </c>
      <c r="J40" s="7">
        <f>IF(D40:D42&lt;&gt;"", VALUE(REGEXEXTRACT(D40:D42, "(\d+)\s+pages")), )
</f>
        <v>24</v>
      </c>
      <c r="K40" s="6" t="s">
        <v>217</v>
      </c>
      <c r="L40" s="7" t="str">
        <f t="shared" si="33"/>
        <v>No</v>
      </c>
      <c r="M40" s="7" t="s">
        <v>34</v>
      </c>
      <c r="N40" s="7" t="s">
        <v>33</v>
      </c>
      <c r="O40" s="7" t="s">
        <v>34</v>
      </c>
      <c r="P40" s="6"/>
      <c r="Q40" s="6" t="s">
        <v>1387</v>
      </c>
      <c r="R40" s="7" t="s">
        <v>33</v>
      </c>
      <c r="S40" s="7" t="s">
        <v>34</v>
      </c>
      <c r="T40" s="6"/>
      <c r="U40" s="6" t="s">
        <v>1388</v>
      </c>
      <c r="V40" s="7" t="s">
        <v>33</v>
      </c>
      <c r="W40" s="6" t="s">
        <v>1389</v>
      </c>
      <c r="X40" s="7" t="s">
        <v>34</v>
      </c>
      <c r="Y40" s="6" t="s">
        <v>1390</v>
      </c>
      <c r="Z40" s="7" t="s">
        <v>34</v>
      </c>
      <c r="AA40" s="6" t="s">
        <v>1391</v>
      </c>
      <c r="AB40" s="6" t="s">
        <v>1392</v>
      </c>
      <c r="AC40" s="6" t="s">
        <v>355</v>
      </c>
    </row>
    <row r="41" ht="22.5" customHeight="1">
      <c r="A41" s="11" t="str">
        <f>REGEXEXTRACT(D41, "\d{4}\.\s(.*?)\.\sProc\. ACM")"),"Large-Scale Indoor Localization via Outdoor Crowdsourcing Trajectories on Ride-Hailing Platform</f>
        <v xml:space="preserve">Large-Scale Indoor Localization via Outdoor Crowdsourcing Trajectories on Ride-Hailing Platform</v>
      </c>
      <c r="B41" s="7">
        <f t="shared" si="32"/>
        <v>66</v>
      </c>
      <c r="C41" s="8" t="s">
        <v>1393</v>
      </c>
      <c r="D41" s="10" t="s">
        <v>1394</v>
      </c>
      <c r="E41" s="9">
        <v>45967</v>
      </c>
      <c r="F41" s="7">
        <v>2025</v>
      </c>
      <c r="G41" s="7" t="s">
        <v>1145</v>
      </c>
      <c r="H41" s="6" t="str">
        <f t="shared" si="29"/>
        <v>2025_Jun_066</v>
      </c>
      <c r="I41" s="12" t="str">
        <f t="shared" si="30"/>
        <v>https://doi.org/10.1145/3729498</v>
      </c>
      <c r="J41" s="7">
        <f>IF(D41:D42&lt;&gt;"", VALUE(REGEXEXTRACT(D41:D42, "(\d+)\s+pages")), )
</f>
        <v>23</v>
      </c>
      <c r="K41" s="6" t="s">
        <v>64</v>
      </c>
      <c r="L41" s="7" t="str">
        <f t="shared" si="33"/>
        <v>No</v>
      </c>
      <c r="M41" s="7" t="s">
        <v>34</v>
      </c>
      <c r="N41" s="7" t="s">
        <v>33</v>
      </c>
      <c r="O41" s="7" t="s">
        <v>34</v>
      </c>
      <c r="P41" s="6"/>
      <c r="Q41" s="6"/>
      <c r="R41" s="7" t="s">
        <v>33</v>
      </c>
      <c r="S41" s="7" t="s">
        <v>144</v>
      </c>
      <c r="T41" s="10" t="s">
        <v>1395</v>
      </c>
      <c r="U41" s="6" t="s">
        <v>1396</v>
      </c>
      <c r="V41" s="7" t="s">
        <v>34</v>
      </c>
      <c r="W41" s="6" t="s">
        <v>1397</v>
      </c>
      <c r="X41" s="7" t="s">
        <v>34</v>
      </c>
      <c r="Y41" s="6" t="s">
        <v>1398</v>
      </c>
      <c r="Z41" s="7" t="s">
        <v>34</v>
      </c>
      <c r="AA41" s="6" t="s">
        <v>1399</v>
      </c>
      <c r="AB41" s="6" t="s">
        <v>1400</v>
      </c>
      <c r="AC41" s="6" t="s">
        <v>355</v>
      </c>
    </row>
    <row r="42" ht="22.5" customHeight="1">
      <c r="A42" s="11" t="str">
        <f>REGEXEXTRACT(D42, "\d{4}\.\s(.*?)\.\sProc\. ACM")"),"Gesture Builder: Flexible Gesture Customization and Efficient Recognition on VR Devices</f>
        <v xml:space="preserve">Gesture Builder: Flexible Gesture Customization and Efficient Recognition on VR Devices</v>
      </c>
      <c r="B42" s="7">
        <f t="shared" si="32"/>
        <v>67</v>
      </c>
      <c r="C42" s="8" t="s">
        <v>1401</v>
      </c>
      <c r="D42" s="10" t="s">
        <v>1402</v>
      </c>
      <c r="E42" s="9">
        <v>45967</v>
      </c>
      <c r="F42" s="7">
        <v>2025</v>
      </c>
      <c r="G42" s="7" t="s">
        <v>1145</v>
      </c>
      <c r="H42" s="6" t="str">
        <f t="shared" si="29"/>
        <v>2025_Jun_067</v>
      </c>
      <c r="I42" s="12" t="str">
        <f t="shared" si="30"/>
        <v>https://doi.org/10.1145/3729484</v>
      </c>
      <c r="J42" s="7">
        <f>IF(D42&lt;&gt;"", VALUE(REGEXEXTRACT(D42, "(\d+)\s+pages")), )
</f>
        <v>37</v>
      </c>
      <c r="K42" s="6" t="s">
        <v>133</v>
      </c>
      <c r="L42" s="7" t="str">
        <f t="shared" si="33"/>
        <v>No</v>
      </c>
      <c r="M42" s="7" t="s">
        <v>33</v>
      </c>
      <c r="N42" s="7" t="s">
        <v>33</v>
      </c>
      <c r="O42" s="7" t="s">
        <v>33</v>
      </c>
      <c r="P42" s="10" t="s">
        <v>1403</v>
      </c>
      <c r="Q42" s="6" t="s">
        <v>1404</v>
      </c>
      <c r="R42" s="7" t="s">
        <v>33</v>
      </c>
      <c r="S42" s="7" t="s">
        <v>34</v>
      </c>
      <c r="T42" s="6"/>
      <c r="U42" s="6" t="s">
        <v>1405</v>
      </c>
      <c r="V42" s="7" t="s">
        <v>33</v>
      </c>
      <c r="W42" s="6" t="s">
        <v>1406</v>
      </c>
      <c r="X42" s="7" t="s">
        <v>34</v>
      </c>
      <c r="Y42" s="6" t="s">
        <v>1407</v>
      </c>
      <c r="Z42" s="7" t="s">
        <v>34</v>
      </c>
      <c r="AA42" s="6" t="s">
        <v>1408</v>
      </c>
      <c r="AB42" s="6" t="s">
        <v>1409</v>
      </c>
      <c r="AC42" s="6" t="s">
        <v>355</v>
      </c>
    </row>
  </sheetData>
  <conditionalFormatting sqref="P1:P9 T10 P11:P18 Q19 P20:P42 T21">
    <cfRule type="colorScale" priority="3">
      <colorScale>
        <cfvo type="min"/>
        <cfvo type="max"/>
        <color indexed="65"/>
        <color rgb="FF57BB8A"/>
      </colorScale>
    </cfRule>
  </conditionalFormatting>
  <dataValidations count="2" disablePrompts="0">
    <dataValidation sqref="A2:A42 H2:I42 K2:K42 P2:Q42 T2:U42 W2:W42 Y2:Y42 AA2:AB42" type="none" allowBlank="1" errorStyle="stop" imeMode="noControl" operator="between" showDropDown="1" showErrorMessage="0" showInputMessage="0"/>
    <dataValidation sqref="D2:D42" type="none" allowBlank="1" errorStyle="stop" imeMode="noControl" operator="between" showDropDown="1" showErrorMessage="0" showInputMessage="0"/>
  </dataValidations>
  <hyperlinks>
    <hyperlink r:id="rId1" ref="C2"/>
    <hyperlink r:id="rId2" ref="P2"/>
    <hyperlink r:id="rId3" ref="C3"/>
    <hyperlink r:id="rId4" ref="C4"/>
    <hyperlink r:id="rId5" ref="C5"/>
    <hyperlink r:id="rId6" ref="C6"/>
    <hyperlink r:id="rId7" ref="C7"/>
    <hyperlink r:id="rId8" ref="C8"/>
    <hyperlink r:id="rId9" ref="P8"/>
    <hyperlink r:id="rId10" ref="T8"/>
    <hyperlink r:id="rId11" ref="C9"/>
    <hyperlink r:id="rId12" ref="C10"/>
    <hyperlink r:id="rId13" ref="T10"/>
    <hyperlink r:id="rId14" ref="C11"/>
    <hyperlink r:id="rId15" ref="P11"/>
    <hyperlink r:id="rId16" ref="C12"/>
    <hyperlink r:id="rId17" ref="P12"/>
    <hyperlink r:id="rId18" ref="C13"/>
    <hyperlink r:id="rId19" ref="C14"/>
    <hyperlink r:id="rId20" ref="C15"/>
    <hyperlink r:id="rId21" ref="P15"/>
    <hyperlink r:id="rId21" ref="T15"/>
    <hyperlink r:id="rId22" ref="C16"/>
    <hyperlink r:id="rId23" ref="C17"/>
    <hyperlink r:id="rId24" ref="P17"/>
    <hyperlink r:id="rId24" ref="T17"/>
    <hyperlink r:id="rId25" ref="C18"/>
    <hyperlink r:id="rId26" ref="C19"/>
    <hyperlink r:id="rId27" ref="C20"/>
    <hyperlink r:id="rId28" ref="P20"/>
    <hyperlink r:id="rId29" ref="C21"/>
    <hyperlink r:id="rId30" ref="P21"/>
    <hyperlink r:id="rId30" ref="T21"/>
    <hyperlink r:id="rId31" ref="C22"/>
    <hyperlink r:id="rId32" ref="C23"/>
    <hyperlink r:id="rId33" ref="C24"/>
    <hyperlink r:id="rId34" ref="C25"/>
    <hyperlink r:id="rId35" ref="T25"/>
    <hyperlink r:id="rId36" ref="C26"/>
    <hyperlink r:id="rId37" ref="T26"/>
    <hyperlink r:id="rId38" ref="C27"/>
    <hyperlink r:id="rId39" ref="C28"/>
    <hyperlink r:id="rId40" ref="C29"/>
    <hyperlink r:id="rId41" ref="C30"/>
    <hyperlink r:id="rId42" ref="C31"/>
    <hyperlink r:id="rId43" ref="C32"/>
    <hyperlink r:id="rId44" ref="D32"/>
    <hyperlink r:id="rId45" ref="C33"/>
    <hyperlink r:id="rId46" ref="D33"/>
    <hyperlink r:id="rId47" ref="C34"/>
    <hyperlink r:id="rId48" ref="D34"/>
    <hyperlink r:id="rId49" ref="C35"/>
    <hyperlink r:id="rId50" ref="D35"/>
    <hyperlink r:id="rId51" ref="P35"/>
    <hyperlink r:id="rId52" ref="T35"/>
    <hyperlink r:id="rId53" ref="C36"/>
    <hyperlink r:id="rId54" ref="D36"/>
    <hyperlink r:id="rId55" ref="P36"/>
    <hyperlink r:id="rId56" ref="C37"/>
    <hyperlink r:id="rId57" ref="D37"/>
    <hyperlink r:id="rId58" ref="C38"/>
    <hyperlink r:id="rId59" ref="D38"/>
    <hyperlink r:id="rId60" ref="P38"/>
    <hyperlink r:id="rId60" ref="T38"/>
    <hyperlink r:id="rId61" ref="AB38"/>
    <hyperlink r:id="rId62" ref="C39"/>
    <hyperlink r:id="rId63" ref="D39"/>
    <hyperlink r:id="rId64" ref="T39"/>
    <hyperlink r:id="rId65" ref="C40"/>
    <hyperlink r:id="rId66" ref="D40"/>
    <hyperlink r:id="rId67" ref="C41"/>
    <hyperlink r:id="rId68" ref="D41"/>
    <hyperlink r:id="rId69" ref="T41"/>
    <hyperlink r:id="rId70" ref="C42"/>
    <hyperlink r:id="rId71" ref="D42"/>
    <hyperlink r:id="rId72" ref="P42"/>
  </hyperlinks>
  <printOptions headings="0" gridLines="1" horizontalCentered="1"/>
  <pageMargins left="0.25" right="0.25" top="0.75" bottom="0.75" header="0" footer="0"/>
  <pageSetup paperSize="9" scale="100" fitToWidth="1" fitToHeight="0" pageOrder="overThenDown" orientation="landscape" usePrinterDefaults="1" blackAndWhite="0" draft="0" cellComments="atEnd" useFirstPageNumber="0" errors="displayed" horizontalDpi="600" verticalDpi="600" copies="1"/>
  <headerFooter/>
  <tableParts count="1">
    <tablePart r:id="rId73"/>
  </tableParts>
  <extLst>
    <ext xmlns:x14="http://schemas.microsoft.com/office/spreadsheetml/2009/9/main" uri="{78C0D931-6437-407d-A8EE-F0AAD7539E65}">
      <x14:conditionalFormattings>
        <x14:conditionalFormatting xmlns:xm="http://schemas.microsoft.com/office/excel/2006/main">
          <x14:cfRule type="expression" priority="1" id="{1B2F7EFC-07B9-4335-8D36-CF91F518CAB1}">
            <xm:f>AND(REGEXMATCH($O10,"^(Yes|Partially)$"), ISBLANK($T10))</xm:f>
            <x14:dxf>
              <font/>
              <fill>
                <patternFill patternType="solid">
                  <fgColor rgb="FFE68282"/>
                  <bgColor rgb="FFE68282"/>
                </patternFill>
              </fill>
              <border>
                <left/>
                <right/>
                <top/>
                <bottom/>
                <diagonal/>
              </border>
            </x14:dxf>
          </x14:cfRule>
          <xm:sqref>T10</xm:sqref>
        </x14:conditionalFormatting>
        <x14:conditionalFormatting xmlns:xm="http://schemas.microsoft.com/office/excel/2006/main">
          <x14:cfRule type="expression" priority="2" id="{40E3AEF4-7BEC-4A86-959C-134BF4167CCE}">
            <xm:f>AND(REGEXMATCH($O19,"^(Yes|Partially)$"), ISBLANK($Q19))</xm:f>
            <x14:dxf>
              <font/>
              <fill>
                <patternFill patternType="solid">
                  <fgColor rgb="FFE68282"/>
                  <bgColor rgb="FFE68282"/>
                </patternFill>
              </fill>
              <border>
                <left/>
                <right/>
                <top/>
                <bottom/>
                <diagonal/>
              </border>
            </x14:dxf>
          </x14:cfRule>
          <xm:sqref>Q19</xm:sqref>
        </x14:conditionalFormatting>
        <x14:conditionalFormatting xmlns:xm="http://schemas.microsoft.com/office/excel/2006/main">
          <x14:cfRule type="expression" priority="4" id="{23320572-2AE4-44AC-92DE-317F2ADC7824}">
            <xm:f>AND(REGEXMATCH($O2,"^(Yes|Partially)$"), ISBLANK($P2))</xm:f>
            <x14:dxf>
              <font/>
              <fill>
                <patternFill patternType="solid">
                  <fgColor rgb="FFE68282"/>
                  <bgColor rgb="FFE68282"/>
                </patternFill>
              </fill>
              <border>
                <left/>
                <right/>
                <top/>
                <bottom/>
                <diagonal/>
              </border>
            </x14:dxf>
          </x14:cfRule>
          <xm:sqref>P2:P9 P11:P18 P20:P42 T21</xm:sqref>
        </x14:conditionalFormatting>
        <x14:conditionalFormatting xmlns:xm="http://schemas.microsoft.com/office/excel/2006/main">
          <x14:cfRule type="expression" priority="5" id="{96C233DA-B4D7-457E-8EFF-870D2E007147}">
            <xm:f>AND(REGEXMATCH($S2,"^(Yes|Partially)$"), ISBLANK($T2))</xm:f>
            <x14:dxf>
              <font/>
              <fill>
                <patternFill patternType="solid">
                  <fgColor rgb="FFE68282"/>
                  <bgColor rgb="FFE68282"/>
                </patternFill>
              </fill>
              <border>
                <left/>
                <right/>
                <top/>
                <bottom/>
                <diagonal/>
              </border>
            </x14:dxf>
          </x14:cfRule>
          <xm:sqref>T2:T9 T11:T42</xm:sqref>
        </x14:conditionalFormatting>
        <x14:conditionalFormatting xmlns:xm="http://schemas.microsoft.com/office/excel/2006/main">
          <x14:cfRule type="expression" priority="6" id="{CD2BC346-28B7-4F22-A731-7FBB61AC8098}">
            <xm:f>AND($V2="Yes", ISBLANK($W2))</xm:f>
            <x14:dxf>
              <font/>
              <fill>
                <patternFill patternType="solid">
                  <fgColor rgb="FFE68282"/>
                  <bgColor rgb="FFE68282"/>
                </patternFill>
              </fill>
              <border>
                <left/>
                <right/>
                <top/>
                <bottom/>
                <diagonal/>
              </border>
            </x14:dxf>
          </x14:cfRule>
          <xm:sqref>W2:W42</xm:sqref>
        </x14:conditionalFormatting>
        <x14:conditionalFormatting xmlns:xm="http://schemas.microsoft.com/office/excel/2006/main">
          <x14:cfRule type="expression" priority="7" id="{E1B30601-3498-4F72-A365-DAC101F764EE}">
            <xm:f>AND($X2="Yes", ISBLANK($Y2))</xm:f>
            <x14:dxf>
              <font/>
              <fill>
                <patternFill patternType="solid">
                  <fgColor rgb="FFE68282"/>
                  <bgColor rgb="FFE68282"/>
                </patternFill>
              </fill>
              <border>
                <left/>
                <right/>
                <top/>
                <bottom/>
                <diagonal/>
              </border>
            </x14:dxf>
          </x14:cfRule>
          <xm:sqref>Y2:Y42</xm:sqref>
        </x14:conditionalFormatting>
      </x14:conditionalFormattings>
    </ext>
    <ext xmlns:x14="http://schemas.microsoft.com/office/spreadsheetml/2009/9/main" uri="{CCE6A557-97BC-4b89-ADB6-D9C93CAAB3DF}">
      <x14:dataValidations xmlns:xm="http://schemas.microsoft.com/office/excel/2006/main" count="10" disablePrompts="0">
        <x14:dataValidation xr:uid="{38CD7512-7A53-4B84-BF16-CD50C64F3222}" type="list" allowBlank="1" errorStyle="stop" imeMode="noControl" operator="between" showDropDown="0" showErrorMessage="0" showInputMessage="0">
          <x14:formula1>
            <xm:f>"Yes,No"</xm:f>
          </x14:formula1>
          <xm:sqref>L2:L42</xm:sqref>
        </x14:dataValidation>
        <x14:dataValidation xr:uid="{460FCF67-89D4-4F3C-B770-81F341C28DB5}" type="list" allowBlank="1" errorStyle="stop" imeMode="noControl" operator="between" showDropDown="0" showErrorMessage="0" showInputMessage="0">
          <x14:formula1>
            <xm:f>"Yes,No,Unknown"</xm:f>
          </x14:formula1>
          <xm:sqref>R2:R42</xm:sqref>
        </x14:dataValidation>
        <x14:dataValidation xr:uid="{B2BC9903-6870-48FE-AB77-BA852C4764C6}" type="list" allowBlank="1" errorStyle="stop" imeMode="noControl" operator="between" showDropDown="0" showErrorMessage="0" showInputMessage="0">
          <x14:formula1>
            <xm:f>"Yes,No,Unknown"</xm:f>
          </x14:formula1>
          <xm:sqref>N2:N42</xm:sqref>
        </x14:dataValidation>
        <x14:dataValidation xr:uid="{51AD19A9-06BB-4624-918A-A440CCD5680C}" type="list" allowBlank="1" errorStyle="stop" imeMode="noControl" operator="between" showDropDown="0" showErrorMessage="0" showInputMessage="0">
          <x14:formula1>
            <xm:f>"Yes,No,Partially,Unknown,N/A"</xm:f>
          </x14:formula1>
          <xm:sqref>Z2:Z42</xm:sqref>
        </x14:dataValidation>
        <x14:dataValidation xr:uid="{8EEEDF2B-A89F-448C-ADA8-51FF37F1144F}" type="custom" allowBlank="1" errorStyle="stop" imeMode="noControl" operator="between" showDropDown="1" showErrorMessage="0" showInputMessage="0">
          <x14:formula1>
            <xm:f>AND(ISNUMBER(B2),(NOT(OR(NOT(ISERROR(DATEVALUE(B2))), AND(ISNUMBER(B2), LEFT(CELL("format", B2))="D")))))</xm:f>
          </x14:formula1>
          <xm:sqref>B2:B42 F2:F42 J2:J42</xm:sqref>
        </x14:dataValidation>
        <x14:dataValidation xr:uid="{5488F099-BD31-4891-BCDD-63B4B66B736D}" type="custom" allowBlank="1" errorStyle="stop" imeMode="noControl" operator="between" showDropDown="1" showErrorMessage="0" showInputMessage="0">
          <x14:formula1>
            <xm:f>OR(NOT(ISERROR(DATEVALUE(E2))), AND(ISNUMBER(E2), LEFT(CELL("format", E2))="D"))</xm:f>
          </x14:formula1>
          <xm:sqref>E2:E42</xm:sqref>
        </x14:dataValidation>
        <x14:dataValidation xr:uid="{DB71B745-745B-4EE5-B140-A31B58B3A26B}" type="list" allowBlank="1" errorStyle="stop" imeMode="noControl" operator="between" showDropDown="0" showErrorMessage="0" showInputMessage="0">
          <x14:formula1>
            <xm:f>"Yes,No,Unknown"</xm:f>
          </x14:formula1>
          <xm:sqref>M2:M42</xm:sqref>
        </x14:dataValidation>
        <x14:dataValidation xr:uid="{70381E81-1999-4A6E-9141-5F65846906C2}" type="list" allowBlank="1" errorStyle="stop" imeMode="noControl" operator="between" showDropDown="0" showErrorMessage="0" showInputMessage="0">
          <x14:formula1>
            <xm:f>"Yes,No,Unknown,N/A"</xm:f>
          </x14:formula1>
          <xm:sqref>V2:V42 X2:X42</xm:sqref>
        </x14:dataValidation>
        <x14:dataValidation xr:uid="{895A2486-9AB8-42C4-985F-CA3537BF682C}" type="list" allowBlank="1" errorStyle="stop" imeMode="noControl" operator="between" showDropDown="0" showErrorMessage="0" showInputMessage="0">
          <x14:formula1>
            <xm:f>"Yes,No,Partially,Unknown,N/A,Upon_request"</xm:f>
          </x14:formula1>
          <xm:sqref>O2:O42 S2:S42</xm:sqref>
        </x14:dataValidation>
        <x14:dataValidation xr:uid="{C47E0534-71E7-41C0-9DD5-080C898AA0BD}" type="list" allowBlank="1" errorStyle="stop" imeMode="noControl" operator="between" showDropDown="0" showErrorMessage="0" showInputMessage="0">
          <x14:formula1>
            <xm:f>"Mar,Jun,Sep,Dec"</xm:f>
          </x14:formula1>
          <xm:sqref>G2:G42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1"/>
  </sheetPr>
  <sheetViews>
    <sheetView zoomScale="100" workbookViewId="0">
      <pane xSplit="2" ySplit="1" topLeftCell="C2" activePane="bottomRight" state="frozen"/>
      <selection activeCell="C2" activeCellId="0" sqref="C2"/>
    </sheetView>
  </sheetViews>
  <sheetFormatPr defaultColWidth="12.630000000000001" defaultRowHeight="15.75" customHeight="1"/>
  <cols>
    <col customWidth="1" min="1" max="1" width="24.25"/>
    <col customWidth="1" min="2" max="2" width="20.129999999999999"/>
    <col customWidth="1" min="3" max="3" width="21"/>
    <col customWidth="1" min="4" max="4" width="14.75"/>
    <col customWidth="1" min="6" max="6" width="11.880000000000001"/>
    <col customWidth="1" min="7" max="7" width="12.630000000000001"/>
    <col customWidth="1" min="8" max="8" width="15.130000000000001"/>
    <col customWidth="1" min="9" max="9" width="28"/>
    <col customWidth="1" min="10" max="10" width="18.879999999999999"/>
    <col customWidth="1" min="11" max="11" width="36.75"/>
    <col customWidth="1" min="12" max="12" width="21.379999999999999"/>
    <col customWidth="1" min="13" max="13" width="18.879999999999999"/>
    <col customWidth="1" min="14" max="14" width="19.879999999999999"/>
    <col customWidth="1" min="15" max="16" width="19.75"/>
    <col customWidth="1" min="17" max="17" width="34.5"/>
    <col customWidth="1" min="18" max="18" width="19"/>
    <col customWidth="1" min="19" max="19" width="19.379999999999999"/>
    <col customWidth="1" min="20" max="21" width="19.75"/>
    <col customWidth="1" min="22" max="22" width="22.629999999999999"/>
    <col customWidth="1" min="23" max="23" width="32.630000000000003"/>
    <col customWidth="1" min="24" max="24" width="22.629999999999999"/>
    <col customWidth="1" min="25" max="25" width="25.5"/>
    <col customWidth="1" min="26" max="26" width="27.25"/>
    <col customWidth="1" min="27" max="27" width="39.25"/>
    <col customWidth="1" min="28" max="29" width="34.130000000000003"/>
  </cols>
  <sheetData>
    <row r="1" ht="22.5" customHeight="1">
      <c r="A1" s="1" t="s">
        <v>0</v>
      </c>
      <c r="B1" s="2" t="s">
        <v>1</v>
      </c>
      <c r="C1" s="3" t="s">
        <v>2</v>
      </c>
      <c r="D1" s="3" t="s">
        <v>3</v>
      </c>
      <c r="E1" s="3" t="s">
        <v>4</v>
      </c>
      <c r="F1" s="2" t="s">
        <v>5</v>
      </c>
      <c r="G1" s="2" t="s">
        <v>6</v>
      </c>
      <c r="H1" s="2" t="s">
        <v>7</v>
      </c>
      <c r="I1" s="2" t="s">
        <v>8</v>
      </c>
      <c r="J1" s="2" t="s">
        <v>9</v>
      </c>
      <c r="K1" s="2" t="s">
        <v>10</v>
      </c>
      <c r="L1" s="2" t="s">
        <v>11</v>
      </c>
      <c r="M1" s="2" t="s">
        <v>12</v>
      </c>
      <c r="N1" s="4" t="s">
        <v>13</v>
      </c>
      <c r="O1" s="4" t="s">
        <v>14</v>
      </c>
      <c r="P1" s="4" t="s">
        <v>15</v>
      </c>
      <c r="Q1" s="4" t="s">
        <v>16</v>
      </c>
      <c r="R1" s="5" t="s">
        <v>17</v>
      </c>
      <c r="S1" s="5" t="s">
        <v>18</v>
      </c>
      <c r="T1" s="5" t="s">
        <v>19</v>
      </c>
      <c r="U1" s="5" t="s">
        <v>20</v>
      </c>
      <c r="V1" s="2" t="s">
        <v>21</v>
      </c>
      <c r="W1" s="3" t="s">
        <v>22</v>
      </c>
      <c r="X1" s="2" t="s">
        <v>23</v>
      </c>
      <c r="Y1" s="3" t="s">
        <v>24</v>
      </c>
      <c r="Z1" s="2" t="s">
        <v>25</v>
      </c>
      <c r="AA1" s="3" t="s">
        <v>26</v>
      </c>
      <c r="AB1" s="3" t="s">
        <v>27</v>
      </c>
      <c r="AC1" s="3" t="s">
        <v>28</v>
      </c>
    </row>
    <row r="2" ht="22.5" customHeight="1">
      <c r="A2" s="11" t="str">
        <f>REGEXEXTRACT(D2, "\d{4}\.\s(.*?)\.\sProc\. ACM")"),"DiversityOne: A Multi-Country Smartphone Sensor Dataset for Everyday Life Behavior Modeling</f>
        <v xml:space="preserve">DiversityOne: A Multi-Country Smartphone Sensor Dataset for Everyday Life Behavior Modeling</v>
      </c>
      <c r="B2" s="7">
        <f t="shared" ref="B2:B9" si="34">IFERROR(VALUE(REGEXEXTRACT(D2,"Article\s+(\d+)")),"")
</f>
        <v>1</v>
      </c>
      <c r="C2" s="8" t="s">
        <v>1410</v>
      </c>
      <c r="D2" s="10" t="s">
        <v>1411</v>
      </c>
      <c r="E2" s="9">
        <v>45987</v>
      </c>
      <c r="F2" s="7">
        <v>2025</v>
      </c>
      <c r="G2" s="7" t="s">
        <v>1412</v>
      </c>
      <c r="H2" s="6" t="str">
        <f t="shared" ref="H2:H27" si="35">TEXT($F2,"0000") &amp; "_" &amp; $G2 &amp; "_" &amp; TEXT($B2,"000")</f>
        <v>2025_Mar_001</v>
      </c>
      <c r="I2" s="12" t="str">
        <f t="shared" ref="I2:I27" si="36">CONCATENATE("https",RIGHT(D2,LEN(D2) - (FIND("://",D2) - 1)))</f>
        <v>https://doi.org/10.1145/3712289</v>
      </c>
      <c r="J2" s="7">
        <f>IF(D2:D27&lt;&gt;"", VALUE(REGEXEXTRACT(D2:D27, "(\d+)\s+pages")), )
</f>
        <v>49</v>
      </c>
      <c r="K2" s="6" t="s">
        <v>741</v>
      </c>
      <c r="L2" s="7" t="str">
        <f>IF(REGEXMATCH(LOWER($A2),"(^|[^a-z])dataset(s)?([^a-z]|$)"),"Yes","No")"),"Yes</f>
        <v>Yes</v>
      </c>
      <c r="M2" s="7" t="s">
        <v>33</v>
      </c>
      <c r="N2" s="7" t="s">
        <v>34</v>
      </c>
      <c r="O2" s="7" t="s">
        <v>34</v>
      </c>
      <c r="P2" s="6"/>
      <c r="Q2" s="6" t="s">
        <v>1413</v>
      </c>
      <c r="R2" s="7" t="s">
        <v>33</v>
      </c>
      <c r="S2" s="7" t="s">
        <v>55</v>
      </c>
      <c r="T2" s="10" t="s">
        <v>1414</v>
      </c>
      <c r="U2" s="6" t="s">
        <v>1415</v>
      </c>
      <c r="V2" s="7" t="s">
        <v>34</v>
      </c>
      <c r="W2" s="6"/>
      <c r="X2" s="7" t="s">
        <v>34</v>
      </c>
      <c r="Y2" s="13"/>
      <c r="Z2" s="7" t="s">
        <v>33</v>
      </c>
      <c r="AA2" s="6" t="s">
        <v>1416</v>
      </c>
      <c r="AB2" s="6" t="s">
        <v>1417</v>
      </c>
      <c r="AC2" s="6" t="s">
        <v>39</v>
      </c>
    </row>
    <row r="3" ht="22.5" customHeight="1">
      <c r="A3" s="11" t="str">
        <f>REGEXEXTRACT(D3, "\d{4}\.\s(.*?)\.\sProc\. ACM")"),"Moss: Proxy Model-based Full-Weight Aggregation in Federated Learning with Heterogeneous Models</f>
        <v xml:space="preserve">Moss: Proxy Model-based Full-Weight Aggregation in Federated Learning with Heterogeneous Models</v>
      </c>
      <c r="B3" s="7">
        <f t="shared" si="34"/>
        <v>2</v>
      </c>
      <c r="C3" s="47" t="s">
        <v>1418</v>
      </c>
      <c r="D3" s="6" t="s">
        <v>1419</v>
      </c>
      <c r="E3" s="9">
        <v>45987</v>
      </c>
      <c r="F3" s="7">
        <v>2025</v>
      </c>
      <c r="G3" s="7" t="s">
        <v>1412</v>
      </c>
      <c r="H3" s="6" t="str">
        <f t="shared" si="35"/>
        <v>2025_Mar_002</v>
      </c>
      <c r="I3" s="12" t="str">
        <f t="shared" si="36"/>
        <v>https://doi.org/10.1145/3712274</v>
      </c>
      <c r="J3" s="7">
        <f>IF(D3:D27&lt;&gt;"", VALUE(REGEXEXTRACT(D3:D27, "(\d+)\s+pages")), )
</f>
        <v>31</v>
      </c>
      <c r="K3" s="6" t="s">
        <v>71</v>
      </c>
      <c r="L3" s="7" t="str">
        <f t="shared" ref="L3:L9" si="37">IF(REGEXMATCH(LOWER($A3),"(^|[^a-z])dataset(s)?([^a-z]|$)"),"Yes","No")"),"No</f>
        <v>No</v>
      </c>
      <c r="M3" s="7" t="s">
        <v>34</v>
      </c>
      <c r="N3" s="7" t="s">
        <v>33</v>
      </c>
      <c r="O3" s="7" t="s">
        <v>34</v>
      </c>
      <c r="P3" s="6"/>
      <c r="Q3" s="6" t="s">
        <v>1420</v>
      </c>
      <c r="R3" s="7" t="s">
        <v>33</v>
      </c>
      <c r="S3" s="7" t="s">
        <v>33</v>
      </c>
      <c r="T3" s="6"/>
      <c r="U3" s="6" t="s">
        <v>1421</v>
      </c>
      <c r="V3" s="7" t="s">
        <v>33</v>
      </c>
      <c r="W3" s="6" t="s">
        <v>1422</v>
      </c>
      <c r="X3" s="7" t="s">
        <v>34</v>
      </c>
      <c r="Y3" s="6" t="s">
        <v>1423</v>
      </c>
      <c r="Z3" s="7" t="s">
        <v>34</v>
      </c>
      <c r="AA3" s="6"/>
      <c r="AB3" s="6" t="s">
        <v>1424</v>
      </c>
      <c r="AC3" s="6" t="s">
        <v>39</v>
      </c>
    </row>
    <row r="4" ht="22.5" customHeight="1">
      <c r="A4" s="11" t="str">
        <f>REGEXEXTRACT(D4, "\d{4}\.\s(.*?)\.\sProc\. ACM")"),"Graph-based Fingerprint Update Using Unlabelled WiFi Signals</f>
        <v xml:space="preserve">Graph-based Fingerprint Update Using Unlabelled WiFi Signals</v>
      </c>
      <c r="B4" s="7">
        <f t="shared" si="34"/>
        <v>3</v>
      </c>
      <c r="C4" s="8" t="s">
        <v>1425</v>
      </c>
      <c r="D4" s="6" t="s">
        <v>1426</v>
      </c>
      <c r="E4" s="9">
        <v>45987</v>
      </c>
      <c r="F4" s="7">
        <v>2025</v>
      </c>
      <c r="G4" s="7" t="s">
        <v>1412</v>
      </c>
      <c r="H4" s="6" t="str">
        <f t="shared" si="35"/>
        <v>2025_Mar_003</v>
      </c>
      <c r="I4" s="12" t="str">
        <f t="shared" si="36"/>
        <v>https://doi.org/10.1145/3712277</v>
      </c>
      <c r="J4" s="7">
        <f>IF(D4:D27&lt;&gt;"", VALUE(REGEXEXTRACT(D4:D27, "(\d+)\s+pages")), )
</f>
        <v>26</v>
      </c>
      <c r="K4" s="6" t="s">
        <v>71</v>
      </c>
      <c r="L4" s="7" t="str">
        <f t="shared" si="37"/>
        <v>No</v>
      </c>
      <c r="M4" s="7" t="s">
        <v>34</v>
      </c>
      <c r="N4" s="7" t="s">
        <v>33</v>
      </c>
      <c r="O4" s="7" t="s">
        <v>33</v>
      </c>
      <c r="P4" s="10" t="s">
        <v>1427</v>
      </c>
      <c r="Q4" s="6"/>
      <c r="R4" s="7" t="s">
        <v>33</v>
      </c>
      <c r="S4" s="7" t="s">
        <v>33</v>
      </c>
      <c r="T4" s="10" t="s">
        <v>1427</v>
      </c>
      <c r="U4" s="6" t="s">
        <v>1428</v>
      </c>
      <c r="V4" s="7" t="s">
        <v>34</v>
      </c>
      <c r="W4" s="6"/>
      <c r="X4" s="7" t="s">
        <v>34</v>
      </c>
      <c r="Y4" s="13"/>
      <c r="Z4" s="7" t="s">
        <v>33</v>
      </c>
      <c r="AA4" s="6" t="s">
        <v>1429</v>
      </c>
      <c r="AB4" s="6" t="s">
        <v>1430</v>
      </c>
      <c r="AC4" s="6" t="s">
        <v>39</v>
      </c>
    </row>
    <row r="5" ht="22.5" customHeight="1">
      <c r="A5" s="11" t="str">
        <f>REGEXEXTRACT(D5, "\d{4}\.\s(.*?)\.\sProc\. ACM")"),"MC-LoRa: Multi-node Concurrent Localization for LoRaWAN Indoors and Outdoors</f>
        <v xml:space="preserve">MC-LoRa: Multi-node Concurrent Localization for LoRaWAN Indoors and Outdoors</v>
      </c>
      <c r="B5" s="7">
        <f t="shared" si="34"/>
        <v>4</v>
      </c>
      <c r="C5" s="8" t="s">
        <v>1431</v>
      </c>
      <c r="D5" s="6" t="s">
        <v>1432</v>
      </c>
      <c r="E5" s="9">
        <v>45987</v>
      </c>
      <c r="F5" s="7">
        <v>2025</v>
      </c>
      <c r="G5" s="35" t="s">
        <v>1412</v>
      </c>
      <c r="H5" s="6" t="str">
        <f t="shared" si="35"/>
        <v>2025_Mar_004</v>
      </c>
      <c r="I5" s="12" t="str">
        <f t="shared" si="36"/>
        <v>https://doi.org/10.1145/3712279</v>
      </c>
      <c r="J5" s="7">
        <f>IF(D5:D27&lt;&gt;"", VALUE(REGEXEXTRACT(D5:D27, "(\d+)\s+pages")), )
</f>
        <v>32</v>
      </c>
      <c r="K5" s="6" t="s">
        <v>71</v>
      </c>
      <c r="L5" s="7" t="str">
        <f t="shared" si="37"/>
        <v>No</v>
      </c>
      <c r="M5" s="7" t="s">
        <v>34</v>
      </c>
      <c r="N5" s="7" t="s">
        <v>33</v>
      </c>
      <c r="O5" s="7" t="s">
        <v>34</v>
      </c>
      <c r="P5" s="6"/>
      <c r="Q5" s="6" t="s">
        <v>1433</v>
      </c>
      <c r="R5" s="7" t="s">
        <v>34</v>
      </c>
      <c r="S5" s="7" t="s">
        <v>34</v>
      </c>
      <c r="T5" s="6"/>
      <c r="U5" s="6"/>
      <c r="V5" s="7" t="s">
        <v>33</v>
      </c>
      <c r="W5" s="6" t="s">
        <v>1434</v>
      </c>
      <c r="X5" s="7" t="s">
        <v>33</v>
      </c>
      <c r="Y5" s="6" t="s">
        <v>1435</v>
      </c>
      <c r="Z5" s="7" t="s">
        <v>34</v>
      </c>
      <c r="AA5" s="6"/>
      <c r="AB5" s="6" t="s">
        <v>1436</v>
      </c>
      <c r="AC5" s="6" t="s">
        <v>39</v>
      </c>
    </row>
    <row r="6" ht="22.5" customHeight="1">
      <c r="A6" s="11" t="str">
        <f>REGEXEXTRACT(D6, "\d{4}\.\s(.*?)\.\sProc\. ACM")"),"The House That Saves Me? Assessing the Role of Smart Home Automation in Warning Scenarios</f>
        <v xml:space="preserve">The House That Saves Me? Assessing the Role of Smart Home Automation in Warning Scenarios</v>
      </c>
      <c r="B6" s="7">
        <f t="shared" si="34"/>
        <v>5</v>
      </c>
      <c r="C6" s="8" t="s">
        <v>1437</v>
      </c>
      <c r="D6" s="6" t="s">
        <v>1438</v>
      </c>
      <c r="E6" s="9">
        <v>45987</v>
      </c>
      <c r="F6" s="7">
        <v>2025</v>
      </c>
      <c r="G6" s="7" t="s">
        <v>1412</v>
      </c>
      <c r="H6" s="6" t="str">
        <f t="shared" si="35"/>
        <v>2025_Mar_005</v>
      </c>
      <c r="I6" s="12" t="str">
        <f t="shared" si="36"/>
        <v>https://doi.org/10.1145/3712269</v>
      </c>
      <c r="J6" s="7">
        <f>IF(D6:D27&lt;&gt;"", VALUE(REGEXEXTRACT(D6:D27, "(\d+)\s+pages")), )
</f>
        <v>32</v>
      </c>
      <c r="K6" s="6" t="s">
        <v>42</v>
      </c>
      <c r="L6" s="7" t="str">
        <f t="shared" si="37"/>
        <v>No</v>
      </c>
      <c r="M6" s="7" t="s">
        <v>34</v>
      </c>
      <c r="N6" s="7" t="s">
        <v>34</v>
      </c>
      <c r="O6" s="7" t="s">
        <v>35</v>
      </c>
      <c r="P6" s="6"/>
      <c r="Q6" s="6"/>
      <c r="R6" s="7" t="s">
        <v>34</v>
      </c>
      <c r="S6" s="7" t="s">
        <v>35</v>
      </c>
      <c r="T6" s="6"/>
      <c r="U6" s="6"/>
      <c r="V6" s="7" t="s">
        <v>35</v>
      </c>
      <c r="W6" s="6"/>
      <c r="X6" s="7" t="s">
        <v>35</v>
      </c>
      <c r="Y6" s="13"/>
      <c r="Z6" s="7" t="s">
        <v>35</v>
      </c>
      <c r="AA6" s="6"/>
      <c r="AB6" s="6"/>
      <c r="AC6" s="6" t="s">
        <v>39</v>
      </c>
    </row>
    <row r="7" ht="22.5" customHeight="1">
      <c r="A7" s="11" t="str">
        <f>REGEXEXTRACT(D7, "\d{4}\.\s(.*?)\.\sProc\. ACM")"),"MagKey: Empowering Wearables with Ballistocardiography-based Key Generation through Magnetic Field Vibration Sensing</f>
        <v xml:space="preserve">MagKey: Empowering Wearables with Ballistocardiography-based Key Generation through Magnetic Field Vibration Sensing</v>
      </c>
      <c r="B7" s="7">
        <f t="shared" si="34"/>
        <v>6</v>
      </c>
      <c r="C7" s="8" t="s">
        <v>1439</v>
      </c>
      <c r="D7" s="6" t="s">
        <v>1440</v>
      </c>
      <c r="E7" s="9">
        <v>45987</v>
      </c>
      <c r="F7" s="7">
        <v>2025</v>
      </c>
      <c r="G7" s="7" t="s">
        <v>1412</v>
      </c>
      <c r="H7" s="6" t="str">
        <f t="shared" si="35"/>
        <v>2025_Mar_006</v>
      </c>
      <c r="I7" s="12" t="str">
        <f t="shared" si="36"/>
        <v>https://doi.org/10.1145/3712272</v>
      </c>
      <c r="J7" s="7">
        <f>IF(D7:D27&lt;&gt;"", VALUE(REGEXEXTRACT(D7:D27, "(\d+)\s+pages")), )
</f>
        <v>28</v>
      </c>
      <c r="K7" s="6" t="s">
        <v>45</v>
      </c>
      <c r="L7" s="7" t="str">
        <f t="shared" si="37"/>
        <v>No</v>
      </c>
      <c r="M7" s="7" t="s">
        <v>34</v>
      </c>
      <c r="N7" s="7" t="s">
        <v>33</v>
      </c>
      <c r="O7" s="7" t="s">
        <v>34</v>
      </c>
      <c r="P7" s="6"/>
      <c r="Q7" s="6" t="s">
        <v>1441</v>
      </c>
      <c r="R7" s="7" t="s">
        <v>33</v>
      </c>
      <c r="S7" s="7" t="s">
        <v>34</v>
      </c>
      <c r="T7" s="6"/>
      <c r="U7" s="6" t="s">
        <v>1442</v>
      </c>
      <c r="V7" s="7" t="s">
        <v>33</v>
      </c>
      <c r="W7" s="6" t="s">
        <v>1443</v>
      </c>
      <c r="X7" s="7" t="s">
        <v>34</v>
      </c>
      <c r="Y7" s="13"/>
      <c r="Z7" s="7" t="s">
        <v>34</v>
      </c>
      <c r="AA7" s="6"/>
      <c r="AB7" s="6" t="s">
        <v>1444</v>
      </c>
      <c r="AC7" s="6" t="s">
        <v>39</v>
      </c>
    </row>
    <row r="8" ht="22.5" customHeight="1">
      <c r="A8" s="11" t="str">
        <f>REGEXEXTRACT(D8, "\d{4}\.\s(.*?)\.\sProc\. ACM")"),"Respiration Rate Estimation via Smartwatch-based Photoplethysmography and Accelerometer Data: A Transfer Learning Approach</f>
        <v xml:space="preserve">Respiration Rate Estimation via Smartwatch-based Photoplethysmography and Accelerometer Data: A Transfer Learning Approach</v>
      </c>
      <c r="B8" s="7">
        <f t="shared" si="34"/>
        <v>7</v>
      </c>
      <c r="C8" s="8" t="s">
        <v>1445</v>
      </c>
      <c r="D8" s="6" t="s">
        <v>1446</v>
      </c>
      <c r="E8" s="9">
        <v>45987</v>
      </c>
      <c r="F8" s="7">
        <v>2025</v>
      </c>
      <c r="G8" s="7" t="s">
        <v>1412</v>
      </c>
      <c r="H8" s="6" t="str">
        <f t="shared" si="35"/>
        <v>2025_Mar_007</v>
      </c>
      <c r="I8" s="12" t="str">
        <f t="shared" si="36"/>
        <v>https://doi.org/10.1145/3712280</v>
      </c>
      <c r="J8" s="7">
        <f>IF(D8:D27&lt;&gt;"", VALUE(REGEXEXTRACT(D8:D27, "(\d+)\s+pages")), )
</f>
        <v>24</v>
      </c>
      <c r="K8" s="6" t="s">
        <v>71</v>
      </c>
      <c r="L8" s="7" t="str">
        <f t="shared" si="37"/>
        <v>No</v>
      </c>
      <c r="M8" s="7" t="s">
        <v>33</v>
      </c>
      <c r="N8" s="7" t="s">
        <v>33</v>
      </c>
      <c r="O8" s="7" t="s">
        <v>33</v>
      </c>
      <c r="P8" s="10" t="s">
        <v>1447</v>
      </c>
      <c r="Q8" s="6"/>
      <c r="R8" s="7" t="s">
        <v>33</v>
      </c>
      <c r="S8" s="7" t="s">
        <v>33</v>
      </c>
      <c r="T8" s="10" t="s">
        <v>1447</v>
      </c>
      <c r="U8" s="6" t="s">
        <v>1448</v>
      </c>
      <c r="V8" s="7" t="s">
        <v>34</v>
      </c>
      <c r="W8" s="6"/>
      <c r="X8" s="7" t="s">
        <v>34</v>
      </c>
      <c r="Y8" s="13"/>
      <c r="Z8" s="7" t="s">
        <v>33</v>
      </c>
      <c r="AA8" s="6" t="s">
        <v>1449</v>
      </c>
      <c r="AB8" s="6" t="s">
        <v>1450</v>
      </c>
      <c r="AC8" s="6" t="s">
        <v>39</v>
      </c>
    </row>
    <row r="9" ht="22.5" customHeight="1">
      <c r="A9" s="11" t="str">
        <f>REGEXEXTRACT(D9, "\d{4}\.\s(.*?)\.\sProc\. ACM")"),"Watch Out! E-scooter Coming Through!: Multimodal Sensing of Mixed Traffic Use and Conflicts Through Riders' Ego-centric Views</f>
        <v xml:space="preserve">Watch Out! E-scooter Coming Through!: Multimodal Sensing of Mixed Traffic Use and Conflicts Through Riders' Ego-centric Views</v>
      </c>
      <c r="B9" s="7">
        <f t="shared" si="34"/>
        <v>8</v>
      </c>
      <c r="C9" s="8" t="s">
        <v>1451</v>
      </c>
      <c r="D9" s="6" t="s">
        <v>1452</v>
      </c>
      <c r="E9" s="9">
        <v>45987</v>
      </c>
      <c r="F9" s="7">
        <v>2025</v>
      </c>
      <c r="G9" s="7" t="s">
        <v>1412</v>
      </c>
      <c r="H9" s="6" t="str">
        <f t="shared" si="35"/>
        <v>2025_Mar_008</v>
      </c>
      <c r="I9" s="12" t="str">
        <f t="shared" si="36"/>
        <v>https://doi.org/10.1145/3712284</v>
      </c>
      <c r="J9" s="7">
        <f>IF(D9:D27&lt;&gt;"", VALUE(REGEXEXTRACT(D9:D27, "(\d+)\s+pages")), )
</f>
        <v>23</v>
      </c>
      <c r="K9" s="6" t="s">
        <v>741</v>
      </c>
      <c r="L9" s="7" t="str">
        <f t="shared" si="37"/>
        <v>No</v>
      </c>
      <c r="M9" s="7" t="s">
        <v>33</v>
      </c>
      <c r="N9" s="7" t="s">
        <v>33</v>
      </c>
      <c r="O9" s="7" t="s">
        <v>33</v>
      </c>
      <c r="P9" s="10" t="s">
        <v>1453</v>
      </c>
      <c r="Q9" s="6" t="s">
        <v>1454</v>
      </c>
      <c r="R9" s="7" t="s">
        <v>33</v>
      </c>
      <c r="S9" s="7" t="s">
        <v>33</v>
      </c>
      <c r="T9" s="10" t="s">
        <v>1453</v>
      </c>
      <c r="U9" s="6"/>
      <c r="V9" s="7" t="s">
        <v>34</v>
      </c>
      <c r="W9" s="6"/>
      <c r="X9" s="7" t="s">
        <v>34</v>
      </c>
      <c r="Y9" s="13"/>
      <c r="Z9" s="7" t="s">
        <v>33</v>
      </c>
      <c r="AA9" s="6" t="s">
        <v>1455</v>
      </c>
      <c r="AB9" s="6" t="s">
        <v>1456</v>
      </c>
      <c r="AC9" s="6" t="s">
        <v>39</v>
      </c>
    </row>
    <row r="10" ht="22.5" customHeight="1">
      <c r="A10" s="14" t="str">
        <f>REGEXEXTRACT(D10, "\d{4}\.\s(.*?)\.\sProc\. ACM")"),"Advancing Wearable BCI: Headphone EEG for Cognitive Load Detection in Lab and Field</f>
        <v xml:space="preserve">Advancing Wearable BCI: Headphone EEG for Cognitive Load Detection in Lab and Field</v>
      </c>
      <c r="B10" s="15">
        <f t="shared" ref="B10:B27" si="38">IFERROR(VALUE(REGEXEXTRACT(D10,"Article\s+(\d+)")),"")
</f>
        <v>9</v>
      </c>
      <c r="C10" s="16" t="s">
        <v>1457</v>
      </c>
      <c r="D10" s="17" t="s">
        <v>1458</v>
      </c>
      <c r="E10" s="18">
        <v>45987</v>
      </c>
      <c r="F10" s="15">
        <v>2025</v>
      </c>
      <c r="G10" s="15" t="s">
        <v>1412</v>
      </c>
      <c r="H10" s="17" t="str">
        <f t="shared" si="35"/>
        <v>2025_Mar_009</v>
      </c>
      <c r="I10" s="19" t="str">
        <f t="shared" si="36"/>
        <v>https://doi.org/10.1145/3712283</v>
      </c>
      <c r="J10" s="15">
        <f>IF(D10:D27&lt;&gt;"", VALUE(REGEXEXTRACT(D10:D27, "(\d+)\s+pages")), )
</f>
        <v>26</v>
      </c>
      <c r="K10" s="17" t="s">
        <v>42</v>
      </c>
      <c r="L10" s="15" t="str">
        <f t="shared" ref="L10:L27" si="39">IF(REGEXMATCH(LOWER($A10),"(^|[^a-z])dataset(s)?([^a-z]|$)"),"Yes","No")"),"No</f>
        <v>No</v>
      </c>
      <c r="M10" s="15" t="s">
        <v>33</v>
      </c>
      <c r="N10" s="15" t="s">
        <v>34</v>
      </c>
      <c r="O10" s="15" t="s">
        <v>35</v>
      </c>
      <c r="P10" s="17"/>
      <c r="Q10" s="17"/>
      <c r="R10" s="15" t="s">
        <v>34</v>
      </c>
      <c r="S10" s="15" t="s">
        <v>35</v>
      </c>
      <c r="T10" s="17"/>
      <c r="U10" s="17"/>
      <c r="V10" s="15" t="s">
        <v>35</v>
      </c>
      <c r="W10" s="17"/>
      <c r="X10" s="15" t="s">
        <v>35</v>
      </c>
      <c r="Y10" s="20"/>
      <c r="Z10" s="15" t="s">
        <v>35</v>
      </c>
      <c r="AA10" s="17"/>
      <c r="AB10" s="17"/>
      <c r="AC10" s="17" t="s">
        <v>39</v>
      </c>
    </row>
    <row r="11" ht="22.5" customHeight="1">
      <c r="A11" s="11" t="str">
        <f>REGEXEXTRACT(D11, "\d{4}\.\s(.*?)\.\sProc\. ACM")"),"HandSAW: Wearable Hand-based Event Recognition via On-Body Surface Acoustic Waves</f>
        <v xml:space="preserve">HandSAW: Wearable Hand-based Event Recognition via On-Body Surface Acoustic Waves</v>
      </c>
      <c r="B11" s="7">
        <f t="shared" si="38"/>
        <v>10</v>
      </c>
      <c r="C11" s="8" t="s">
        <v>1459</v>
      </c>
      <c r="D11" s="6" t="s">
        <v>1460</v>
      </c>
      <c r="E11" s="9">
        <v>45980</v>
      </c>
      <c r="F11" s="7">
        <v>2025</v>
      </c>
      <c r="G11" s="7" t="s">
        <v>1412</v>
      </c>
      <c r="H11" s="6" t="str">
        <f t="shared" si="35"/>
        <v>2025_Mar_010</v>
      </c>
      <c r="I11" s="12" t="str">
        <f t="shared" si="36"/>
        <v>https://doi.org/10.1145/3712276</v>
      </c>
      <c r="J11" s="7">
        <f>IF(D11:D27&lt;&gt;"", VALUE(REGEXEXTRACT(D11:D27, "(\d+)\s+pages")), )
</f>
        <v>29</v>
      </c>
      <c r="K11" s="6" t="s">
        <v>164</v>
      </c>
      <c r="L11" s="7" t="str">
        <f t="shared" si="39"/>
        <v>No</v>
      </c>
      <c r="M11" s="7" t="s">
        <v>33</v>
      </c>
      <c r="N11" s="7" t="s">
        <v>33</v>
      </c>
      <c r="O11" s="7" t="s">
        <v>34</v>
      </c>
      <c r="P11" s="6"/>
      <c r="Q11" s="6" t="s">
        <v>1461</v>
      </c>
      <c r="R11" s="7" t="s">
        <v>33</v>
      </c>
      <c r="S11" s="7" t="s">
        <v>34</v>
      </c>
      <c r="T11" s="6"/>
      <c r="U11" s="6" t="s">
        <v>1462</v>
      </c>
      <c r="V11" s="7" t="s">
        <v>33</v>
      </c>
      <c r="W11" s="6" t="s">
        <v>1463</v>
      </c>
      <c r="X11" s="7" t="s">
        <v>33</v>
      </c>
      <c r="Y11" s="6" t="s">
        <v>1464</v>
      </c>
      <c r="Z11" s="7" t="s">
        <v>34</v>
      </c>
      <c r="AA11" s="6"/>
      <c r="AB11" s="6" t="s">
        <v>1465</v>
      </c>
      <c r="AC11" s="6" t="s">
        <v>181</v>
      </c>
    </row>
    <row r="12" ht="22.5" customHeight="1">
      <c r="A12" s="11" t="str">
        <f>REGEXEXTRACT(D12, "\d{4}\.\s(.*?)\.\sProc\. ACM")"),"LGL-BCI: A Motor-Imagery-Based Brain-Computer Interface with Geometric Learning</f>
        <v xml:space="preserve">LGL-BCI: A Motor-Imagery-Based Brain-Computer Interface with Geometric Learning</v>
      </c>
      <c r="B12" s="7">
        <f t="shared" si="38"/>
        <v>11</v>
      </c>
      <c r="C12" s="8" t="s">
        <v>1466</v>
      </c>
      <c r="D12" s="6" t="s">
        <v>1467</v>
      </c>
      <c r="E12" s="9">
        <v>45980</v>
      </c>
      <c r="F12" s="7">
        <v>2025</v>
      </c>
      <c r="G12" s="7" t="s">
        <v>1412</v>
      </c>
      <c r="H12" s="6" t="str">
        <f t="shared" si="35"/>
        <v>2025_Mar_011</v>
      </c>
      <c r="I12" s="12" t="str">
        <f t="shared" si="36"/>
        <v>https://doi.org/10.1145/3699732</v>
      </c>
      <c r="J12" s="7">
        <f>IF(D12:D27&lt;&gt;"", VALUE(REGEXEXTRACT(D12:D27, "(\d+)\s+pages")), )
</f>
        <v>28</v>
      </c>
      <c r="K12" s="6" t="s">
        <v>64</v>
      </c>
      <c r="L12" s="7" t="str">
        <f t="shared" si="39"/>
        <v>No</v>
      </c>
      <c r="M12" s="7" t="s">
        <v>33</v>
      </c>
      <c r="N12" s="7" t="s">
        <v>33</v>
      </c>
      <c r="O12" s="7" t="s">
        <v>34</v>
      </c>
      <c r="P12" s="6"/>
      <c r="Q12" s="6" t="s">
        <v>1468</v>
      </c>
      <c r="R12" s="7" t="s">
        <v>94</v>
      </c>
      <c r="S12" s="7" t="s">
        <v>33</v>
      </c>
      <c r="T12" s="6"/>
      <c r="U12" s="6" t="s">
        <v>1469</v>
      </c>
      <c r="V12" s="7" t="s">
        <v>33</v>
      </c>
      <c r="W12" s="6" t="s">
        <v>1470</v>
      </c>
      <c r="X12" s="7" t="s">
        <v>33</v>
      </c>
      <c r="Y12" s="6" t="s">
        <v>1471</v>
      </c>
      <c r="Z12" s="7" t="s">
        <v>34</v>
      </c>
      <c r="AA12" s="6"/>
      <c r="AB12" s="6" t="s">
        <v>1472</v>
      </c>
      <c r="AC12" s="6" t="s">
        <v>181</v>
      </c>
    </row>
    <row r="13" ht="22.5" customHeight="1">
      <c r="A13" s="11" t="str">
        <f>REGEXEXTRACT(D13, "\d{4}\.\s(.*?)\.\sProc\. ACM")"),"Design and Evaluation of a Power Wheelchair-based Self-tracking System to Prevent Pressure Ulcers</f>
        <v xml:space="preserve">Design and Evaluation of a Power Wheelchair-based Self-tracking System to Prevent Pressure Ulcers</v>
      </c>
      <c r="B13" s="7">
        <f t="shared" si="38"/>
        <v>12</v>
      </c>
      <c r="C13" s="8" t="s">
        <v>1473</v>
      </c>
      <c r="D13" s="6" t="s">
        <v>1474</v>
      </c>
      <c r="E13" s="9">
        <v>45980</v>
      </c>
      <c r="F13" s="7">
        <v>2025</v>
      </c>
      <c r="G13" s="7" t="s">
        <v>1412</v>
      </c>
      <c r="H13" s="6" t="str">
        <f t="shared" si="35"/>
        <v>2025_Mar_012</v>
      </c>
      <c r="I13" s="12" t="str">
        <f t="shared" si="36"/>
        <v>https://doi.org/10.1145/3712273</v>
      </c>
      <c r="J13" s="7">
        <f>IF(D13:D27&lt;&gt;"", VALUE(REGEXEXTRACT(D13:D27, "(\d+)\s+pages")), )
</f>
        <v>27</v>
      </c>
      <c r="K13" s="6" t="s">
        <v>45</v>
      </c>
      <c r="L13" s="7" t="str">
        <f t="shared" si="39"/>
        <v>No</v>
      </c>
      <c r="M13" s="7" t="s">
        <v>33</v>
      </c>
      <c r="N13" s="7" t="s">
        <v>34</v>
      </c>
      <c r="O13" s="7" t="s">
        <v>34</v>
      </c>
      <c r="P13" s="6"/>
      <c r="Q13" s="6" t="s">
        <v>1475</v>
      </c>
      <c r="R13" s="7" t="s">
        <v>34</v>
      </c>
      <c r="S13" s="7" t="s">
        <v>34</v>
      </c>
      <c r="T13" s="6"/>
      <c r="U13" s="6"/>
      <c r="V13" s="7" t="s">
        <v>33</v>
      </c>
      <c r="W13" s="6" t="s">
        <v>1476</v>
      </c>
      <c r="X13" s="7" t="s">
        <v>34</v>
      </c>
      <c r="Y13" s="13"/>
      <c r="Z13" s="7" t="s">
        <v>34</v>
      </c>
      <c r="AA13" s="6"/>
      <c r="AB13" s="6" t="s">
        <v>1477</v>
      </c>
      <c r="AC13" s="6" t="s">
        <v>181</v>
      </c>
    </row>
    <row r="14" ht="22.5" customHeight="1">
      <c r="A14" s="11" t="str">
        <f>REGEXEXTRACT(D14, "\d{4}\.\s(.*?)\.\sProc\. ACM")"),"Ethical Disengagement in Mobile Games: The Effects of Loading Delay and Grayscale on User Engagement</f>
        <v xml:space="preserve">Ethical Disengagement in Mobile Games: The Effects of Loading Delay and Grayscale on User Engagement</v>
      </c>
      <c r="B14" s="7">
        <f t="shared" si="38"/>
        <v>13</v>
      </c>
      <c r="C14" s="8" t="s">
        <v>1478</v>
      </c>
      <c r="D14" s="6" t="s">
        <v>1479</v>
      </c>
      <c r="E14" s="9">
        <v>45980</v>
      </c>
      <c r="F14" s="7">
        <v>2025</v>
      </c>
      <c r="G14" s="7" t="s">
        <v>1412</v>
      </c>
      <c r="H14" s="6" t="str">
        <f t="shared" si="35"/>
        <v>2025_Mar_013</v>
      </c>
      <c r="I14" s="12" t="str">
        <f t="shared" si="36"/>
        <v>https://doi.org/10.1145/3712281</v>
      </c>
      <c r="J14" s="7">
        <f>IF(D14:D27&lt;&gt;"", VALUE(REGEXEXTRACT(D14:D27, "(\d+)\s+pages")), )
</f>
        <v>21</v>
      </c>
      <c r="K14" s="6" t="s">
        <v>42</v>
      </c>
      <c r="L14" s="7" t="str">
        <f t="shared" si="39"/>
        <v>No</v>
      </c>
      <c r="M14" s="7" t="s">
        <v>33</v>
      </c>
      <c r="N14" s="7" t="s">
        <v>34</v>
      </c>
      <c r="O14" s="7" t="s">
        <v>35</v>
      </c>
      <c r="P14" s="6"/>
      <c r="Q14" s="6"/>
      <c r="R14" s="7" t="s">
        <v>34</v>
      </c>
      <c r="S14" s="7" t="s">
        <v>35</v>
      </c>
      <c r="T14" s="6"/>
      <c r="U14" s="6"/>
      <c r="V14" s="7" t="s">
        <v>35</v>
      </c>
      <c r="W14" s="6"/>
      <c r="X14" s="7" t="s">
        <v>35</v>
      </c>
      <c r="Y14" s="13"/>
      <c r="Z14" s="7" t="s">
        <v>35</v>
      </c>
      <c r="AA14" s="6"/>
      <c r="AB14" s="6"/>
      <c r="AC14" s="6" t="s">
        <v>181</v>
      </c>
    </row>
    <row r="15" ht="22.5" customHeight="1">
      <c r="A15" s="11" t="str">
        <f>REGEXEXTRACT(D15, "\d{4}\.\s(.*?)\.\sProc\. ACM")"),"Transient Authentication from First-Person-View Video</f>
        <v xml:space="preserve">Transient Authentication from First-Person-View Video</v>
      </c>
      <c r="B15" s="7">
        <f t="shared" si="38"/>
        <v>14</v>
      </c>
      <c r="C15" s="8" t="s">
        <v>1480</v>
      </c>
      <c r="D15" s="6" t="s">
        <v>1481</v>
      </c>
      <c r="E15" s="9">
        <v>45980</v>
      </c>
      <c r="F15" s="7">
        <v>2025</v>
      </c>
      <c r="G15" s="7" t="s">
        <v>1412</v>
      </c>
      <c r="H15" s="6" t="str">
        <f t="shared" si="35"/>
        <v>2025_Mar_014</v>
      </c>
      <c r="I15" s="12" t="str">
        <f t="shared" si="36"/>
        <v>https://doi.org/10.1145/3712266</v>
      </c>
      <c r="J15" s="7">
        <f>IF(D15:D27&lt;&gt;"", VALUE(REGEXEXTRACT(D15:D27, "(\d+)\s+pages")), )
</f>
        <v>31</v>
      </c>
      <c r="K15" s="6" t="s">
        <v>32</v>
      </c>
      <c r="L15" s="7" t="str">
        <f t="shared" si="39"/>
        <v>No</v>
      </c>
      <c r="M15" s="7" t="s">
        <v>33</v>
      </c>
      <c r="N15" s="7" t="s">
        <v>33</v>
      </c>
      <c r="O15" s="7" t="s">
        <v>34</v>
      </c>
      <c r="P15" s="6"/>
      <c r="Q15" s="6"/>
      <c r="R15" s="7" t="s">
        <v>33</v>
      </c>
      <c r="S15" s="7" t="s">
        <v>34</v>
      </c>
      <c r="T15" s="6"/>
      <c r="U15" s="6"/>
      <c r="V15" s="7" t="s">
        <v>34</v>
      </c>
      <c r="W15" s="6"/>
      <c r="X15" s="7" t="s">
        <v>33</v>
      </c>
      <c r="Y15" s="6" t="s">
        <v>1482</v>
      </c>
      <c r="Z15" s="7" t="s">
        <v>34</v>
      </c>
      <c r="AA15" s="6"/>
      <c r="AB15" s="6" t="s">
        <v>1483</v>
      </c>
      <c r="AC15" s="6" t="s">
        <v>181</v>
      </c>
    </row>
    <row r="16" ht="22.5" customHeight="1">
      <c r="A16" s="11" t="str">
        <f>REGEXEXTRACT(D16, "\d{4}\.\s(.*?)\.\sProc\. ACM")"),"Exploring Cultural and Intergenerational Dynamics in Voice Assistant Design for Chinese Older Adults</f>
        <v xml:space="preserve">Exploring Cultural and Intergenerational Dynamics in Voice Assistant Design for Chinese Older Adults</v>
      </c>
      <c r="B16" s="7">
        <f t="shared" si="38"/>
        <v>15</v>
      </c>
      <c r="C16" s="8" t="s">
        <v>1484</v>
      </c>
      <c r="D16" s="6" t="s">
        <v>1485</v>
      </c>
      <c r="E16" s="9">
        <v>45980</v>
      </c>
      <c r="F16" s="7">
        <v>2025</v>
      </c>
      <c r="G16" s="7" t="s">
        <v>1412</v>
      </c>
      <c r="H16" s="6" t="str">
        <f t="shared" si="35"/>
        <v>2025_Mar_015</v>
      </c>
      <c r="I16" s="12" t="str">
        <f t="shared" si="36"/>
        <v>https://doi.org/10.1145/3712275</v>
      </c>
      <c r="J16" s="7">
        <f>IF(D16:D27&lt;&gt;"", VALUE(REGEXEXTRACT(D16:D27, "(\d+)\s+pages")), )
</f>
        <v>18</v>
      </c>
      <c r="K16" s="6" t="s">
        <v>42</v>
      </c>
      <c r="L16" s="7" t="str">
        <f t="shared" si="39"/>
        <v>No</v>
      </c>
      <c r="M16" s="7" t="s">
        <v>34</v>
      </c>
      <c r="N16" s="7" t="s">
        <v>34</v>
      </c>
      <c r="O16" s="7" t="s">
        <v>35</v>
      </c>
      <c r="P16" s="6"/>
      <c r="Q16" s="6"/>
      <c r="R16" s="7" t="s">
        <v>34</v>
      </c>
      <c r="S16" s="7" t="s">
        <v>35</v>
      </c>
      <c r="T16" s="6"/>
      <c r="U16" s="6"/>
      <c r="V16" s="7" t="s">
        <v>35</v>
      </c>
      <c r="W16" s="6"/>
      <c r="X16" s="7" t="s">
        <v>35</v>
      </c>
      <c r="Y16" s="13"/>
      <c r="Z16" s="7" t="s">
        <v>35</v>
      </c>
      <c r="AA16" s="6"/>
      <c r="AB16" s="6" t="s">
        <v>1486</v>
      </c>
      <c r="AC16" s="6" t="s">
        <v>181</v>
      </c>
    </row>
    <row r="17" ht="22.5" customHeight="1">
      <c r="A17" s="11" t="str">
        <f>REGEXEXTRACT(D17, "\d{4}\.\s(.*?)\.\sProc\. ACM")"),"OpenEarable 2.0: Open-Source Earphone Platform for Physiological Ear Sensing</f>
        <v xml:space="preserve">OpenEarable 2.0: Open-Source Earphone Platform for Physiological Ear Sensing</v>
      </c>
      <c r="B17" s="7">
        <f t="shared" si="38"/>
        <v>16</v>
      </c>
      <c r="C17" s="8" t="s">
        <v>1487</v>
      </c>
      <c r="D17" s="6" t="s">
        <v>1488</v>
      </c>
      <c r="E17" s="9">
        <v>45980</v>
      </c>
      <c r="F17" s="7">
        <v>2025</v>
      </c>
      <c r="G17" s="7" t="s">
        <v>1412</v>
      </c>
      <c r="H17" s="6" t="str">
        <f t="shared" si="35"/>
        <v>2025_Mar_016</v>
      </c>
      <c r="I17" s="12" t="str">
        <f t="shared" si="36"/>
        <v>https://doi.org/10.1145/3712069</v>
      </c>
      <c r="J17" s="7">
        <f>IF(D17:D27&lt;&gt;"", VALUE(REGEXEXTRACT(D17:D27, "(\d+)\s+pages")), )
</f>
        <v>33</v>
      </c>
      <c r="K17" s="6" t="s">
        <v>1489</v>
      </c>
      <c r="L17" s="7" t="str">
        <f t="shared" si="39"/>
        <v>No</v>
      </c>
      <c r="M17" s="7" t="s">
        <v>33</v>
      </c>
      <c r="N17" s="7" t="s">
        <v>33</v>
      </c>
      <c r="O17" s="7" t="s">
        <v>33</v>
      </c>
      <c r="P17" s="10" t="s">
        <v>1490</v>
      </c>
      <c r="Q17" s="10" t="s">
        <v>1491</v>
      </c>
      <c r="R17" s="7" t="s">
        <v>34</v>
      </c>
      <c r="S17" s="7" t="s">
        <v>34</v>
      </c>
      <c r="T17" s="6"/>
      <c r="U17" s="6"/>
      <c r="V17" s="7" t="s">
        <v>33</v>
      </c>
      <c r="W17" s="6" t="s">
        <v>1492</v>
      </c>
      <c r="X17" s="7" t="s">
        <v>33</v>
      </c>
      <c r="Y17" s="6" t="s">
        <v>1493</v>
      </c>
      <c r="Z17" s="7" t="s">
        <v>33</v>
      </c>
      <c r="AA17" s="6" t="s">
        <v>1494</v>
      </c>
      <c r="AB17" s="6" t="s">
        <v>1495</v>
      </c>
      <c r="AC17" s="6" t="s">
        <v>181</v>
      </c>
    </row>
    <row r="18" ht="22.5" customHeight="1">
      <c r="A18" s="14" t="str">
        <f>REGEXEXTRACT(D18, "\d{4}\.\s(.*?)\.\sProc\. ACM")"),"Slim-Sense: A Resource Efficient WiFi Sensing Framework towards Integrated Sensing and Communication</f>
        <v xml:space="preserve">Slim-Sense: A Resource Efficient WiFi Sensing Framework towards Integrated Sensing and Communication</v>
      </c>
      <c r="B18" s="15">
        <f t="shared" si="38"/>
        <v>17</v>
      </c>
      <c r="C18" s="16" t="s">
        <v>1496</v>
      </c>
      <c r="D18" s="17" t="s">
        <v>1497</v>
      </c>
      <c r="E18" s="18">
        <v>45980</v>
      </c>
      <c r="F18" s="15">
        <v>2025</v>
      </c>
      <c r="G18" s="15" t="s">
        <v>1412</v>
      </c>
      <c r="H18" s="17" t="str">
        <f t="shared" si="35"/>
        <v>2025_Mar_017</v>
      </c>
      <c r="I18" s="19" t="str">
        <f t="shared" si="36"/>
        <v>https://doi.org/10.1145/3712271</v>
      </c>
      <c r="J18" s="15">
        <f>IF(D18:D27&lt;&gt;"", VALUE(REGEXEXTRACT(D18:D27, "(\d+)\s+pages")), )
</f>
        <v>33</v>
      </c>
      <c r="K18" s="17" t="s">
        <v>64</v>
      </c>
      <c r="L18" s="15" t="str">
        <f t="shared" si="39"/>
        <v>No</v>
      </c>
      <c r="M18" s="15" t="s">
        <v>33</v>
      </c>
      <c r="N18" s="15" t="s">
        <v>33</v>
      </c>
      <c r="O18" s="15" t="s">
        <v>33</v>
      </c>
      <c r="P18" s="22" t="s">
        <v>1498</v>
      </c>
      <c r="Q18" s="17"/>
      <c r="R18" s="15" t="s">
        <v>33</v>
      </c>
      <c r="S18" s="15" t="s">
        <v>33</v>
      </c>
      <c r="T18" s="22" t="s">
        <v>1498</v>
      </c>
      <c r="U18" s="17" t="s">
        <v>1499</v>
      </c>
      <c r="V18" s="15" t="s">
        <v>33</v>
      </c>
      <c r="W18" s="17" t="s">
        <v>1500</v>
      </c>
      <c r="X18" s="15" t="s">
        <v>34</v>
      </c>
      <c r="Y18" s="20"/>
      <c r="Z18" s="15" t="s">
        <v>144</v>
      </c>
      <c r="AA18" s="17" t="s">
        <v>1501</v>
      </c>
      <c r="AB18" s="17" t="s">
        <v>1502</v>
      </c>
      <c r="AC18" s="17" t="s">
        <v>181</v>
      </c>
    </row>
    <row r="19" ht="22.5" customHeight="1">
      <c r="A19" s="11" t="str">
        <f>REGEXEXTRACT(D19, "\d{4}\.\s(.*?)\.\sProc\. ACM")"),"WULoc: Achieving Extremely Long-range High-precision Localization via Wi-Fi-UWB Connection</f>
        <v xml:space="preserve">WULoc: Achieving Extremely Long-range High-precision Localization via Wi-Fi-UWB Connection</v>
      </c>
      <c r="B19" s="7">
        <f t="shared" si="38"/>
        <v>18</v>
      </c>
      <c r="C19" s="8" t="s">
        <v>1503</v>
      </c>
      <c r="D19" s="6" t="s">
        <v>1504</v>
      </c>
      <c r="E19" s="9">
        <v>45968</v>
      </c>
      <c r="F19" s="7">
        <v>2025</v>
      </c>
      <c r="G19" s="7" t="s">
        <v>1412</v>
      </c>
      <c r="H19" s="6" t="str">
        <f t="shared" si="35"/>
        <v>2025_Mar_018</v>
      </c>
      <c r="I19" s="12" t="str">
        <f t="shared" si="36"/>
        <v>https://doi.org/10.1145/3712282</v>
      </c>
      <c r="J19" s="7">
        <f>IF(D19:D27&lt;&gt;"", VALUE(REGEXEXTRACT(D19:D27, "(\d+)\s+pages")), )
</f>
        <v>24</v>
      </c>
      <c r="K19" s="6" t="s">
        <v>777</v>
      </c>
      <c r="L19" s="7" t="str">
        <f t="shared" si="39"/>
        <v>No</v>
      </c>
      <c r="M19" s="7" t="s">
        <v>34</v>
      </c>
      <c r="N19" s="7" t="s">
        <v>33</v>
      </c>
      <c r="O19" s="7" t="s">
        <v>34</v>
      </c>
      <c r="P19" s="6"/>
      <c r="Q19" s="11" t="s">
        <v>1505</v>
      </c>
      <c r="R19" s="7" t="s">
        <v>33</v>
      </c>
      <c r="S19" s="7" t="s">
        <v>34</v>
      </c>
      <c r="T19" s="6"/>
      <c r="U19" s="11" t="s">
        <v>1506</v>
      </c>
      <c r="V19" s="7" t="s">
        <v>33</v>
      </c>
      <c r="W19" s="6" t="s">
        <v>1507</v>
      </c>
      <c r="X19" s="7" t="s">
        <v>33</v>
      </c>
      <c r="Y19" s="6" t="s">
        <v>1508</v>
      </c>
      <c r="Z19" s="7" t="s">
        <v>34</v>
      </c>
      <c r="AA19" s="6" t="s">
        <v>1509</v>
      </c>
      <c r="AB19" s="6" t="s">
        <v>1510</v>
      </c>
      <c r="AC19" s="6" t="s">
        <v>355</v>
      </c>
    </row>
    <row r="20" ht="22.5" customHeight="1">
      <c r="A20" s="11" t="str">
        <f>REGEXEXTRACT(D20, "\d{4}\.\s(.*?)\.\sProc\. ACM")"),"Layout-Agnostic Human Activity Recognition in Smart Homes through Textual Descriptions Of Sensor Triggers (TDOST)</f>
        <v xml:space="preserve">Layout-Agnostic Human Activity Recognition in Smart Homes through Textual Descriptions Of Sensor Triggers (TDOST)</v>
      </c>
      <c r="B20" s="7">
        <f t="shared" si="38"/>
        <v>19</v>
      </c>
      <c r="C20" s="8" t="s">
        <v>1511</v>
      </c>
      <c r="D20" s="6" t="s">
        <v>1512</v>
      </c>
      <c r="E20" s="9">
        <v>45968</v>
      </c>
      <c r="F20" s="7">
        <v>2025</v>
      </c>
      <c r="G20" s="7" t="s">
        <v>1412</v>
      </c>
      <c r="H20" s="6" t="str">
        <f t="shared" si="35"/>
        <v>2025_Mar_019</v>
      </c>
      <c r="I20" s="12" t="str">
        <f t="shared" si="36"/>
        <v>https://doi.org/10.1145/3712278</v>
      </c>
      <c r="J20" s="7">
        <f>IF(D20:D27&lt;&gt;"", VALUE(REGEXEXTRACT(D20:D27, "(\d+)\s+pages")), )
</f>
        <v>38</v>
      </c>
      <c r="K20" s="6" t="s">
        <v>71</v>
      </c>
      <c r="L20" s="7" t="str">
        <f t="shared" si="39"/>
        <v>No</v>
      </c>
      <c r="M20" s="7" t="s">
        <v>33</v>
      </c>
      <c r="N20" s="7" t="s">
        <v>33</v>
      </c>
      <c r="O20" s="7" t="s">
        <v>34</v>
      </c>
      <c r="P20" s="6"/>
      <c r="Q20" s="6"/>
      <c r="R20" s="7" t="s">
        <v>33</v>
      </c>
      <c r="S20" s="7" t="s">
        <v>34</v>
      </c>
      <c r="T20" s="6"/>
      <c r="U20" s="6" t="s">
        <v>1513</v>
      </c>
      <c r="V20" s="7" t="s">
        <v>34</v>
      </c>
      <c r="W20" s="6" t="s">
        <v>1514</v>
      </c>
      <c r="X20" s="7" t="s">
        <v>34</v>
      </c>
      <c r="Y20" s="6" t="s">
        <v>1515</v>
      </c>
      <c r="Z20" s="7" t="s">
        <v>34</v>
      </c>
      <c r="AA20" s="6" t="s">
        <v>1516</v>
      </c>
      <c r="AB20" s="6" t="s">
        <v>1517</v>
      </c>
      <c r="AC20" s="6" t="s">
        <v>355</v>
      </c>
    </row>
    <row r="21" ht="22.5" customHeight="1">
      <c r="A21" s="11" t="str">
        <f>REGEXEXTRACT(D21, "\d{4}\.\s(.*?)\.\sProc\. ACM")"),"ARive: Assisting Drivers with In-Car Augmented Reality for Risk Zone Detection</f>
        <v xml:space="preserve">ARive: Assisting Drivers with In-Car Augmented Reality for Risk Zone Detection</v>
      </c>
      <c r="B21" s="7">
        <f t="shared" si="38"/>
        <v>20</v>
      </c>
      <c r="C21" s="8" t="s">
        <v>1518</v>
      </c>
      <c r="D21" s="6" t="s">
        <v>1519</v>
      </c>
      <c r="E21" s="9">
        <v>45968</v>
      </c>
      <c r="F21" s="7">
        <v>2025</v>
      </c>
      <c r="G21" s="7" t="s">
        <v>1412</v>
      </c>
      <c r="H21" s="6" t="str">
        <f t="shared" si="35"/>
        <v>2025_Mar_020</v>
      </c>
      <c r="I21" s="12" t="str">
        <f t="shared" si="36"/>
        <v>https://doi.org/10.1145/3712270</v>
      </c>
      <c r="J21" s="7">
        <f>IF(D21:D27&lt;&gt;"", VALUE(REGEXEXTRACT(D21:D27, "(\d+)\s+pages")), )
</f>
        <v>27</v>
      </c>
      <c r="K21" s="6" t="s">
        <v>217</v>
      </c>
      <c r="L21" s="7" t="str">
        <f t="shared" si="39"/>
        <v>No</v>
      </c>
      <c r="M21" s="7" t="s">
        <v>34</v>
      </c>
      <c r="N21" s="7" t="s">
        <v>33</v>
      </c>
      <c r="O21" s="7" t="s">
        <v>34</v>
      </c>
      <c r="P21" s="6"/>
      <c r="Q21" s="6"/>
      <c r="R21" s="7" t="s">
        <v>34</v>
      </c>
      <c r="S21" s="7" t="s">
        <v>35</v>
      </c>
      <c r="T21" s="6"/>
      <c r="U21" s="6" t="s">
        <v>1520</v>
      </c>
      <c r="V21" s="7" t="s">
        <v>33</v>
      </c>
      <c r="W21" s="6" t="s">
        <v>1521</v>
      </c>
      <c r="X21" s="7" t="s">
        <v>33</v>
      </c>
      <c r="Y21" s="6" t="s">
        <v>1522</v>
      </c>
      <c r="Z21" s="7" t="s">
        <v>34</v>
      </c>
      <c r="AA21" s="6" t="s">
        <v>1523</v>
      </c>
      <c r="AB21" s="6" t="s">
        <v>1524</v>
      </c>
      <c r="AC21" s="6" t="s">
        <v>355</v>
      </c>
    </row>
    <row r="22" ht="22.5" customHeight="1">
      <c r="A22" s="11" t="str">
        <f>REGEXEXTRACT(D22, "\d{4}\.\s(.*?)\.\sProc\. ACM")"),"MIMIC: AI and AR-enhanced Multi-Modal, Immersive, Relative Instruction Comprehension</f>
        <v xml:space="preserve">MIMIC: AI and AR-enhanced Multi-Modal, Immersive, Relative Instruction Comprehension</v>
      </c>
      <c r="B22" s="7">
        <f t="shared" si="38"/>
        <v>21</v>
      </c>
      <c r="C22" s="8" t="s">
        <v>1525</v>
      </c>
      <c r="D22" s="6" t="s">
        <v>1526</v>
      </c>
      <c r="E22" s="44">
        <v>45969</v>
      </c>
      <c r="F22" s="7">
        <v>2025</v>
      </c>
      <c r="G22" s="7" t="s">
        <v>1412</v>
      </c>
      <c r="H22" s="6" t="str">
        <f t="shared" si="35"/>
        <v>2025_Mar_021</v>
      </c>
      <c r="I22" s="12" t="str">
        <f t="shared" si="36"/>
        <v>https://doi.org/10.1145/3712268</v>
      </c>
      <c r="J22" s="7">
        <f>IF(D22:D27&lt;&gt;"", VALUE(REGEXEXTRACT(D22:D27, "(\d+)\s+pages")), )
</f>
        <v>34</v>
      </c>
      <c r="K22" s="6" t="s">
        <v>133</v>
      </c>
      <c r="L22" s="7" t="str">
        <f t="shared" si="39"/>
        <v>No</v>
      </c>
      <c r="M22" s="7" t="s">
        <v>33</v>
      </c>
      <c r="N22" s="7" t="s">
        <v>33</v>
      </c>
      <c r="O22" s="7" t="s">
        <v>34</v>
      </c>
      <c r="P22" s="6"/>
      <c r="Q22" s="6"/>
      <c r="R22" s="7" t="s">
        <v>33</v>
      </c>
      <c r="S22" s="7" t="s">
        <v>34</v>
      </c>
      <c r="T22" s="6"/>
      <c r="U22" s="6" t="s">
        <v>1527</v>
      </c>
      <c r="V22" s="7" t="s">
        <v>33</v>
      </c>
      <c r="W22" s="6" t="s">
        <v>1528</v>
      </c>
      <c r="X22" s="7" t="s">
        <v>33</v>
      </c>
      <c r="Y22" s="6" t="s">
        <v>1529</v>
      </c>
      <c r="Z22" s="7" t="s">
        <v>34</v>
      </c>
      <c r="AA22" s="6" t="s">
        <v>1530</v>
      </c>
      <c r="AB22" s="6" t="s">
        <v>1531</v>
      </c>
      <c r="AC22" s="6" t="s">
        <v>355</v>
      </c>
    </row>
    <row r="23" ht="22.5" customHeight="1">
      <c r="A23" s="11" t="str">
        <f>REGEXEXTRACT(D23, "\d{4}\.\s(.*?)\.\sProc\. ACM")"),"MobHAR: Source-free Knowledge Transfer for Human Activity Recognition on Mobile Devices</f>
        <v xml:space="preserve">MobHAR: Source-free Knowledge Transfer for Human Activity Recognition on Mobile Devices</v>
      </c>
      <c r="B23" s="7">
        <f t="shared" si="38"/>
        <v>22</v>
      </c>
      <c r="C23" s="8" t="s">
        <v>1532</v>
      </c>
      <c r="D23" s="6" t="s">
        <v>1533</v>
      </c>
      <c r="E23" s="9">
        <v>45969</v>
      </c>
      <c r="F23" s="7">
        <v>2025</v>
      </c>
      <c r="G23" s="7" t="s">
        <v>1412</v>
      </c>
      <c r="H23" s="6" t="str">
        <f t="shared" si="35"/>
        <v>2025_Mar_022</v>
      </c>
      <c r="I23" s="12" t="str">
        <f t="shared" si="36"/>
        <v>https://doi.org/10.1145/3712620</v>
      </c>
      <c r="J23" s="7">
        <f>IF(D23:D27&lt;&gt;"", VALUE(REGEXEXTRACT(D23:D27, "(\d+)\s+pages")), )
</f>
        <v>24</v>
      </c>
      <c r="K23" s="6" t="s">
        <v>64</v>
      </c>
      <c r="L23" s="7" t="str">
        <f t="shared" si="39"/>
        <v>No</v>
      </c>
      <c r="M23" s="7" t="s">
        <v>34</v>
      </c>
      <c r="N23" s="7" t="s">
        <v>33</v>
      </c>
      <c r="O23" s="7" t="s">
        <v>33</v>
      </c>
      <c r="P23" s="10" t="s">
        <v>1534</v>
      </c>
      <c r="Q23" s="6" t="s">
        <v>1535</v>
      </c>
      <c r="R23" s="7" t="s">
        <v>33</v>
      </c>
      <c r="S23" s="7" t="s">
        <v>33</v>
      </c>
      <c r="T23" s="6"/>
      <c r="U23" s="6" t="s">
        <v>1536</v>
      </c>
      <c r="V23" s="7" t="s">
        <v>33</v>
      </c>
      <c r="W23" s="6" t="s">
        <v>1537</v>
      </c>
      <c r="X23" s="7" t="s">
        <v>34</v>
      </c>
      <c r="Y23" s="13"/>
      <c r="Z23" s="7" t="s">
        <v>34</v>
      </c>
      <c r="AA23" s="6" t="s">
        <v>1538</v>
      </c>
      <c r="AB23" s="6" t="s">
        <v>1539</v>
      </c>
      <c r="AC23" s="6" t="s">
        <v>355</v>
      </c>
    </row>
    <row r="24" ht="22.5" customHeight="1">
      <c r="A24" s="11" t="str">
        <f>REGEXEXTRACT(D24, "\d{4}\.\s(.*?)\.\sProc\. ACM")"),"SocialMind: LLM-based Proactive AR Social Assistive System with Human-like Perception for In-situ Live Interactions</f>
        <v xml:space="preserve">SocialMind: LLM-based Proactive AR Social Assistive System with Human-like Perception for In-situ Live Interactions</v>
      </c>
      <c r="B24" s="7">
        <f t="shared" si="38"/>
        <v>23</v>
      </c>
      <c r="C24" s="8" t="s">
        <v>1540</v>
      </c>
      <c r="D24" s="6" t="s">
        <v>1541</v>
      </c>
      <c r="E24" s="9">
        <v>45969</v>
      </c>
      <c r="F24" s="7">
        <v>2025</v>
      </c>
      <c r="G24" s="7" t="s">
        <v>1412</v>
      </c>
      <c r="H24" s="6" t="str">
        <f t="shared" si="35"/>
        <v>2025_Mar_023</v>
      </c>
      <c r="I24" s="12" t="str">
        <f t="shared" si="36"/>
        <v>https://doi.org/10.1145/3712286</v>
      </c>
      <c r="J24" s="7">
        <f>IF(D24:D27&lt;&gt;"", VALUE(REGEXEXTRACT(D24:D27, "(\d+)\s+pages")), )
</f>
        <v>30</v>
      </c>
      <c r="K24" s="6" t="s">
        <v>133</v>
      </c>
      <c r="L24" s="7" t="str">
        <f t="shared" si="39"/>
        <v>No</v>
      </c>
      <c r="M24" s="7" t="s">
        <v>33</v>
      </c>
      <c r="N24" s="7" t="s">
        <v>33</v>
      </c>
      <c r="O24" s="7" t="s">
        <v>34</v>
      </c>
      <c r="P24" s="6"/>
      <c r="Q24" s="6" t="s">
        <v>1542</v>
      </c>
      <c r="R24" s="7" t="s">
        <v>33</v>
      </c>
      <c r="S24" s="7" t="s">
        <v>33</v>
      </c>
      <c r="T24" s="6"/>
      <c r="U24" s="6" t="s">
        <v>1543</v>
      </c>
      <c r="V24" s="7" t="s">
        <v>33</v>
      </c>
      <c r="W24" s="6" t="s">
        <v>1544</v>
      </c>
      <c r="X24" s="7" t="s">
        <v>33</v>
      </c>
      <c r="Y24" s="6" t="s">
        <v>1545</v>
      </c>
      <c r="Z24" s="7" t="s">
        <v>34</v>
      </c>
      <c r="AA24" s="6" t="s">
        <v>1546</v>
      </c>
      <c r="AB24" s="6" t="s">
        <v>1547</v>
      </c>
      <c r="AC24" s="6" t="s">
        <v>355</v>
      </c>
    </row>
    <row r="25" ht="22.5" customHeight="1">
      <c r="A25" s="11" t="str">
        <f>REGEXEXTRACT(D25, "\d{4}\.\s(.*?)\.\sProc\. ACM")"),"SeamFit: Towards Practical Smart Clothing for Automatic Exercise Logging</f>
        <v xml:space="preserve">SeamFit: Towards Practical Smart Clothing for Automatic Exercise Logging</v>
      </c>
      <c r="B25" s="7">
        <f t="shared" si="38"/>
        <v>24</v>
      </c>
      <c r="C25" s="8" t="s">
        <v>1548</v>
      </c>
      <c r="D25" s="6" t="s">
        <v>1549</v>
      </c>
      <c r="E25" s="9">
        <v>45969</v>
      </c>
      <c r="F25" s="7">
        <v>2025</v>
      </c>
      <c r="G25" s="7" t="s">
        <v>1412</v>
      </c>
      <c r="H25" s="6" t="str">
        <f t="shared" si="35"/>
        <v>2025_Mar_024</v>
      </c>
      <c r="I25" s="12" t="str">
        <f t="shared" si="36"/>
        <v>https://doi.org/10.1145/3712287</v>
      </c>
      <c r="J25" s="7">
        <f>IF(D25:D27&lt;&gt;"", VALUE(REGEXEXTRACT(D25:D27, "(\d+)\s+pages")), )
</f>
        <v>22</v>
      </c>
      <c r="K25" s="6" t="s">
        <v>217</v>
      </c>
      <c r="L25" s="7" t="str">
        <f t="shared" si="39"/>
        <v>No</v>
      </c>
      <c r="M25" s="7" t="s">
        <v>34</v>
      </c>
      <c r="N25" s="7" t="s">
        <v>33</v>
      </c>
      <c r="O25" s="7" t="s">
        <v>34</v>
      </c>
      <c r="P25" s="6"/>
      <c r="Q25" s="6" t="s">
        <v>1550</v>
      </c>
      <c r="R25" s="7" t="s">
        <v>33</v>
      </c>
      <c r="S25" s="7" t="s">
        <v>34</v>
      </c>
      <c r="T25" s="6"/>
      <c r="U25" s="6" t="s">
        <v>1551</v>
      </c>
      <c r="V25" s="7" t="s">
        <v>33</v>
      </c>
      <c r="W25" s="6" t="s">
        <v>1552</v>
      </c>
      <c r="X25" s="7" t="s">
        <v>34</v>
      </c>
      <c r="Y25" s="6" t="s">
        <v>1553</v>
      </c>
      <c r="Z25" s="7" t="s">
        <v>34</v>
      </c>
      <c r="AA25" s="6" t="s">
        <v>1554</v>
      </c>
      <c r="AB25" s="6" t="s">
        <v>1555</v>
      </c>
      <c r="AC25" s="6" t="s">
        <v>355</v>
      </c>
    </row>
    <row r="26" ht="22.5" customHeight="1">
      <c r="A26" s="11" t="str">
        <f>REGEXEXTRACT(D26, "\d{4}\.\s(.*?)\.\sProc\. ACM")"),"WearSE: Enabling Streaming Speech Enhancement on Eyewear Using Acoustic Sensing</f>
        <v xml:space="preserve">WearSE: Enabling Streaming Speech Enhancement on Eyewear Using Acoustic Sensing</v>
      </c>
      <c r="B26" s="7">
        <f t="shared" si="38"/>
        <v>25</v>
      </c>
      <c r="C26" s="8" t="s">
        <v>1556</v>
      </c>
      <c r="D26" s="6" t="s">
        <v>1557</v>
      </c>
      <c r="E26" s="9">
        <v>45969</v>
      </c>
      <c r="F26" s="7">
        <v>2025</v>
      </c>
      <c r="G26" s="7" t="s">
        <v>1412</v>
      </c>
      <c r="H26" s="6" t="str">
        <f t="shared" si="35"/>
        <v>2025_Mar_025</v>
      </c>
      <c r="I26" s="12" t="str">
        <f t="shared" si="36"/>
        <v>https://doi.org/10.1145/3712288</v>
      </c>
      <c r="J26" s="7">
        <f>IF(D26:D27&lt;&gt;"", VALUE(REGEXEXTRACT(D26:D27, "(\d+)\s+pages")), )
</f>
        <v>30</v>
      </c>
      <c r="K26" s="6" t="s">
        <v>217</v>
      </c>
      <c r="L26" s="7" t="str">
        <f t="shared" si="39"/>
        <v>No</v>
      </c>
      <c r="M26" s="7" t="s">
        <v>34</v>
      </c>
      <c r="N26" s="7" t="s">
        <v>33</v>
      </c>
      <c r="O26" s="7" t="s">
        <v>34</v>
      </c>
      <c r="P26" s="6"/>
      <c r="Q26" s="10" t="s">
        <v>1558</v>
      </c>
      <c r="R26" s="7" t="s">
        <v>33</v>
      </c>
      <c r="S26" s="7" t="s">
        <v>34</v>
      </c>
      <c r="T26" s="6"/>
      <c r="U26" s="6" t="s">
        <v>1559</v>
      </c>
      <c r="V26" s="7" t="s">
        <v>33</v>
      </c>
      <c r="W26" s="6" t="s">
        <v>1560</v>
      </c>
      <c r="X26" s="7" t="s">
        <v>34</v>
      </c>
      <c r="Y26" s="6" t="s">
        <v>1561</v>
      </c>
      <c r="Z26" s="7" t="s">
        <v>34</v>
      </c>
      <c r="AA26" s="6" t="s">
        <v>1562</v>
      </c>
      <c r="AB26" s="6" t="s">
        <v>1563</v>
      </c>
      <c r="AC26" s="6" t="s">
        <v>355</v>
      </c>
    </row>
    <row r="27" ht="22.5" customHeight="1">
      <c r="A27" s="11" t="str">
        <f>REGEXEXTRACT(D27, "\d{4}\.\s(.*?)\.\sProc\. ACM")"),"Modeling Mouse-based Pointing and Steering Tasks for People with Parkinson's Disease</f>
        <v xml:space="preserve">Modeling Mouse-based Pointing and Steering Tasks for People with Parkinson's Disease</v>
      </c>
      <c r="B27" s="7">
        <f t="shared" si="38"/>
        <v>26</v>
      </c>
      <c r="C27" s="8" t="s">
        <v>1564</v>
      </c>
      <c r="D27" s="6" t="s">
        <v>1565</v>
      </c>
      <c r="E27" s="9">
        <v>45969</v>
      </c>
      <c r="F27" s="7">
        <v>2025</v>
      </c>
      <c r="G27" s="7" t="s">
        <v>1412</v>
      </c>
      <c r="H27" s="6" t="str">
        <f t="shared" si="35"/>
        <v>2025_Mar_026</v>
      </c>
      <c r="I27" s="12" t="str">
        <f t="shared" si="36"/>
        <v>https://doi.org/10.1145/3712267</v>
      </c>
      <c r="J27" s="7">
        <f>IF(D27&lt;&gt;"", VALUE(REGEXEXTRACT(D27, "(\d+)\s+pages")), )
</f>
        <v>24</v>
      </c>
      <c r="K27" s="6" t="s">
        <v>32</v>
      </c>
      <c r="L27" s="7" t="str">
        <f t="shared" si="39"/>
        <v>No</v>
      </c>
      <c r="M27" s="7" t="s">
        <v>34</v>
      </c>
      <c r="N27" s="7" t="s">
        <v>33</v>
      </c>
      <c r="O27" s="7" t="s">
        <v>34</v>
      </c>
      <c r="P27" s="6"/>
      <c r="Q27" s="6" t="s">
        <v>1566</v>
      </c>
      <c r="R27" s="7" t="s">
        <v>33</v>
      </c>
      <c r="S27" s="7" t="s">
        <v>33</v>
      </c>
      <c r="T27" s="10" t="s">
        <v>1567</v>
      </c>
      <c r="U27" s="6" t="s">
        <v>1568</v>
      </c>
      <c r="V27" s="7" t="s">
        <v>34</v>
      </c>
      <c r="W27" s="6" t="s">
        <v>1569</v>
      </c>
      <c r="X27" s="7" t="s">
        <v>34</v>
      </c>
      <c r="Y27" s="6" t="s">
        <v>1570</v>
      </c>
      <c r="Z27" s="7" t="s">
        <v>34</v>
      </c>
      <c r="AA27" s="6" t="s">
        <v>1571</v>
      </c>
      <c r="AB27" s="6" t="s">
        <v>1572</v>
      </c>
      <c r="AC27" s="6" t="s">
        <v>355</v>
      </c>
    </row>
  </sheetData>
  <conditionalFormatting sqref="P1:P27 T8">
    <cfRule type="colorScale" priority="1">
      <colorScale>
        <cfvo type="min"/>
        <cfvo type="max"/>
        <color indexed="65"/>
        <color rgb="FF57BB8A"/>
      </colorScale>
    </cfRule>
  </conditionalFormatting>
  <dataValidations count="2" disablePrompts="0">
    <dataValidation sqref="A2:A27 H2:I27 K2:K27 P2:Q27 T2:U27 W2:W27 Y2:Y27 AA2:AB27" type="none" allowBlank="1" errorStyle="stop" imeMode="noControl" operator="between" showDropDown="1" showErrorMessage="0" showInputMessage="0"/>
    <dataValidation sqref="D2:D27" type="none" allowBlank="1" errorStyle="stop" imeMode="noControl" operator="between" showDropDown="1" showErrorMessage="0" showInputMessage="0"/>
  </dataValidations>
  <hyperlinks>
    <hyperlink r:id="rId1" ref="C2"/>
    <hyperlink r:id="rId2" ref="D2"/>
    <hyperlink r:id="rId3" ref="T2"/>
    <hyperlink r:id="rId4" ref="C3"/>
    <hyperlink r:id="rId5" ref="C4"/>
    <hyperlink r:id="rId6" ref="P4"/>
    <hyperlink r:id="rId6" ref="T4"/>
    <hyperlink r:id="rId7" ref="C5"/>
    <hyperlink r:id="rId8" ref="C6"/>
    <hyperlink r:id="rId9" ref="C7"/>
    <hyperlink r:id="rId10" ref="C8"/>
    <hyperlink r:id="rId11" ref="P8"/>
    <hyperlink r:id="rId11" ref="T8"/>
    <hyperlink r:id="rId12" ref="C9"/>
    <hyperlink r:id="rId13" ref="P9"/>
    <hyperlink r:id="rId13" ref="T9"/>
    <hyperlink r:id="rId14" ref="C10"/>
    <hyperlink r:id="rId15" ref="C11"/>
    <hyperlink r:id="rId16" ref="C12"/>
    <hyperlink r:id="rId17" ref="C13"/>
    <hyperlink r:id="rId18" ref="C14"/>
    <hyperlink r:id="rId19" ref="C15"/>
    <hyperlink r:id="rId20" ref="C16"/>
    <hyperlink r:id="rId21" ref="C17"/>
    <hyperlink r:id="rId22" ref="P17"/>
    <hyperlink r:id="rId23" ref="Q17"/>
    <hyperlink r:id="rId24" ref="C18"/>
    <hyperlink r:id="rId25" ref="P18"/>
    <hyperlink r:id="rId25" ref="T18"/>
    <hyperlink r:id="rId26" ref="C19"/>
    <hyperlink r:id="rId27" ref="C20"/>
    <hyperlink r:id="rId28" ref="C21"/>
    <hyperlink r:id="rId29" ref="C22"/>
    <hyperlink r:id="rId30" ref="C23"/>
    <hyperlink r:id="rId31" ref="P23"/>
    <hyperlink r:id="rId32" ref="C24"/>
    <hyperlink r:id="rId33" ref="C25"/>
    <hyperlink r:id="rId34" ref="C26"/>
    <hyperlink r:id="rId35" ref="Q26"/>
    <hyperlink r:id="rId36" ref="C27"/>
    <hyperlink r:id="rId37" ref="T27"/>
  </hyperlinks>
  <printOptions headings="0" gridLines="1" horizontalCentered="1"/>
  <pageMargins left="0.25" right="0.25" top="0.75" bottom="0.75" header="0" footer="0"/>
  <pageSetup paperSize="9" scale="100" fitToWidth="1" fitToHeight="0" pageOrder="overThenDown" orientation="landscape" usePrinterDefaults="1" blackAndWhite="0" draft="0" cellComments="atEnd" useFirstPageNumber="0" errors="displayed" horizontalDpi="600" verticalDpi="600" copies="1"/>
  <headerFooter/>
  <legacyDrawing r:id="rId40"/>
  <tableParts count="1">
    <tablePart r:id="rId41"/>
  </tableParts>
  <extLst>
    <ext xmlns:x14="http://schemas.microsoft.com/office/spreadsheetml/2009/9/main" uri="{78C0D931-6437-407d-A8EE-F0AAD7539E65}">
      <x14:conditionalFormattings>
        <x14:conditionalFormatting xmlns:xm="http://schemas.microsoft.com/office/excel/2006/main">
          <x14:cfRule type="expression" priority="2" id="{A7E5115E-10A9-4B15-8CE1-0FB2ABA552D6}">
            <xm:f>AND(REGEXMATCH($O2,"^(Yes|Partially)$"), ISBLANK($P2))</xm:f>
            <x14:dxf>
              <font/>
              <fill>
                <patternFill patternType="solid">
                  <fgColor rgb="FFE68282"/>
                  <bgColor rgb="FFE68282"/>
                </patternFill>
              </fill>
              <border>
                <left/>
                <right/>
                <top/>
                <bottom/>
                <diagonal/>
              </border>
            </x14:dxf>
          </x14:cfRule>
          <xm:sqref>P2:P27 T8</xm:sqref>
        </x14:conditionalFormatting>
        <x14:conditionalFormatting xmlns:xm="http://schemas.microsoft.com/office/excel/2006/main">
          <x14:cfRule type="expression" priority="3" id="{F4DB5CCC-2295-49A1-BDEA-CEBA407EE739}">
            <xm:f>AND(REGEXMATCH($S2,"^(Yes|Partially)$"), ISBLANK($T2))</xm:f>
            <x14:dxf>
              <font/>
              <fill>
                <patternFill patternType="solid">
                  <fgColor rgb="FFE68282"/>
                  <bgColor rgb="FFE68282"/>
                </patternFill>
              </fill>
              <border>
                <left/>
                <right/>
                <top/>
                <bottom/>
                <diagonal/>
              </border>
            </x14:dxf>
          </x14:cfRule>
          <xm:sqref>T2:T27</xm:sqref>
        </x14:conditionalFormatting>
        <x14:conditionalFormatting xmlns:xm="http://schemas.microsoft.com/office/excel/2006/main">
          <x14:cfRule type="expression" priority="4" id="{C0309EFC-2694-4E85-B0BF-7748415191A5}">
            <xm:f>AND($V2="Yes", ISBLANK($W2))</xm:f>
            <x14:dxf>
              <font/>
              <fill>
                <patternFill patternType="solid">
                  <fgColor rgb="FFE68282"/>
                  <bgColor rgb="FFE68282"/>
                </patternFill>
              </fill>
              <border>
                <left/>
                <right/>
                <top/>
                <bottom/>
                <diagonal/>
              </border>
            </x14:dxf>
          </x14:cfRule>
          <xm:sqref>W2:W27</xm:sqref>
        </x14:conditionalFormatting>
        <x14:conditionalFormatting xmlns:xm="http://schemas.microsoft.com/office/excel/2006/main">
          <x14:cfRule type="expression" priority="5" id="{52809E4A-E88E-4621-8CB5-1CBD2268ADC5}">
            <xm:f>AND($X2="Yes", ISBLANK($Y2))</xm:f>
            <x14:dxf>
              <font/>
              <fill>
                <patternFill patternType="solid">
                  <fgColor rgb="FFE68282"/>
                  <bgColor rgb="FFE68282"/>
                </patternFill>
              </fill>
              <border>
                <left/>
                <right/>
                <top/>
                <bottom/>
                <diagonal/>
              </border>
            </x14:dxf>
          </x14:cfRule>
          <xm:sqref>Y2:Y27</xm:sqref>
        </x14:conditionalFormatting>
      </x14:conditionalFormattings>
    </ext>
    <ext xmlns:x14="http://schemas.microsoft.com/office/spreadsheetml/2009/9/main" uri="{CCE6A557-97BC-4b89-ADB6-D9C93CAAB3DF}">
      <x14:dataValidations xmlns:xm="http://schemas.microsoft.com/office/excel/2006/main" count="10" disablePrompts="0">
        <x14:dataValidation xr:uid="{481B2702-BF28-441B-A2AC-C46F0AB1FC5C}" type="list" allowBlank="1" errorStyle="stop" imeMode="noControl" operator="between" showDropDown="0" showErrorMessage="0" showInputMessage="0">
          <x14:formula1>
            <xm:f>"Yes,No"</xm:f>
          </x14:formula1>
          <xm:sqref>L2:L27</xm:sqref>
        </x14:dataValidation>
        <x14:dataValidation xr:uid="{90738D05-9B83-4CFE-B862-680456B5D99F}" type="list" allowBlank="1" errorStyle="stop" imeMode="noControl" operator="between" showDropDown="0" showErrorMessage="0" showInputMessage="0">
          <x14:formula1>
            <xm:f>"Yes,No,Unknown"</xm:f>
          </x14:formula1>
          <xm:sqref>R2:R27</xm:sqref>
        </x14:dataValidation>
        <x14:dataValidation xr:uid="{927C7557-024F-4297-8C9B-39E2A5262E69}" type="list" allowBlank="1" errorStyle="stop" imeMode="noControl" operator="between" showDropDown="0" showErrorMessage="0" showInputMessage="0">
          <x14:formula1>
            <xm:f>"Yes,No,Unknown"</xm:f>
          </x14:formula1>
          <xm:sqref>N2:N27</xm:sqref>
        </x14:dataValidation>
        <x14:dataValidation xr:uid="{906C3BBE-4CCA-4049-8ED8-E1D43C880D8A}" type="list" allowBlank="1" errorStyle="stop" imeMode="noControl" operator="between" showDropDown="0" showErrorMessage="0" showInputMessage="0">
          <x14:formula1>
            <xm:f>"Yes,No,Partially,Unknown,N/A"</xm:f>
          </x14:formula1>
          <xm:sqref>Z2:Z27</xm:sqref>
        </x14:dataValidation>
        <x14:dataValidation xr:uid="{78A94429-9C79-401D-A4D1-2E2D799D8C78}" type="custom" allowBlank="1" errorStyle="stop" imeMode="noControl" operator="between" showDropDown="1" showErrorMessage="0" showInputMessage="0">
          <x14:formula1>
            <xm:f>AND(ISNUMBER(B2),(NOT(OR(NOT(ISERROR(DATEVALUE(B2))), AND(ISNUMBER(B2), LEFT(CELL("format", B2))="D")))))</xm:f>
          </x14:formula1>
          <xm:sqref>B2:B27 F2:F27 J2:J27</xm:sqref>
        </x14:dataValidation>
        <x14:dataValidation xr:uid="{243B444D-8ADE-438C-B22F-DCFD9DB97B5E}" type="custom" allowBlank="1" errorStyle="stop" imeMode="noControl" operator="between" showDropDown="1" showErrorMessage="0" showInputMessage="0">
          <x14:formula1>
            <xm:f>OR(NOT(ISERROR(DATEVALUE(E2))), AND(ISNUMBER(E2), LEFT(CELL("format", E2))="D"))</xm:f>
          </x14:formula1>
          <xm:sqref>E2:E27</xm:sqref>
        </x14:dataValidation>
        <x14:dataValidation xr:uid="{BAAD3B09-7F0F-456C-9241-CEA3770D0711}" type="list" allowBlank="1" errorStyle="stop" imeMode="noControl" operator="between" showDropDown="0" showErrorMessage="0" showInputMessage="0">
          <x14:formula1>
            <xm:f>"Yes,No,Unknown"</xm:f>
          </x14:formula1>
          <xm:sqref>M2:M27</xm:sqref>
        </x14:dataValidation>
        <x14:dataValidation xr:uid="{A287C108-236E-4458-B775-9D7159CF18AD}" type="list" allowBlank="1" errorStyle="stop" imeMode="noControl" operator="between" showDropDown="0" showErrorMessage="0" showInputMessage="0">
          <x14:formula1>
            <xm:f>"Yes,No,Unknown,N/A"</xm:f>
          </x14:formula1>
          <xm:sqref>V2:V27 X2:X27</xm:sqref>
        </x14:dataValidation>
        <x14:dataValidation xr:uid="{5AC4AF74-161C-495F-B311-548ECBDE03D5}" type="list" allowBlank="1" errorStyle="stop" imeMode="noControl" operator="between" showDropDown="0" showErrorMessage="0" showInputMessage="0">
          <x14:formula1>
            <xm:f>"Yes,No,Partially,Unknown,N/A,Upon_request"</xm:f>
          </x14:formula1>
          <xm:sqref>O2:O27 S2:S27</xm:sqref>
        </x14:dataValidation>
        <x14:dataValidation xr:uid="{F11DB71A-81A1-49D8-B1B8-05D959CB2E02}" type="list" allowBlank="1" errorStyle="stop" imeMode="noControl" operator="between" showDropDown="0" showErrorMessage="0" showInputMessage="0">
          <x14:formula1>
            <xm:f>"Mar,Jun,Sep,Dec"</xm:f>
          </x14:formula1>
          <xm:sqref>G2:G27</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1"/>
  </sheetPr>
  <sheetViews>
    <sheetView zoomScale="100" workbookViewId="0">
      <pane xSplit="2" ySplit="1" topLeftCell="C2" activePane="bottomRight" state="frozen"/>
      <selection activeCell="C2" activeCellId="0" sqref="C2"/>
    </sheetView>
  </sheetViews>
  <sheetFormatPr defaultColWidth="12.630000000000001" defaultRowHeight="15.75" customHeight="1"/>
  <cols>
    <col customWidth="1" min="1" max="1" width="24.25"/>
    <col customWidth="1" min="2" max="2" width="20.129999999999999"/>
    <col customWidth="1" min="3" max="3" width="21"/>
    <col customWidth="1" min="4" max="4" width="14.75"/>
    <col customWidth="1" min="6" max="6" width="11.880000000000001"/>
    <col customWidth="1" min="7" max="7" width="12.630000000000001"/>
    <col customWidth="1" min="8" max="8" width="15.130000000000001"/>
    <col customWidth="1" min="9" max="9" width="28"/>
    <col customWidth="1" min="10" max="10" width="18.879999999999999"/>
    <col customWidth="1" min="11" max="11" width="36.75"/>
    <col customWidth="1" min="12" max="12" width="21.379999999999999"/>
    <col customWidth="1" min="13" max="13" width="18.879999999999999"/>
    <col customWidth="1" min="14" max="14" width="19.879999999999999"/>
    <col customWidth="1" min="15" max="16" width="19.75"/>
    <col customWidth="1" min="17" max="17" width="34.5"/>
    <col customWidth="1" min="18" max="18" width="19"/>
    <col customWidth="1" min="19" max="19" width="19.379999999999999"/>
    <col customWidth="1" min="20" max="21" width="19.75"/>
    <col customWidth="1" min="22" max="22" width="22.629999999999999"/>
    <col customWidth="1" min="23" max="23" width="32.630000000000003"/>
    <col customWidth="1" min="24" max="24" width="22.629999999999999"/>
    <col customWidth="1" min="25" max="25" width="25.5"/>
    <col customWidth="1" min="26" max="26" width="27.25"/>
    <col customWidth="1" min="27" max="27" width="39.25"/>
    <col customWidth="1" min="28" max="29" width="34.130000000000003"/>
  </cols>
  <sheetData>
    <row r="1" ht="22.5" customHeight="1">
      <c r="A1" s="1" t="s">
        <v>0</v>
      </c>
      <c r="B1" s="2" t="s">
        <v>1</v>
      </c>
      <c r="C1" s="3" t="s">
        <v>2</v>
      </c>
      <c r="D1" s="3" t="s">
        <v>3</v>
      </c>
      <c r="E1" s="3" t="s">
        <v>4</v>
      </c>
      <c r="F1" s="2" t="s">
        <v>5</v>
      </c>
      <c r="G1" s="2" t="s">
        <v>6</v>
      </c>
      <c r="H1" s="2" t="s">
        <v>7</v>
      </c>
      <c r="I1" s="2" t="s">
        <v>8</v>
      </c>
      <c r="J1" s="2" t="s">
        <v>9</v>
      </c>
      <c r="K1" s="2" t="s">
        <v>10</v>
      </c>
      <c r="L1" s="2" t="s">
        <v>11</v>
      </c>
      <c r="M1" s="2" t="s">
        <v>12</v>
      </c>
      <c r="N1" s="4" t="s">
        <v>13</v>
      </c>
      <c r="O1" s="4" t="s">
        <v>14</v>
      </c>
      <c r="P1" s="4" t="s">
        <v>15</v>
      </c>
      <c r="Q1" s="4" t="s">
        <v>16</v>
      </c>
      <c r="R1" s="5" t="s">
        <v>17</v>
      </c>
      <c r="S1" s="5" t="s">
        <v>18</v>
      </c>
      <c r="T1" s="5" t="s">
        <v>19</v>
      </c>
      <c r="U1" s="5" t="s">
        <v>20</v>
      </c>
      <c r="V1" s="2" t="s">
        <v>21</v>
      </c>
      <c r="W1" s="3" t="s">
        <v>22</v>
      </c>
      <c r="X1" s="2" t="s">
        <v>23</v>
      </c>
      <c r="Y1" s="3" t="s">
        <v>24</v>
      </c>
      <c r="Z1" s="2" t="s">
        <v>25</v>
      </c>
      <c r="AA1" s="3" t="s">
        <v>26</v>
      </c>
      <c r="AB1" s="3" t="s">
        <v>27</v>
      </c>
      <c r="AC1" s="3" t="s">
        <v>28</v>
      </c>
    </row>
    <row r="2" ht="22.5" customHeight="1">
      <c r="A2" s="11" t="str">
        <f>REGEXEXTRACT(D2, "\d{4}\.\s(.*?)\.\sProc\. ACM")"),"SARS: A Personalized Federated Learning Framework Towards Fairness and Robustness against Backdoor Attacks</f>
        <v xml:space="preserve">SARS: A Personalized Federated Learning Framework Towards Fairness and Robustness against Backdoor Attacks</v>
      </c>
      <c r="B2" s="7">
        <f t="shared" ref="B2:B9" si="40">IFERROR(VALUE(REGEXEXTRACT(D2,"Article\s+(\d+)")),"")
</f>
        <v>140</v>
      </c>
      <c r="C2" s="8" t="s">
        <v>1573</v>
      </c>
      <c r="D2" s="6" t="s">
        <v>1574</v>
      </c>
      <c r="E2" s="9">
        <v>45989</v>
      </c>
      <c r="F2" s="7">
        <v>2024</v>
      </c>
      <c r="G2" s="7" t="s">
        <v>31</v>
      </c>
      <c r="H2" s="6" t="str">
        <f t="shared" ref="H2:H62" si="41">TEXT($F2,"0000") &amp; "_" &amp; $G2 &amp; "_" &amp; TEXT($B2,"000")</f>
        <v>2024_Dec_140</v>
      </c>
      <c r="I2" s="12" t="str">
        <f t="shared" ref="I2:I62" si="42">CONCATENATE("https",RIGHT(D2,LEN(D2) - (FIND("://",D2) - 1)))</f>
        <v>https://doi.org/10.1145/3678571</v>
      </c>
      <c r="J2" s="7">
        <f>IF(D2:D62&lt;&gt;"", VALUE(REGEXEXTRACT(D2:D62, "(\d+)\s+pages")), )
</f>
        <v>24</v>
      </c>
      <c r="K2" s="6" t="s">
        <v>64</v>
      </c>
      <c r="L2" s="7" t="str">
        <f t="shared" ref="L2:L9" si="43">IF(REGEXMATCH(LOWER($A2),"(^|[^a-z])dataset(s)?([^a-z]|$)"),"Yes","No")"),"No</f>
        <v>No</v>
      </c>
      <c r="M2" s="7" t="s">
        <v>34</v>
      </c>
      <c r="N2" s="7" t="s">
        <v>33</v>
      </c>
      <c r="O2" s="7" t="s">
        <v>33</v>
      </c>
      <c r="P2" s="10" t="s">
        <v>1575</v>
      </c>
      <c r="Q2" s="6"/>
      <c r="R2" s="7" t="s">
        <v>33</v>
      </c>
      <c r="S2" s="7" t="s">
        <v>33</v>
      </c>
      <c r="T2" s="6"/>
      <c r="U2" s="6" t="s">
        <v>1576</v>
      </c>
      <c r="V2" s="7" t="s">
        <v>34</v>
      </c>
      <c r="W2" s="6"/>
      <c r="X2" s="7" t="s">
        <v>34</v>
      </c>
      <c r="Y2" s="6" t="s">
        <v>1577</v>
      </c>
      <c r="Z2" s="7" t="s">
        <v>33</v>
      </c>
      <c r="AA2" s="6" t="s">
        <v>1578</v>
      </c>
      <c r="AB2" s="6" t="s">
        <v>1579</v>
      </c>
      <c r="AC2" s="6" t="s">
        <v>39</v>
      </c>
    </row>
    <row r="3" ht="22.5" customHeight="1">
      <c r="A3" s="11" t="str">
        <f>REGEXEXTRACT(D3, "\d{4}\.\s(.*?)\.\sProc\. ACM")"),"Self-supervised Learning for Accelerometer-based Human Activity Recognition: A Survey</f>
        <v xml:space="preserve">Self-supervised Learning for Accelerometer-based Human Activity Recognition: A Survey</v>
      </c>
      <c r="B3" s="7">
        <f t="shared" si="40"/>
        <v>149</v>
      </c>
      <c r="C3" s="8" t="s">
        <v>1580</v>
      </c>
      <c r="D3" s="6" t="s">
        <v>1581</v>
      </c>
      <c r="E3" s="9">
        <v>45989</v>
      </c>
      <c r="F3" s="7">
        <v>2024</v>
      </c>
      <c r="G3" s="7" t="s">
        <v>31</v>
      </c>
      <c r="H3" s="6" t="str">
        <f t="shared" si="41"/>
        <v>2024_Dec_149</v>
      </c>
      <c r="I3" s="12" t="str">
        <f t="shared" si="42"/>
        <v>https://doi.org/10.1145/3699767</v>
      </c>
      <c r="J3" s="7">
        <f>IF(D3:D62&lt;&gt;"", VALUE(REGEXEXTRACT(D3:D62, "(\d+)\s+pages")), )
</f>
        <v>42</v>
      </c>
      <c r="K3" s="6" t="s">
        <v>110</v>
      </c>
      <c r="L3" s="7" t="str">
        <f t="shared" si="43"/>
        <v>No</v>
      </c>
      <c r="M3" s="7" t="s">
        <v>33</v>
      </c>
      <c r="N3" s="7" t="s">
        <v>34</v>
      </c>
      <c r="O3" s="7" t="s">
        <v>35</v>
      </c>
      <c r="P3" s="6"/>
      <c r="Q3" s="6"/>
      <c r="R3" s="7" t="s">
        <v>34</v>
      </c>
      <c r="S3" s="7" t="s">
        <v>35</v>
      </c>
      <c r="T3" s="6"/>
      <c r="U3" s="6"/>
      <c r="V3" s="7" t="s">
        <v>35</v>
      </c>
      <c r="W3" s="6"/>
      <c r="X3" s="7" t="s">
        <v>35</v>
      </c>
      <c r="Y3" s="13"/>
      <c r="Z3" s="7" t="s">
        <v>35</v>
      </c>
      <c r="AA3" s="6"/>
      <c r="AB3" s="13"/>
      <c r="AC3" s="3">
        <v>1</v>
      </c>
    </row>
    <row r="4" ht="22.5" customHeight="1">
      <c r="A4" s="11" t="str">
        <f>REGEXEXTRACT(D4, "\d{4}\.\s(.*?)\.\sProc\. ACM")"),"EyeTrAES: Fine-grained, Low-Latency Eye Tracking via Adaptive Event Slicing</f>
        <v xml:space="preserve">EyeTrAES: Fine-grained, Low-Latency Eye Tracking via Adaptive Event Slicing</v>
      </c>
      <c r="B4" s="7">
        <f t="shared" si="40"/>
        <v>150</v>
      </c>
      <c r="C4" s="8" t="s">
        <v>1582</v>
      </c>
      <c r="D4" s="6" t="s">
        <v>1583</v>
      </c>
      <c r="E4" s="9">
        <v>45989</v>
      </c>
      <c r="F4" s="7">
        <v>2024</v>
      </c>
      <c r="G4" s="7" t="s">
        <v>31</v>
      </c>
      <c r="H4" s="6" t="str">
        <f t="shared" si="41"/>
        <v>2024_Dec_150</v>
      </c>
      <c r="I4" s="12" t="str">
        <f t="shared" si="42"/>
        <v>https://doi.org/10.1145/3699745</v>
      </c>
      <c r="J4" s="7">
        <f>IF(D4:D62&lt;&gt;"", VALUE(REGEXEXTRACT(D4:D62, "(\d+)\s+pages")), )
</f>
        <v>32</v>
      </c>
      <c r="K4" s="6" t="s">
        <v>133</v>
      </c>
      <c r="L4" s="7" t="str">
        <f t="shared" si="43"/>
        <v>No</v>
      </c>
      <c r="M4" s="7" t="s">
        <v>33</v>
      </c>
      <c r="N4" s="7" t="s">
        <v>33</v>
      </c>
      <c r="O4" s="7" t="s">
        <v>33</v>
      </c>
      <c r="P4" s="10" t="s">
        <v>1584</v>
      </c>
      <c r="Q4" s="6"/>
      <c r="R4" s="7" t="s">
        <v>33</v>
      </c>
      <c r="S4" s="7" t="s">
        <v>33</v>
      </c>
      <c r="T4" s="10" t="s">
        <v>1584</v>
      </c>
      <c r="U4" s="6" t="s">
        <v>1585</v>
      </c>
      <c r="V4" s="7" t="s">
        <v>34</v>
      </c>
      <c r="W4" s="6" t="s">
        <v>1586</v>
      </c>
      <c r="X4" s="7" t="s">
        <v>34</v>
      </c>
      <c r="Y4" s="6" t="s">
        <v>1587</v>
      </c>
      <c r="Z4" s="7" t="s">
        <v>34</v>
      </c>
      <c r="AA4" s="6" t="s">
        <v>1588</v>
      </c>
      <c r="AB4" s="6" t="s">
        <v>1589</v>
      </c>
      <c r="AC4" s="6" t="s">
        <v>39</v>
      </c>
    </row>
    <row r="5" ht="22.5" customHeight="1">
      <c r="A5" s="11" t="str">
        <f>REGEXEXTRACT(D5, "\d{4}\.\s(.*?)\.\sProc\. ACM")"),"KneeGuard: A Calibration-free Wearable Monitoring System for Knee Osteoarthritis Gait Re-training via Effortless Wearing</f>
        <v xml:space="preserve">KneeGuard: A Calibration-free Wearable Monitoring System for Knee Osteoarthritis Gait Re-training via Effortless Wearing</v>
      </c>
      <c r="B5" s="7">
        <f t="shared" si="40"/>
        <v>151</v>
      </c>
      <c r="C5" s="8" t="s">
        <v>1590</v>
      </c>
      <c r="D5" s="6" t="s">
        <v>1591</v>
      </c>
      <c r="E5" s="9">
        <v>45989</v>
      </c>
      <c r="F5" s="7">
        <v>2024</v>
      </c>
      <c r="G5" s="7" t="s">
        <v>31</v>
      </c>
      <c r="H5" s="6" t="str">
        <f t="shared" si="41"/>
        <v>2024_Dec_151</v>
      </c>
      <c r="I5" s="12" t="str">
        <f t="shared" si="42"/>
        <v>https://doi.org/10.1145/3699768</v>
      </c>
      <c r="J5" s="7">
        <f>IF(D5:D62&lt;&gt;"", VALUE(REGEXEXTRACT(D5:D62, "(\d+)\s+pages")), )
</f>
        <v>29</v>
      </c>
      <c r="K5" s="6" t="s">
        <v>45</v>
      </c>
      <c r="L5" s="7" t="str">
        <f t="shared" si="43"/>
        <v>No</v>
      </c>
      <c r="M5" s="7" t="s">
        <v>34</v>
      </c>
      <c r="N5" s="7" t="s">
        <v>33</v>
      </c>
      <c r="O5" s="7" t="s">
        <v>33</v>
      </c>
      <c r="P5" s="10" t="s">
        <v>1592</v>
      </c>
      <c r="Q5" s="6" t="s">
        <v>1593</v>
      </c>
      <c r="R5" s="7" t="s">
        <v>33</v>
      </c>
      <c r="S5" s="7" t="s">
        <v>144</v>
      </c>
      <c r="T5" s="10" t="s">
        <v>1592</v>
      </c>
      <c r="U5" s="6" t="s">
        <v>1594</v>
      </c>
      <c r="V5" s="7" t="s">
        <v>33</v>
      </c>
      <c r="W5" s="6" t="s">
        <v>1595</v>
      </c>
      <c r="X5" s="7" t="s">
        <v>34</v>
      </c>
      <c r="Y5" s="13"/>
      <c r="Z5" s="7" t="s">
        <v>33</v>
      </c>
      <c r="AA5" s="6" t="s">
        <v>1596</v>
      </c>
      <c r="AB5" s="6" t="s">
        <v>1597</v>
      </c>
      <c r="AC5" s="6" t="s">
        <v>39</v>
      </c>
    </row>
    <row r="6" ht="22.5" customHeight="1">
      <c r="A6" s="11" t="str">
        <f>REGEXEXTRACT(D6, "\d{4}\.\s(.*?)\.\sProc\. ACM")"),"Are We in the Zone? Exploring the Features and Method of Detecting Simultaneous Flow Experiences Based on EEG Signals</f>
        <v xml:space="preserve">Are We in the Zone? Exploring the Features and Method of Detecting Simultaneous Flow Experiences Based on EEG Signals</v>
      </c>
      <c r="B6" s="7">
        <f t="shared" si="40"/>
        <v>152</v>
      </c>
      <c r="C6" s="8" t="s">
        <v>1598</v>
      </c>
      <c r="D6" s="6" t="s">
        <v>1599</v>
      </c>
      <c r="E6" s="9">
        <v>45989</v>
      </c>
      <c r="F6" s="7">
        <v>2024</v>
      </c>
      <c r="G6" s="7" t="s">
        <v>31</v>
      </c>
      <c r="H6" s="6" t="str">
        <f t="shared" si="41"/>
        <v>2024_Dec_152</v>
      </c>
      <c r="I6" s="12" t="str">
        <f t="shared" si="42"/>
        <v>https://doi.org/10.1145/3699774</v>
      </c>
      <c r="J6" s="7">
        <f>IF(D6:D62&lt;&gt;"", VALUE(REGEXEXTRACT(D6:D62, "(\d+)\s+pages")), )
</f>
        <v>42</v>
      </c>
      <c r="K6" s="6" t="s">
        <v>243</v>
      </c>
      <c r="L6" s="7" t="str">
        <f t="shared" si="43"/>
        <v>No</v>
      </c>
      <c r="M6" s="7" t="s">
        <v>34</v>
      </c>
      <c r="N6" s="7" t="s">
        <v>33</v>
      </c>
      <c r="O6" s="7" t="s">
        <v>34</v>
      </c>
      <c r="P6" s="10" t="s">
        <v>1600</v>
      </c>
      <c r="Q6" s="6" t="s">
        <v>1601</v>
      </c>
      <c r="R6" s="7" t="s">
        <v>33</v>
      </c>
      <c r="S6" s="7" t="s">
        <v>34</v>
      </c>
      <c r="T6" s="10" t="s">
        <v>1600</v>
      </c>
      <c r="U6" s="6" t="s">
        <v>1601</v>
      </c>
      <c r="V6" s="7" t="s">
        <v>34</v>
      </c>
      <c r="W6" s="6" t="s">
        <v>1602</v>
      </c>
      <c r="X6" s="7" t="s">
        <v>34</v>
      </c>
      <c r="Y6" s="13"/>
      <c r="Z6" s="7" t="s">
        <v>34</v>
      </c>
      <c r="AA6" s="6" t="s">
        <v>1603</v>
      </c>
      <c r="AB6" s="6" t="s">
        <v>1604</v>
      </c>
      <c r="AC6" s="6" t="s">
        <v>39</v>
      </c>
    </row>
    <row r="7" ht="22.5" customHeight="1">
      <c r="A7" s="11" t="str">
        <f>REGEXEXTRACT(D7, "\d{4}\.\s(.*?)\.\sProc\. ACM")"),"DrHouse: An LLM-empowered Diagnostic Reasoning System through Harnessing Outcomes from Sensor Data and Expert Knowledge</f>
        <v xml:space="preserve">DrHouse: An LLM-empowered Diagnostic Reasoning System through Harnessing Outcomes from Sensor Data and Expert Knowledge</v>
      </c>
      <c r="B7" s="7">
        <f t="shared" si="40"/>
        <v>153</v>
      </c>
      <c r="C7" s="8" t="s">
        <v>1605</v>
      </c>
      <c r="D7" s="6" t="s">
        <v>1606</v>
      </c>
      <c r="E7" s="9">
        <v>45989</v>
      </c>
      <c r="F7" s="7">
        <v>2024</v>
      </c>
      <c r="G7" s="7" t="s">
        <v>31</v>
      </c>
      <c r="H7" s="6" t="str">
        <f t="shared" si="41"/>
        <v>2024_Dec_153</v>
      </c>
      <c r="I7" s="12" t="str">
        <f t="shared" si="42"/>
        <v>https://doi.org/10.1145/3699765</v>
      </c>
      <c r="J7" s="7">
        <f>IF(D7:D62&lt;&gt;"", VALUE(REGEXEXTRACT(D7:D62, "(\d+)\s+pages")), )
</f>
        <v>29</v>
      </c>
      <c r="K7" s="6" t="s">
        <v>133</v>
      </c>
      <c r="L7" s="7" t="str">
        <f t="shared" si="43"/>
        <v>No</v>
      </c>
      <c r="M7" s="7" t="s">
        <v>33</v>
      </c>
      <c r="N7" s="7" t="s">
        <v>33</v>
      </c>
      <c r="O7" s="7" t="s">
        <v>34</v>
      </c>
      <c r="P7" s="6"/>
      <c r="Q7" s="6"/>
      <c r="R7" s="7" t="s">
        <v>33</v>
      </c>
      <c r="S7" s="7" t="s">
        <v>144</v>
      </c>
      <c r="T7" s="6"/>
      <c r="U7" s="6" t="s">
        <v>1607</v>
      </c>
      <c r="V7" s="7" t="s">
        <v>34</v>
      </c>
      <c r="W7" s="6"/>
      <c r="X7" s="7" t="s">
        <v>33</v>
      </c>
      <c r="Y7" s="6" t="s">
        <v>1608</v>
      </c>
      <c r="Z7" s="7" t="s">
        <v>34</v>
      </c>
      <c r="AA7" s="6"/>
      <c r="AB7" s="6" t="s">
        <v>1609</v>
      </c>
      <c r="AC7" s="6" t="s">
        <v>39</v>
      </c>
    </row>
    <row r="8" ht="22.5" customHeight="1">
      <c r="A8" s="11" t="str">
        <f>REGEXEXTRACT(D8, "\d{4}\.\s(.*?)\.\sProc\. ACM")"),"CalibRead: Unobtrusive Eye Tracking Calibration from Natural Reading Behavior</f>
        <v xml:space="preserve">CalibRead: Unobtrusive Eye Tracking Calibration from Natural Reading Behavior</v>
      </c>
      <c r="B8" s="7">
        <f t="shared" si="40"/>
        <v>154</v>
      </c>
      <c r="C8" s="8" t="s">
        <v>1610</v>
      </c>
      <c r="D8" s="6" t="s">
        <v>1611</v>
      </c>
      <c r="E8" s="9">
        <v>45992</v>
      </c>
      <c r="F8" s="7">
        <v>2024</v>
      </c>
      <c r="G8" s="7" t="s">
        <v>31</v>
      </c>
      <c r="H8" s="6" t="str">
        <f t="shared" si="41"/>
        <v>2024_Dec_154</v>
      </c>
      <c r="I8" s="12" t="str">
        <f t="shared" si="42"/>
        <v>https://doi.org/10.1145/3699737</v>
      </c>
      <c r="J8" s="7">
        <f>IF(D8:D62&lt;&gt;"", VALUE(REGEXEXTRACT(D8:D62, "(\d+)\s+pages")), )
</f>
        <v>30</v>
      </c>
      <c r="K8" s="6" t="s">
        <v>32</v>
      </c>
      <c r="L8" s="7" t="str">
        <f t="shared" si="43"/>
        <v>No</v>
      </c>
      <c r="M8" s="7" t="s">
        <v>33</v>
      </c>
      <c r="N8" s="7" t="s">
        <v>33</v>
      </c>
      <c r="O8" s="7" t="s">
        <v>34</v>
      </c>
      <c r="P8" s="6"/>
      <c r="Q8" s="6"/>
      <c r="R8" s="7" t="s">
        <v>33</v>
      </c>
      <c r="S8" s="7" t="s">
        <v>34</v>
      </c>
      <c r="T8" s="6"/>
      <c r="U8" s="6"/>
      <c r="V8" s="7" t="s">
        <v>33</v>
      </c>
      <c r="W8" s="6" t="s">
        <v>1612</v>
      </c>
      <c r="X8" s="7" t="s">
        <v>34</v>
      </c>
      <c r="Y8" s="13"/>
      <c r="Z8" s="7" t="s">
        <v>34</v>
      </c>
      <c r="AA8" s="6"/>
      <c r="AB8" s="6" t="s">
        <v>1613</v>
      </c>
      <c r="AC8" s="6" t="s">
        <v>39</v>
      </c>
    </row>
    <row r="9" ht="22.5" customHeight="1">
      <c r="A9" s="11" t="str">
        <f>REGEXEXTRACT(D9, "\d{4}\.\s(.*?)\.\sProc\. ACM")"),"LR-Auth: Towards Practical Implementation of Implicit User Authentication on Earbuds</f>
        <v xml:space="preserve">LR-Auth: Towards Practical Implementation of Implicit User Authentication on Earbuds</v>
      </c>
      <c r="B9" s="7">
        <f t="shared" si="40"/>
        <v>155</v>
      </c>
      <c r="C9" s="8" t="s">
        <v>1614</v>
      </c>
      <c r="D9" s="6" t="s">
        <v>1615</v>
      </c>
      <c r="E9" s="9">
        <v>45992</v>
      </c>
      <c r="F9" s="7">
        <v>2024</v>
      </c>
      <c r="G9" s="7" t="s">
        <v>31</v>
      </c>
      <c r="H9" s="6" t="str">
        <f t="shared" si="41"/>
        <v>2024_Dec_155</v>
      </c>
      <c r="I9" s="12" t="str">
        <f t="shared" si="42"/>
        <v>https://doi.org/10.1145/3699793</v>
      </c>
      <c r="J9" s="7">
        <f>IF(D9:D62&lt;&gt;"", VALUE(REGEXEXTRACT(D9:D62, "(\d+)\s+pages")), )
</f>
        <v>27</v>
      </c>
      <c r="K9" s="6" t="s">
        <v>71</v>
      </c>
      <c r="L9" s="7" t="str">
        <f t="shared" si="43"/>
        <v>No</v>
      </c>
      <c r="M9" s="7" t="s">
        <v>33</v>
      </c>
      <c r="N9" s="7" t="s">
        <v>33</v>
      </c>
      <c r="O9" s="7" t="s">
        <v>34</v>
      </c>
      <c r="P9" s="6"/>
      <c r="Q9" s="6"/>
      <c r="R9" s="7" t="s">
        <v>33</v>
      </c>
      <c r="S9" s="7" t="s">
        <v>34</v>
      </c>
      <c r="T9" s="6"/>
      <c r="U9" s="6"/>
      <c r="V9" s="7" t="s">
        <v>34</v>
      </c>
      <c r="W9" s="6" t="s">
        <v>1616</v>
      </c>
      <c r="X9" s="7" t="s">
        <v>34</v>
      </c>
      <c r="Y9" s="13"/>
      <c r="Z9" s="7" t="s">
        <v>34</v>
      </c>
      <c r="AA9" s="6"/>
      <c r="AB9" s="6" t="s">
        <v>1617</v>
      </c>
      <c r="AC9" s="6" t="s">
        <v>39</v>
      </c>
    </row>
    <row r="10" ht="22.5" customHeight="1">
      <c r="A10" s="11" t="str">
        <f>REGEXEXTRACT(D10, "\d{4}\.\s(.*?)\.\sProc\. ACM")"),"Perfat: Non-contact Abdominal Obesity Assessment System</f>
        <v xml:space="preserve">Perfat: Non-contact Abdominal Obesity Assessment System</v>
      </c>
      <c r="B10" s="7">
        <f t="shared" ref="B10:B62" si="44">IFERROR(VALUE(REGEXEXTRACT(D10,"Article\s+(\d+)")),"")
</f>
        <v>156</v>
      </c>
      <c r="C10" s="8" t="s">
        <v>1618</v>
      </c>
      <c r="D10" s="6" t="s">
        <v>1619</v>
      </c>
      <c r="E10" s="9">
        <v>45992</v>
      </c>
      <c r="F10" s="7">
        <v>2024</v>
      </c>
      <c r="G10" s="7" t="s">
        <v>31</v>
      </c>
      <c r="H10" s="6" t="str">
        <f t="shared" si="41"/>
        <v>2024_Dec_156</v>
      </c>
      <c r="I10" s="12" t="str">
        <f t="shared" si="42"/>
        <v>https://doi.org/10.1145/3699727</v>
      </c>
      <c r="J10" s="7">
        <f>IF(D10:D62&lt;&gt;"", VALUE(REGEXEXTRACT(D10:D62, "(\d+)\s+pages")), )
</f>
        <v>25</v>
      </c>
      <c r="K10" s="6" t="s">
        <v>45</v>
      </c>
      <c r="L10" s="7" t="str">
        <f t="shared" ref="L10:L25" si="45">IF(REGEXMATCH(LOWER($A10),"(^|[^a-z])dataset(s)?([^a-z]|$)"),"Yes","No")"),"No</f>
        <v>No</v>
      </c>
      <c r="M10" s="7" t="s">
        <v>34</v>
      </c>
      <c r="N10" s="7" t="s">
        <v>33</v>
      </c>
      <c r="O10" s="7" t="s">
        <v>34</v>
      </c>
      <c r="P10" s="6"/>
      <c r="Q10" s="6"/>
      <c r="R10" s="7" t="s">
        <v>33</v>
      </c>
      <c r="S10" s="7" t="s">
        <v>34</v>
      </c>
      <c r="T10" s="6"/>
      <c r="U10" s="6"/>
      <c r="V10" s="7" t="s">
        <v>33</v>
      </c>
      <c r="W10" s="6" t="s">
        <v>1620</v>
      </c>
      <c r="X10" s="7" t="s">
        <v>34</v>
      </c>
      <c r="Y10" s="13"/>
      <c r="Z10" s="7" t="s">
        <v>34</v>
      </c>
      <c r="AA10" s="6"/>
      <c r="AB10" s="6" t="s">
        <v>1621</v>
      </c>
      <c r="AC10" s="6" t="s">
        <v>39</v>
      </c>
    </row>
    <row r="11" ht="22.5" customHeight="1">
      <c r="A11" s="11" t="str">
        <f>REGEXEXTRACT(D11, "\d{4}\.\s(.*?)\.\sProc\. ACM")"),"Moat: Adaptive Inside/Outside Detection System for Smart Homes</f>
        <v xml:space="preserve">Moat: Adaptive Inside/Outside Detection System for Smart Homes</v>
      </c>
      <c r="B11" s="7">
        <f t="shared" si="44"/>
        <v>157</v>
      </c>
      <c r="C11" s="8" t="s">
        <v>1622</v>
      </c>
      <c r="D11" s="10" t="s">
        <v>1623</v>
      </c>
      <c r="E11" s="9">
        <v>45992</v>
      </c>
      <c r="F11" s="7">
        <v>2024</v>
      </c>
      <c r="G11" s="7" t="s">
        <v>31</v>
      </c>
      <c r="H11" s="6" t="str">
        <f t="shared" si="41"/>
        <v>2024_Dec_157</v>
      </c>
      <c r="I11" s="12" t="str">
        <f t="shared" si="42"/>
        <v>https://doi.org/10.1145/3699751</v>
      </c>
      <c r="J11" s="7">
        <f>IF(D11:D62&lt;&gt;"", VALUE(REGEXEXTRACT(D11:D62, "(\d+)\s+pages")), )
</f>
        <v>31</v>
      </c>
      <c r="K11" s="6" t="s">
        <v>71</v>
      </c>
      <c r="L11" s="7" t="str">
        <f t="shared" si="45"/>
        <v>No</v>
      </c>
      <c r="M11" s="7" t="s">
        <v>33</v>
      </c>
      <c r="N11" s="7" t="s">
        <v>33</v>
      </c>
      <c r="O11" s="7" t="s">
        <v>34</v>
      </c>
      <c r="P11" s="6"/>
      <c r="Q11" s="6"/>
      <c r="R11" s="7" t="s">
        <v>33</v>
      </c>
      <c r="S11" s="7" t="s">
        <v>34</v>
      </c>
      <c r="T11" s="6"/>
      <c r="U11" s="6"/>
      <c r="V11" s="7" t="s">
        <v>33</v>
      </c>
      <c r="W11" s="6" t="s">
        <v>1624</v>
      </c>
      <c r="X11" s="7" t="s">
        <v>33</v>
      </c>
      <c r="Y11" s="6" t="s">
        <v>1625</v>
      </c>
      <c r="Z11" s="7" t="s">
        <v>34</v>
      </c>
      <c r="AA11" s="6"/>
      <c r="AB11" s="6" t="s">
        <v>1626</v>
      </c>
      <c r="AC11" s="6" t="s">
        <v>39</v>
      </c>
    </row>
    <row r="12" ht="22.5" customHeight="1">
      <c r="A12" s="11" t="str">
        <f>REGEXEXTRACT(D12, "\d{4}\.\s(.*?)\.\sProc\. ACM")"),"Animating the Crowd Mirage: A WiFi-Positioning-Based Crowd Mobility Digital Twin for Smart Campuses</f>
        <v xml:space="preserve">Animating the Crowd Mirage: A WiFi-Positioning-Based Crowd Mobility Digital Twin for Smart Campuses</v>
      </c>
      <c r="B12" s="7">
        <f t="shared" si="44"/>
        <v>158</v>
      </c>
      <c r="C12" s="8" t="s">
        <v>1627</v>
      </c>
      <c r="D12" s="6" t="s">
        <v>1628</v>
      </c>
      <c r="E12" s="9">
        <v>45992</v>
      </c>
      <c r="F12" s="7">
        <v>2024</v>
      </c>
      <c r="G12" s="7" t="s">
        <v>31</v>
      </c>
      <c r="H12" s="6" t="str">
        <f t="shared" si="41"/>
        <v>2024_Dec_158</v>
      </c>
      <c r="I12" s="12" t="str">
        <f t="shared" si="42"/>
        <v>https://doi.org/10.1145/3699792</v>
      </c>
      <c r="J12" s="7">
        <f>IF(D12:D62&lt;&gt;"", VALUE(REGEXEXTRACT(D12:D62, "(\d+)\s+pages")), )
</f>
        <v>32</v>
      </c>
      <c r="K12" s="6" t="s">
        <v>71</v>
      </c>
      <c r="L12" s="7" t="str">
        <f t="shared" si="45"/>
        <v>No</v>
      </c>
      <c r="M12" s="7" t="s">
        <v>33</v>
      </c>
      <c r="N12" s="7" t="s">
        <v>33</v>
      </c>
      <c r="O12" s="7" t="s">
        <v>34</v>
      </c>
      <c r="P12" s="6"/>
      <c r="Q12" s="6"/>
      <c r="R12" s="7" t="s">
        <v>33</v>
      </c>
      <c r="S12" s="7" t="s">
        <v>34</v>
      </c>
      <c r="T12" s="6"/>
      <c r="U12" s="6"/>
      <c r="V12" s="7" t="s">
        <v>34</v>
      </c>
      <c r="W12" s="6" t="s">
        <v>1629</v>
      </c>
      <c r="X12" s="7" t="s">
        <v>34</v>
      </c>
      <c r="Y12" s="13"/>
      <c r="Z12" s="7" t="s">
        <v>34</v>
      </c>
      <c r="AA12" s="6"/>
      <c r="AB12" s="6" t="s">
        <v>1630</v>
      </c>
      <c r="AC12" s="6" t="s">
        <v>39</v>
      </c>
    </row>
    <row r="13" ht="22.5" customHeight="1">
      <c r="A13" s="11" t="str">
        <f>REGEXEXTRACT(D13, "\d{4}\.\s(.*?)\.\sProc\. ACM")"),"A Self-Enhancement Solution for Standard RFIDs: Software-based Cross-protocol Communication and Localization</f>
        <v xml:space="preserve">A Self-Enhancement Solution for Standard RFIDs: Software-based Cross-protocol Communication and Localization</v>
      </c>
      <c r="B13" s="7">
        <f t="shared" si="44"/>
        <v>159</v>
      </c>
      <c r="C13" s="8" t="s">
        <v>1631</v>
      </c>
      <c r="D13" s="6" t="s">
        <v>1632</v>
      </c>
      <c r="E13" s="9">
        <v>45992</v>
      </c>
      <c r="F13" s="7">
        <v>2024</v>
      </c>
      <c r="G13" s="7" t="s">
        <v>31</v>
      </c>
      <c r="H13" s="6" t="str">
        <f t="shared" si="41"/>
        <v>2024_Dec_159</v>
      </c>
      <c r="I13" s="12" t="str">
        <f t="shared" si="42"/>
        <v>https://doi.org/10.1145/3699777</v>
      </c>
      <c r="J13" s="7">
        <f>IF(D13:D62&lt;&gt;"", VALUE(REGEXEXTRACT(D13:D62, "(\d+)\s+pages")), )
</f>
        <v>22</v>
      </c>
      <c r="K13" s="6" t="s">
        <v>64</v>
      </c>
      <c r="L13" s="7" t="str">
        <f t="shared" si="45"/>
        <v>No</v>
      </c>
      <c r="M13" s="7" t="s">
        <v>34</v>
      </c>
      <c r="N13" s="7" t="s">
        <v>33</v>
      </c>
      <c r="O13" s="7" t="s">
        <v>34</v>
      </c>
      <c r="P13" s="10" t="s">
        <v>1633</v>
      </c>
      <c r="Q13" s="6" t="s">
        <v>1634</v>
      </c>
      <c r="R13" s="7" t="s">
        <v>34</v>
      </c>
      <c r="S13" s="7" t="s">
        <v>34</v>
      </c>
      <c r="T13" s="6"/>
      <c r="U13" s="6"/>
      <c r="V13" s="7" t="s">
        <v>33</v>
      </c>
      <c r="W13" s="6" t="s">
        <v>1635</v>
      </c>
      <c r="X13" s="7" t="s">
        <v>34</v>
      </c>
      <c r="Y13" s="13"/>
      <c r="Z13" s="7" t="s">
        <v>34</v>
      </c>
      <c r="AA13" s="6"/>
      <c r="AB13" s="6" t="s">
        <v>1636</v>
      </c>
      <c r="AC13" s="6" t="s">
        <v>39</v>
      </c>
    </row>
    <row r="14" ht="22.5" customHeight="1">
      <c r="A14" s="11" t="str">
        <f>REGEXEXTRACT(D14, "\d{4}\.\s(.*?)\.\sProc\. ACM")"),"Beyond Detection: Towards Actionable Sensing Research in Clinical Mental Healthcare</f>
        <v xml:space="preserve">Beyond Detection: Towards Actionable Sensing Research in Clinical Mental Healthcare</v>
      </c>
      <c r="B14" s="7">
        <f t="shared" si="44"/>
        <v>160</v>
      </c>
      <c r="C14" s="8" t="s">
        <v>1637</v>
      </c>
      <c r="D14" s="6" t="s">
        <v>1638</v>
      </c>
      <c r="E14" s="9">
        <v>45992</v>
      </c>
      <c r="F14" s="7">
        <v>2024</v>
      </c>
      <c r="G14" s="7" t="s">
        <v>31</v>
      </c>
      <c r="H14" s="6" t="str">
        <f t="shared" si="41"/>
        <v>2024_Dec_160</v>
      </c>
      <c r="I14" s="12" t="str">
        <f t="shared" si="42"/>
        <v>https://doi.org/10.1145/3699755</v>
      </c>
      <c r="J14" s="7">
        <f>IF(D14:D62&lt;&gt;"", VALUE(REGEXEXTRACT(D14:D62, "(\d+)\s+pages")), )
</f>
        <v>33</v>
      </c>
      <c r="K14" s="6" t="s">
        <v>42</v>
      </c>
      <c r="L14" s="7" t="str">
        <f t="shared" si="45"/>
        <v>No</v>
      </c>
      <c r="M14" s="7" t="s">
        <v>33</v>
      </c>
      <c r="N14" s="7" t="s">
        <v>34</v>
      </c>
      <c r="O14" s="7" t="s">
        <v>35</v>
      </c>
      <c r="P14" s="6"/>
      <c r="Q14" s="6"/>
      <c r="R14" s="7" t="s">
        <v>34</v>
      </c>
      <c r="S14" s="7" t="s">
        <v>35</v>
      </c>
      <c r="T14" s="6"/>
      <c r="U14" s="6"/>
      <c r="V14" s="7" t="s">
        <v>35</v>
      </c>
      <c r="W14" s="6"/>
      <c r="X14" s="7" t="s">
        <v>35</v>
      </c>
      <c r="Y14" s="13"/>
      <c r="Z14" s="7" t="s">
        <v>35</v>
      </c>
      <c r="AA14" s="6"/>
      <c r="AB14" s="6"/>
      <c r="AC14" s="6" t="s">
        <v>39</v>
      </c>
    </row>
    <row r="15" ht="22.5" customHeight="1">
      <c r="A15" s="11" t="str">
        <f>REGEXEXTRACT(D15, "\d{4}\.\s(.*?)\.\sProc\. ACM")"),"SynthCAT: Synthesizing Cellular Association Traces with Fusion of Model-Based and Data-Driven Approaches</f>
        <v xml:space="preserve">SynthCAT: Synthesizing Cellular Association Traces with Fusion of Model-Based and Data-Driven Approaches</v>
      </c>
      <c r="B15" s="7">
        <f t="shared" si="44"/>
        <v>161</v>
      </c>
      <c r="C15" s="8" t="s">
        <v>1639</v>
      </c>
      <c r="D15" s="6" t="s">
        <v>1640</v>
      </c>
      <c r="E15" s="9">
        <v>45993</v>
      </c>
      <c r="F15" s="7">
        <v>2024</v>
      </c>
      <c r="G15" s="7" t="s">
        <v>31</v>
      </c>
      <c r="H15" s="6" t="str">
        <f t="shared" si="41"/>
        <v>2024_Dec_161</v>
      </c>
      <c r="I15" s="12" t="str">
        <f t="shared" si="42"/>
        <v>https://doi.org/10.1145/3699730</v>
      </c>
      <c r="J15" s="7">
        <f>IF(D15:D62&lt;&gt;"", VALUE(REGEXEXTRACT(D15:D62, "(\d+)\s+pages")), )
</f>
        <v>24</v>
      </c>
      <c r="K15" s="6" t="s">
        <v>64</v>
      </c>
      <c r="L15" s="7" t="str">
        <f t="shared" si="45"/>
        <v>No</v>
      </c>
      <c r="M15" s="7" t="s">
        <v>34</v>
      </c>
      <c r="N15" s="7" t="s">
        <v>33</v>
      </c>
      <c r="O15" s="7" t="s">
        <v>34</v>
      </c>
      <c r="P15" s="6"/>
      <c r="Q15" s="6" t="s">
        <v>1641</v>
      </c>
      <c r="R15" s="7" t="s">
        <v>33</v>
      </c>
      <c r="S15" s="7" t="s">
        <v>34</v>
      </c>
      <c r="T15" s="6"/>
      <c r="U15" s="6"/>
      <c r="V15" s="7" t="s">
        <v>34</v>
      </c>
      <c r="W15" s="6" t="s">
        <v>1230</v>
      </c>
      <c r="X15" s="7" t="s">
        <v>34</v>
      </c>
      <c r="Y15" s="13"/>
      <c r="Z15" s="7" t="s">
        <v>34</v>
      </c>
      <c r="AA15" s="6"/>
      <c r="AB15" s="6" t="s">
        <v>1642</v>
      </c>
      <c r="AC15" s="6" t="s">
        <v>39</v>
      </c>
    </row>
    <row r="16" ht="22.5" customHeight="1">
      <c r="A16" s="11" t="str">
        <f>REGEXEXTRACT(D16, "\d{4}\.\s(.*?)\.\sProc\. ACM")"),"ContrastSense: Domain-invariant Contrastive Learning for In-the-Wild Wearable Sensing</f>
        <v xml:space="preserve">ContrastSense: Domain-invariant Contrastive Learning for In-the-Wild Wearable Sensing</v>
      </c>
      <c r="B16" s="7">
        <f t="shared" si="44"/>
        <v>162</v>
      </c>
      <c r="C16" s="8" t="s">
        <v>1643</v>
      </c>
      <c r="D16" s="6" t="s">
        <v>1644</v>
      </c>
      <c r="E16" s="9">
        <v>45993</v>
      </c>
      <c r="F16" s="7">
        <v>2024</v>
      </c>
      <c r="G16" s="7" t="s">
        <v>31</v>
      </c>
      <c r="H16" s="6" t="str">
        <f t="shared" si="41"/>
        <v>2024_Dec_162</v>
      </c>
      <c r="I16" s="12" t="str">
        <f t="shared" si="42"/>
        <v>https://doi.org/10.1145/3699744</v>
      </c>
      <c r="J16" s="7">
        <f>IF(D16:D62&lt;&gt;"", VALUE(REGEXEXTRACT(D16:D62, "(\d+)\s+pages")), )
</f>
        <v>32</v>
      </c>
      <c r="K16" s="6" t="s">
        <v>64</v>
      </c>
      <c r="L16" s="7" t="str">
        <f t="shared" si="45"/>
        <v>No</v>
      </c>
      <c r="M16" s="7" t="s">
        <v>33</v>
      </c>
      <c r="N16" s="7" t="s">
        <v>33</v>
      </c>
      <c r="O16" s="7" t="s">
        <v>33</v>
      </c>
      <c r="P16" s="10" t="s">
        <v>1645</v>
      </c>
      <c r="Q16" s="6"/>
      <c r="R16" s="7" t="s">
        <v>33</v>
      </c>
      <c r="S16" s="7" t="s">
        <v>33</v>
      </c>
      <c r="T16" s="6"/>
      <c r="U16" s="6" t="s">
        <v>1646</v>
      </c>
      <c r="V16" s="7" t="s">
        <v>34</v>
      </c>
      <c r="W16" s="6"/>
      <c r="X16" s="7" t="s">
        <v>34</v>
      </c>
      <c r="Y16" s="13"/>
      <c r="Z16" s="7" t="s">
        <v>33</v>
      </c>
      <c r="AA16" s="6" t="s">
        <v>1647</v>
      </c>
      <c r="AB16" s="6" t="s">
        <v>1648</v>
      </c>
      <c r="AC16" s="6" t="s">
        <v>39</v>
      </c>
    </row>
    <row r="17" ht="22.5" customHeight="1">
      <c r="A17" s="11" t="str">
        <f>REGEXEXTRACT(D17, "\d{4}\.\s(.*?)\.\sProc\. ACM")"),"UbiHR: Resource-efficient Long-range Heart Rate Sensing on Ubiquitous Devices</f>
        <v xml:space="preserve">UbiHR: Resource-efficient Long-range Heart Rate Sensing on Ubiquitous Devices</v>
      </c>
      <c r="B17" s="7">
        <f t="shared" si="44"/>
        <v>163</v>
      </c>
      <c r="C17" s="8" t="s">
        <v>1649</v>
      </c>
      <c r="D17" s="6" t="s">
        <v>1650</v>
      </c>
      <c r="E17" s="9">
        <v>45993</v>
      </c>
      <c r="F17" s="7">
        <v>2024</v>
      </c>
      <c r="G17" s="7" t="s">
        <v>31</v>
      </c>
      <c r="H17" s="6" t="str">
        <f t="shared" si="41"/>
        <v>2024_Dec_163</v>
      </c>
      <c r="I17" s="12" t="str">
        <f t="shared" si="42"/>
        <v>https://doi.org/10.1145/3699771</v>
      </c>
      <c r="J17" s="7">
        <f>IF(D17:D62&lt;&gt;"", VALUE(REGEXEXTRACT(D17:D62, "(\d+)\s+pages")), )
</f>
        <v>26</v>
      </c>
      <c r="K17" s="6" t="s">
        <v>32</v>
      </c>
      <c r="L17" s="7" t="str">
        <f t="shared" si="45"/>
        <v>No</v>
      </c>
      <c r="M17" s="7" t="s">
        <v>34</v>
      </c>
      <c r="N17" s="7" t="s">
        <v>33</v>
      </c>
      <c r="O17" s="7" t="s">
        <v>34</v>
      </c>
      <c r="P17" s="6"/>
      <c r="Q17" s="6"/>
      <c r="R17" s="7" t="s">
        <v>33</v>
      </c>
      <c r="S17" s="7" t="s">
        <v>33</v>
      </c>
      <c r="T17" s="6"/>
      <c r="U17" s="6" t="s">
        <v>1651</v>
      </c>
      <c r="V17" s="7" t="s">
        <v>33</v>
      </c>
      <c r="W17" s="6" t="s">
        <v>1652</v>
      </c>
      <c r="X17" s="7" t="s">
        <v>34</v>
      </c>
      <c r="Y17" s="13"/>
      <c r="Z17" s="7" t="s">
        <v>34</v>
      </c>
      <c r="AA17" s="6"/>
      <c r="AB17" s="6" t="s">
        <v>1653</v>
      </c>
      <c r="AC17" s="6" t="s">
        <v>39</v>
      </c>
    </row>
    <row r="18" ht="22.5" customHeight="1">
      <c r="A18" s="11" t="str">
        <f>REGEXEXTRACT(D18, "\d{4}\.\s(.*?)\.\sProc\. ACM")"),"Smartphone Haptics Can Uncover Differences in Touch Interactions Between ASD and Neurotypicals</f>
        <v xml:space="preserve">Smartphone Haptics Can Uncover Differences in Touch Interactions Between ASD and Neurotypicals</v>
      </c>
      <c r="B18" s="7">
        <f t="shared" si="44"/>
        <v>164</v>
      </c>
      <c r="C18" s="8" t="s">
        <v>1654</v>
      </c>
      <c r="D18" s="6" t="s">
        <v>1655</v>
      </c>
      <c r="E18" s="9">
        <v>45993</v>
      </c>
      <c r="F18" s="7">
        <v>2024</v>
      </c>
      <c r="G18" s="7" t="s">
        <v>31</v>
      </c>
      <c r="H18" s="6" t="str">
        <f t="shared" si="41"/>
        <v>2024_Dec_164</v>
      </c>
      <c r="I18" s="12" t="str">
        <f t="shared" si="42"/>
        <v>https://doi.org/10.1145/3699749</v>
      </c>
      <c r="J18" s="7">
        <f>IF(D18:D62&lt;&gt;"", VALUE(REGEXEXTRACT(D18:D62, "(\d+)\s+pages")), )
</f>
        <v>34</v>
      </c>
      <c r="K18" s="6" t="s">
        <v>133</v>
      </c>
      <c r="L18" s="7" t="str">
        <f t="shared" si="45"/>
        <v>No</v>
      </c>
      <c r="M18" s="7" t="s">
        <v>34</v>
      </c>
      <c r="N18" s="7" t="s">
        <v>33</v>
      </c>
      <c r="O18" s="7" t="s">
        <v>34</v>
      </c>
      <c r="P18" s="6"/>
      <c r="Q18" s="6"/>
      <c r="R18" s="7" t="s">
        <v>33</v>
      </c>
      <c r="S18" s="7" t="s">
        <v>34</v>
      </c>
      <c r="T18" s="6"/>
      <c r="U18" s="6"/>
      <c r="V18" s="7" t="s">
        <v>34</v>
      </c>
      <c r="W18" s="6" t="s">
        <v>1656</v>
      </c>
      <c r="X18" s="7" t="s">
        <v>34</v>
      </c>
      <c r="Y18" s="6" t="s">
        <v>1657</v>
      </c>
      <c r="Z18" s="7" t="s">
        <v>34</v>
      </c>
      <c r="AA18" s="6"/>
      <c r="AB18" s="6" t="s">
        <v>1658</v>
      </c>
      <c r="AC18" s="6" t="s">
        <v>39</v>
      </c>
    </row>
    <row r="19" ht="22.5" customHeight="1">
      <c r="A19" s="11" t="str">
        <f>REGEXEXTRACT(D19, "\d{4}\.\s(.*?)\.\sProc\. ACM")"),"Ask Less, Learn More: Adapting Ecological Momentary Assessment Survey Length by Modeling Question-Answer Information Gain</f>
        <v xml:space="preserve">Ask Less, Learn More: Adapting Ecological Momentary Assessment Survey Length by Modeling Question-Answer Information Gain</v>
      </c>
      <c r="B19" s="7">
        <f t="shared" si="44"/>
        <v>166</v>
      </c>
      <c r="C19" s="8" t="s">
        <v>1659</v>
      </c>
      <c r="D19" s="6" t="s">
        <v>1660</v>
      </c>
      <c r="E19" s="9">
        <v>45993</v>
      </c>
      <c r="F19" s="7">
        <v>2024</v>
      </c>
      <c r="G19" s="7" t="s">
        <v>31</v>
      </c>
      <c r="H19" s="6" t="str">
        <f t="shared" si="41"/>
        <v>2024_Dec_166</v>
      </c>
      <c r="I19" s="12" t="str">
        <f t="shared" si="42"/>
        <v>https://doi.org/10.1145/3699735</v>
      </c>
      <c r="J19" s="7">
        <f>IF(D19:D62&lt;&gt;"", VALUE(REGEXEXTRACT(D19:D62, "(\d+)\s+pages")), )
</f>
        <v>32</v>
      </c>
      <c r="K19" s="6" t="s">
        <v>32</v>
      </c>
      <c r="L19" s="7" t="str">
        <f t="shared" si="45"/>
        <v>No</v>
      </c>
      <c r="M19" s="7" t="s">
        <v>33</v>
      </c>
      <c r="N19" s="7" t="s">
        <v>33</v>
      </c>
      <c r="O19" s="7" t="s">
        <v>34</v>
      </c>
      <c r="P19" s="6"/>
      <c r="Q19" s="6"/>
      <c r="R19" s="7" t="s">
        <v>33</v>
      </c>
      <c r="S19" s="7" t="s">
        <v>33</v>
      </c>
      <c r="T19" s="6"/>
      <c r="U19" s="6" t="s">
        <v>1661</v>
      </c>
      <c r="V19" s="7" t="s">
        <v>34</v>
      </c>
      <c r="W19" s="6"/>
      <c r="X19" s="7" t="s">
        <v>34</v>
      </c>
      <c r="Y19" s="13"/>
      <c r="Z19" s="7" t="s">
        <v>34</v>
      </c>
      <c r="AA19" s="6"/>
      <c r="AB19" s="6" t="s">
        <v>1662</v>
      </c>
      <c r="AC19" s="6" t="s">
        <v>39</v>
      </c>
    </row>
    <row r="20" ht="22.5" customHeight="1">
      <c r="A20" s="11" t="str">
        <f>REGEXEXTRACT(D20, "\d{4}\.\s(.*?)\.\sProc\. ACM")"),"GoalTrack: Supporting Personalized Goal-Setting in Stroke Rehabilitation with Multimodal Activity Journaling</f>
        <v xml:space="preserve">GoalTrack: Supporting Personalized Goal-Setting in Stroke Rehabilitation with Multimodal Activity Journaling</v>
      </c>
      <c r="B20" s="7">
        <f t="shared" si="44"/>
        <v>167</v>
      </c>
      <c r="C20" s="8" t="s">
        <v>1663</v>
      </c>
      <c r="D20" s="6" t="s">
        <v>1664</v>
      </c>
      <c r="E20" s="9">
        <v>45993</v>
      </c>
      <c r="F20" s="7">
        <v>2024</v>
      </c>
      <c r="G20" s="7" t="s">
        <v>31</v>
      </c>
      <c r="H20" s="6" t="str">
        <f t="shared" si="41"/>
        <v>2024_Dec_167</v>
      </c>
      <c r="I20" s="12" t="str">
        <f t="shared" si="42"/>
        <v>https://doi.org/10.1145/3699723</v>
      </c>
      <c r="J20" s="7">
        <f>IF(D20:D62&lt;&gt;"", VALUE(REGEXEXTRACT(D20:D62, "(\d+)\s+pages")), )
</f>
        <v>29</v>
      </c>
      <c r="K20" s="6" t="s">
        <v>133</v>
      </c>
      <c r="L20" s="7" t="str">
        <f t="shared" si="45"/>
        <v>No</v>
      </c>
      <c r="M20" s="7" t="s">
        <v>33</v>
      </c>
      <c r="N20" s="7" t="s">
        <v>33</v>
      </c>
      <c r="O20" s="7" t="s">
        <v>34</v>
      </c>
      <c r="P20" s="6"/>
      <c r="Q20" s="6"/>
      <c r="R20" s="7" t="s">
        <v>34</v>
      </c>
      <c r="S20" s="7" t="s">
        <v>34</v>
      </c>
      <c r="T20" s="6"/>
      <c r="U20" s="6"/>
      <c r="V20" s="7" t="s">
        <v>34</v>
      </c>
      <c r="W20" s="6" t="s">
        <v>124</v>
      </c>
      <c r="X20" s="7" t="s">
        <v>33</v>
      </c>
      <c r="Y20" s="6" t="s">
        <v>1665</v>
      </c>
      <c r="Z20" s="7" t="s">
        <v>34</v>
      </c>
      <c r="AA20" s="6"/>
      <c r="AB20" s="6" t="s">
        <v>1666</v>
      </c>
      <c r="AC20" s="6" t="s">
        <v>39</v>
      </c>
    </row>
    <row r="21" ht="22.5" customHeight="1">
      <c r="A21" s="14" t="str">
        <f>REGEXEXTRACT(D21, "\d{4}\.\s(.*?)\.\sProc\. ACM")"),"ChatCam: Embracing LLMs for Contextual Chatting-to-Camera with Interest-Oriented Video Summarization</f>
        <v xml:space="preserve">ChatCam: Embracing LLMs for Contextual Chatting-to-Camera with Interest-Oriented Video Summarization</v>
      </c>
      <c r="B21" s="15">
        <f t="shared" si="44"/>
        <v>168</v>
      </c>
      <c r="C21" s="16" t="s">
        <v>1667</v>
      </c>
      <c r="D21" s="17" t="s">
        <v>1668</v>
      </c>
      <c r="E21" s="18">
        <v>45993</v>
      </c>
      <c r="F21" s="15">
        <v>2024</v>
      </c>
      <c r="G21" s="15" t="s">
        <v>31</v>
      </c>
      <c r="H21" s="17" t="str">
        <f t="shared" si="41"/>
        <v>2024_Dec_168</v>
      </c>
      <c r="I21" s="19" t="str">
        <f t="shared" si="42"/>
        <v>https://doi.org/10.1145/3699731</v>
      </c>
      <c r="J21" s="15">
        <f>IF(D21:D62&lt;&gt;"", VALUE(REGEXEXTRACT(D21:D62, "(\d+)\s+pages")), )
</f>
        <v>34</v>
      </c>
      <c r="K21" s="17" t="s">
        <v>32</v>
      </c>
      <c r="L21" s="15" t="str">
        <f t="shared" si="45"/>
        <v>No</v>
      </c>
      <c r="M21" s="15" t="s">
        <v>34</v>
      </c>
      <c r="N21" s="15" t="s">
        <v>33</v>
      </c>
      <c r="O21" s="15" t="s">
        <v>34</v>
      </c>
      <c r="P21" s="17"/>
      <c r="Q21" s="17" t="s">
        <v>1669</v>
      </c>
      <c r="R21" s="15" t="s">
        <v>33</v>
      </c>
      <c r="S21" s="15" t="s">
        <v>33</v>
      </c>
      <c r="T21" s="17"/>
      <c r="U21" s="17" t="s">
        <v>1670</v>
      </c>
      <c r="V21" s="15" t="s">
        <v>34</v>
      </c>
      <c r="W21" s="17"/>
      <c r="X21" s="15" t="s">
        <v>33</v>
      </c>
      <c r="Y21" s="17" t="s">
        <v>1671</v>
      </c>
      <c r="Z21" s="15" t="s">
        <v>34</v>
      </c>
      <c r="AA21" s="17"/>
      <c r="AB21" s="17" t="s">
        <v>1672</v>
      </c>
      <c r="AC21" s="17" t="s">
        <v>39</v>
      </c>
    </row>
    <row r="22" ht="22.5" customHeight="1">
      <c r="A22" s="11" t="str">
        <f>REGEXEXTRACT(D22, "\d{4}\.\s(.*?)\.\sProc\. ACM")"),"SonicID: User Identification on Smart Glasses with Acoustic Sensing</f>
        <v xml:space="preserve">SonicID: User Identification on Smart Glasses with Acoustic Sensing</v>
      </c>
      <c r="B22" s="7">
        <f t="shared" si="44"/>
        <v>169</v>
      </c>
      <c r="C22" s="8" t="s">
        <v>1673</v>
      </c>
      <c r="D22" s="6" t="s">
        <v>1674</v>
      </c>
      <c r="E22" s="9">
        <v>45987</v>
      </c>
      <c r="F22" s="7">
        <v>2024</v>
      </c>
      <c r="G22" s="7" t="s">
        <v>31</v>
      </c>
      <c r="H22" s="6" t="str">
        <f t="shared" si="41"/>
        <v>2024_Dec_169</v>
      </c>
      <c r="I22" s="12" t="str">
        <f t="shared" si="42"/>
        <v>https://doi.org/10.1145/3699734</v>
      </c>
      <c r="J22" s="7">
        <f>IF(D22:D62&lt;&gt;"", VALUE(REGEXEXTRACT(D22:D62, "(\d+)\s+pages")), )
</f>
        <v>27</v>
      </c>
      <c r="K22" s="6" t="s">
        <v>348</v>
      </c>
      <c r="L22" s="7" t="str">
        <f t="shared" si="45"/>
        <v>No</v>
      </c>
      <c r="M22" s="7" t="s">
        <v>34</v>
      </c>
      <c r="N22" s="7" t="s">
        <v>33</v>
      </c>
      <c r="O22" s="7" t="s">
        <v>34</v>
      </c>
      <c r="P22" s="6"/>
      <c r="Q22" s="6" t="s">
        <v>1675</v>
      </c>
      <c r="R22" s="7" t="s">
        <v>33</v>
      </c>
      <c r="S22" s="7" t="s">
        <v>34</v>
      </c>
      <c r="T22" s="6"/>
      <c r="U22" s="6" t="s">
        <v>1676</v>
      </c>
      <c r="V22" s="7" t="s">
        <v>33</v>
      </c>
      <c r="W22" s="6" t="s">
        <v>1677</v>
      </c>
      <c r="X22" s="7" t="s">
        <v>33</v>
      </c>
      <c r="Y22" s="6" t="s">
        <v>1678</v>
      </c>
      <c r="Z22" s="7" t="s">
        <v>34</v>
      </c>
      <c r="AA22" s="6"/>
      <c r="AB22" s="6" t="s">
        <v>1679</v>
      </c>
      <c r="AC22" s="6" t="s">
        <v>181</v>
      </c>
    </row>
    <row r="23" ht="22.5" customHeight="1">
      <c r="A23" s="11" t="str">
        <f>REGEXEXTRACT(D23, "\d{4}\.\s(.*?)\.\sProc\. ACM")"),"MagDesk: Interactive Tabletop Workspace Based on Passive Magnetic Tracking</f>
        <v xml:space="preserve">MagDesk: Interactive Tabletop Workspace Based on Passive Magnetic Tracking</v>
      </c>
      <c r="B23" s="7">
        <f t="shared" si="44"/>
        <v>170</v>
      </c>
      <c r="C23" s="8" t="s">
        <v>1680</v>
      </c>
      <c r="D23" s="6" t="s">
        <v>1681</v>
      </c>
      <c r="E23" s="9">
        <v>45987</v>
      </c>
      <c r="F23" s="7">
        <v>2024</v>
      </c>
      <c r="G23" s="7" t="s">
        <v>31</v>
      </c>
      <c r="H23" s="6" t="str">
        <f t="shared" si="41"/>
        <v>2024_Dec_170</v>
      </c>
      <c r="I23" s="12" t="str">
        <f t="shared" si="42"/>
        <v>https://doi.org/10.1145/3699756</v>
      </c>
      <c r="J23" s="7">
        <f>IF(D23:D62&lt;&gt;"", VALUE(REGEXEXTRACT(D23:D62, "(\d+)\s+pages")), )
</f>
        <v>31</v>
      </c>
      <c r="K23" s="6" t="s">
        <v>348</v>
      </c>
      <c r="L23" s="7" t="str">
        <f t="shared" si="45"/>
        <v>No</v>
      </c>
      <c r="M23" s="7" t="s">
        <v>33</v>
      </c>
      <c r="N23" s="7" t="s">
        <v>33</v>
      </c>
      <c r="O23" s="7" t="s">
        <v>34</v>
      </c>
      <c r="P23" s="6"/>
      <c r="Q23" s="6" t="s">
        <v>1682</v>
      </c>
      <c r="R23" s="7" t="s">
        <v>94</v>
      </c>
      <c r="S23" s="7" t="s">
        <v>34</v>
      </c>
      <c r="T23" s="6"/>
      <c r="U23" s="6" t="s">
        <v>1683</v>
      </c>
      <c r="V23" s="7" t="s">
        <v>33</v>
      </c>
      <c r="W23" s="6" t="s">
        <v>1684</v>
      </c>
      <c r="X23" s="7" t="s">
        <v>33</v>
      </c>
      <c r="Y23" s="6" t="s">
        <v>1685</v>
      </c>
      <c r="Z23" s="7" t="s">
        <v>34</v>
      </c>
      <c r="AA23" s="6"/>
      <c r="AB23" s="6" t="s">
        <v>1686</v>
      </c>
      <c r="AC23" s="6" t="s">
        <v>181</v>
      </c>
    </row>
    <row r="24" ht="22.5" customHeight="1">
      <c r="A24" s="11" t="str">
        <f>REGEXEXTRACT(D24, "\d{4}\.\s(.*?)\.\sProc\. ACM")"),"Wind of Change: Investigating Information Visualizations for Passengers and Residents' Perception of Automated Urban Air Mobility</f>
        <v xml:space="preserve">Wind of Change: Investigating Information Visualizations for Passengers and Residents' Perception of Automated Urban Air Mobility</v>
      </c>
      <c r="B24" s="7">
        <f t="shared" si="44"/>
        <v>171</v>
      </c>
      <c r="C24" s="8" t="s">
        <v>1687</v>
      </c>
      <c r="D24" s="6" t="s">
        <v>1688</v>
      </c>
      <c r="E24" s="9">
        <v>45987</v>
      </c>
      <c r="F24" s="7">
        <v>2024</v>
      </c>
      <c r="G24" s="7" t="s">
        <v>31</v>
      </c>
      <c r="H24" s="6" t="str">
        <f t="shared" si="41"/>
        <v>2024_Dec_171</v>
      </c>
      <c r="I24" s="12" t="str">
        <f t="shared" si="42"/>
        <v>https://doi.org/10.1145/3699753</v>
      </c>
      <c r="J24" s="7">
        <f>IF(D24:D62&lt;&gt;"", VALUE(REGEXEXTRACT(D24:D62, "(\d+)\s+pages")), )
</f>
        <v>31</v>
      </c>
      <c r="K24" s="6" t="s">
        <v>42</v>
      </c>
      <c r="L24" s="7" t="str">
        <f t="shared" si="45"/>
        <v>No</v>
      </c>
      <c r="M24" s="7" t="s">
        <v>33</v>
      </c>
      <c r="N24" s="7" t="s">
        <v>34</v>
      </c>
      <c r="O24" s="7" t="s">
        <v>35</v>
      </c>
      <c r="P24" s="6"/>
      <c r="Q24" s="6"/>
      <c r="R24" s="7" t="s">
        <v>34</v>
      </c>
      <c r="S24" s="7" t="s">
        <v>35</v>
      </c>
      <c r="T24" s="6"/>
      <c r="U24" s="6"/>
      <c r="V24" s="7" t="s">
        <v>35</v>
      </c>
      <c r="W24" s="6"/>
      <c r="X24" s="7" t="s">
        <v>35</v>
      </c>
      <c r="Y24" s="13"/>
      <c r="Z24" s="7" t="s">
        <v>35</v>
      </c>
      <c r="AA24" s="6"/>
      <c r="AB24" s="6"/>
      <c r="AC24" s="6" t="s">
        <v>181</v>
      </c>
    </row>
    <row r="25" ht="22.5" customHeight="1">
      <c r="A25" s="11" t="str">
        <f>REGEXEXTRACT(D25, "\d{4}\.\s(.*?)\.\sProc\. ACM")"),"MmSpyVR: Exploiting mmWave Radar for Penetrating Obstacles to Uncover Privacy Vulnerability of Virtual Reality</f>
        <v xml:space="preserve">MmSpyVR: Exploiting mmWave Radar for Penetrating Obstacles to Uncover Privacy Vulnerability of Virtual Reality</v>
      </c>
      <c r="B25" s="7">
        <f t="shared" si="44"/>
        <v>172</v>
      </c>
      <c r="C25" s="8" t="s">
        <v>1689</v>
      </c>
      <c r="D25" s="6" t="s">
        <v>1690</v>
      </c>
      <c r="E25" s="9">
        <v>45987</v>
      </c>
      <c r="F25" s="7">
        <v>2024</v>
      </c>
      <c r="G25" s="7" t="s">
        <v>31</v>
      </c>
      <c r="H25" s="6" t="str">
        <f t="shared" si="41"/>
        <v>2024_Dec_172</v>
      </c>
      <c r="I25" s="12" t="str">
        <f t="shared" si="42"/>
        <v>https://doi.org/10.1145/3699772</v>
      </c>
      <c r="J25" s="7">
        <f>IF(D25:D62&lt;&gt;"", VALUE(REGEXEXTRACT(D25:D62, "(\d+)\s+pages")), )
</f>
        <v>29</v>
      </c>
      <c r="K25" s="6" t="s">
        <v>217</v>
      </c>
      <c r="L25" s="7" t="str">
        <f t="shared" si="45"/>
        <v>No</v>
      </c>
      <c r="M25" s="7" t="s">
        <v>34</v>
      </c>
      <c r="N25" s="7" t="s">
        <v>33</v>
      </c>
      <c r="O25" s="7" t="s">
        <v>33</v>
      </c>
      <c r="P25" s="10" t="s">
        <v>1691</v>
      </c>
      <c r="Q25" s="6"/>
      <c r="R25" s="7" t="s">
        <v>33</v>
      </c>
      <c r="S25" s="7" t="s">
        <v>33</v>
      </c>
      <c r="T25" s="10" t="s">
        <v>1691</v>
      </c>
      <c r="U25" s="6" t="s">
        <v>1692</v>
      </c>
      <c r="V25" s="7" t="s">
        <v>33</v>
      </c>
      <c r="W25" s="6" t="s">
        <v>1693</v>
      </c>
      <c r="X25" s="7" t="s">
        <v>33</v>
      </c>
      <c r="Y25" s="6" t="s">
        <v>1694</v>
      </c>
      <c r="Z25" s="7" t="s">
        <v>144</v>
      </c>
      <c r="AA25" s="6" t="s">
        <v>1695</v>
      </c>
      <c r="AB25" s="6" t="s">
        <v>1696</v>
      </c>
      <c r="AC25" s="6" t="s">
        <v>181</v>
      </c>
    </row>
    <row r="26" ht="22.5" customHeight="1">
      <c r="A26" s="11" t="str">
        <f>REGEXEXTRACT(D26, "\d{4}\.\s(.*?)\.\sProc\. ACM")"),"Playlogue: Dataset and Benchmarks for Analyzing Adult-Child Conversations During Play</f>
        <v xml:space="preserve">Playlogue: Dataset and Benchmarks for Analyzing Adult-Child Conversations During Play</v>
      </c>
      <c r="B26" s="7">
        <f t="shared" si="44"/>
        <v>173</v>
      </c>
      <c r="C26" s="8" t="s">
        <v>1697</v>
      </c>
      <c r="D26" s="6" t="s">
        <v>1698</v>
      </c>
      <c r="E26" s="9">
        <v>45987</v>
      </c>
      <c r="F26" s="7">
        <v>2024</v>
      </c>
      <c r="G26" s="7" t="s">
        <v>31</v>
      </c>
      <c r="H26" s="6" t="str">
        <f t="shared" si="41"/>
        <v>2024_Dec_173</v>
      </c>
      <c r="I26" s="12" t="str">
        <f t="shared" si="42"/>
        <v>https://doi.org/10.1145/3699775</v>
      </c>
      <c r="J26" s="7">
        <f>IF(D26:D62&lt;&gt;"", VALUE(REGEXEXTRACT(D26:D62, "(\d+)\s+pages")), )
</f>
        <v>34</v>
      </c>
      <c r="K26" s="6" t="s">
        <v>286</v>
      </c>
      <c r="L26" s="7" t="str">
        <f>IF(REGEXMATCH(LOWER($A26),"(^|[^a-z])dataset(s)?([^a-z]|$)"),"Yes","No")"),"Yes</f>
        <v>Yes</v>
      </c>
      <c r="M26" s="7" t="s">
        <v>33</v>
      </c>
      <c r="N26" s="7" t="s">
        <v>33</v>
      </c>
      <c r="O26" s="7" t="s">
        <v>34</v>
      </c>
      <c r="P26" s="6"/>
      <c r="Q26" s="10" t="s">
        <v>1699</v>
      </c>
      <c r="R26" s="7" t="s">
        <v>33</v>
      </c>
      <c r="S26" s="7" t="s">
        <v>33</v>
      </c>
      <c r="T26" s="10" t="s">
        <v>1700</v>
      </c>
      <c r="U26" s="6"/>
      <c r="V26" s="7" t="s">
        <v>33</v>
      </c>
      <c r="W26" s="6" t="s">
        <v>1701</v>
      </c>
      <c r="X26" s="7" t="s">
        <v>33</v>
      </c>
      <c r="Y26" s="6" t="s">
        <v>1702</v>
      </c>
      <c r="Z26" s="7" t="s">
        <v>34</v>
      </c>
      <c r="AA26" s="6"/>
      <c r="AB26" s="6" t="s">
        <v>1703</v>
      </c>
      <c r="AC26" s="6" t="s">
        <v>181</v>
      </c>
    </row>
    <row r="27" ht="22.5" customHeight="1">
      <c r="A27" s="11" t="str">
        <f>REGEXEXTRACT(D27, "\d{4}\.\s(.*?)\.\sProc\. ACM")"),"Temporal Action Localization for Inertial-based Human Activity Recognition</f>
        <v xml:space="preserve">Temporal Action Localization for Inertial-based Human Activity Recognition</v>
      </c>
      <c r="B27" s="7">
        <f t="shared" si="44"/>
        <v>174</v>
      </c>
      <c r="C27" s="8" t="s">
        <v>1704</v>
      </c>
      <c r="D27" s="6" t="s">
        <v>1705</v>
      </c>
      <c r="E27" s="9">
        <v>45987</v>
      </c>
      <c r="F27" s="7">
        <v>2024</v>
      </c>
      <c r="G27" s="7" t="s">
        <v>31</v>
      </c>
      <c r="H27" s="6" t="str">
        <f t="shared" si="41"/>
        <v>2024_Dec_174</v>
      </c>
      <c r="I27" s="12" t="str">
        <f t="shared" si="42"/>
        <v>https://doi.org/10.1145/3699770</v>
      </c>
      <c r="J27" s="7">
        <f>IF(D27:D62&lt;&gt;"", VALUE(REGEXEXTRACT(D27:D62, "(\d+)\s+pages")), )
</f>
        <v>19</v>
      </c>
      <c r="K27" s="6" t="s">
        <v>64</v>
      </c>
      <c r="L27" s="7" t="str">
        <f>IF(REGEXMATCH(LOWER($A27),"(^|[^a-z])dataset(s)?([^a-z]|$)"),"Yes","No")"),"No</f>
        <v>No</v>
      </c>
      <c r="M27" s="7" t="s">
        <v>33</v>
      </c>
      <c r="N27" s="7" t="s">
        <v>33</v>
      </c>
      <c r="O27" s="7" t="s">
        <v>33</v>
      </c>
      <c r="P27" s="10" t="s">
        <v>1706</v>
      </c>
      <c r="Q27" s="6" t="s">
        <v>1707</v>
      </c>
      <c r="R27" s="7" t="s">
        <v>33</v>
      </c>
      <c r="S27" s="7" t="s">
        <v>33</v>
      </c>
      <c r="T27" s="10" t="s">
        <v>1706</v>
      </c>
      <c r="U27" s="6"/>
      <c r="V27" s="7" t="s">
        <v>33</v>
      </c>
      <c r="W27" s="6" t="s">
        <v>1708</v>
      </c>
      <c r="X27" s="7" t="s">
        <v>94</v>
      </c>
      <c r="Y27" s="6" t="s">
        <v>1709</v>
      </c>
      <c r="Z27" s="7" t="s">
        <v>33</v>
      </c>
      <c r="AA27" s="6" t="s">
        <v>1710</v>
      </c>
      <c r="AB27" s="6" t="s">
        <v>1711</v>
      </c>
      <c r="AC27" s="6" t="s">
        <v>181</v>
      </c>
    </row>
    <row r="28" ht="22.5" customHeight="1">
      <c r="A28" s="11" t="str">
        <f>REGEXEXTRACT(D28, "\d{4}\.\s(.*?)\.\sProc\. ACM")"),"WEAR: An Outdoor Sports Dataset for Wearable and Egocentric Activity Recognition</f>
        <v xml:space="preserve">WEAR: An Outdoor Sports Dataset for Wearable and Egocentric Activity Recognition</v>
      </c>
      <c r="B28" s="7">
        <f t="shared" si="44"/>
        <v>175</v>
      </c>
      <c r="C28" s="8" t="s">
        <v>1712</v>
      </c>
      <c r="D28" s="6" t="s">
        <v>1713</v>
      </c>
      <c r="E28" s="9">
        <v>45987</v>
      </c>
      <c r="F28" s="7">
        <v>2024</v>
      </c>
      <c r="G28" s="7" t="s">
        <v>31</v>
      </c>
      <c r="H28" s="6" t="str">
        <f t="shared" si="41"/>
        <v>2024_Dec_175</v>
      </c>
      <c r="I28" s="12" t="str">
        <f t="shared" si="42"/>
        <v>https://doi.org/10.1145/3699776</v>
      </c>
      <c r="J28" s="7">
        <f>IF(D28:D62&lt;&gt;"", VALUE(REGEXEXTRACT(D28:D62, "(\d+)\s+pages")), )
</f>
        <v>21</v>
      </c>
      <c r="K28" s="6" t="s">
        <v>1227</v>
      </c>
      <c r="L28" s="7" t="str">
        <f>IF(REGEXMATCH(LOWER($A28),"(^|[^a-z])dataset(s)?([^a-z]|$)"),"Yes","No")"),"Yes</f>
        <v>Yes</v>
      </c>
      <c r="M28" s="7" t="s">
        <v>33</v>
      </c>
      <c r="N28" s="7" t="s">
        <v>33</v>
      </c>
      <c r="O28" s="7" t="s">
        <v>33</v>
      </c>
      <c r="P28" s="10" t="s">
        <v>1714</v>
      </c>
      <c r="Q28" s="6"/>
      <c r="R28" s="7" t="s">
        <v>33</v>
      </c>
      <c r="S28" s="7" t="s">
        <v>33</v>
      </c>
      <c r="T28" s="10" t="s">
        <v>1714</v>
      </c>
      <c r="U28" s="6"/>
      <c r="V28" s="7" t="s">
        <v>34</v>
      </c>
      <c r="W28" s="6"/>
      <c r="X28" s="7" t="s">
        <v>34</v>
      </c>
      <c r="Y28" s="13"/>
      <c r="Z28" s="7" t="s">
        <v>33</v>
      </c>
      <c r="AA28" s="6" t="s">
        <v>1710</v>
      </c>
      <c r="AB28" s="6" t="s">
        <v>1715</v>
      </c>
      <c r="AC28" s="6" t="s">
        <v>181</v>
      </c>
    </row>
    <row r="29" ht="22.5" customHeight="1">
      <c r="A29" s="11" t="str">
        <f>REGEXEXTRACT(D29, "\d{4}\.\s(.*?)\.\sProc\. ACM")"),"Longitudinal Effects of External Communication of Automated Vehicles in the USA and Germany: A Comparative Study in Virtual Reality and Via a Browser</f>
        <v xml:space="preserve">Longitudinal Effects of External Communication of Automated Vehicles in the USA and Germany: A Comparative Study in Virtual Reality and Via a Browser</v>
      </c>
      <c r="B29" s="7">
        <f t="shared" si="44"/>
        <v>176</v>
      </c>
      <c r="C29" s="8" t="s">
        <v>1716</v>
      </c>
      <c r="D29" s="6" t="s">
        <v>1717</v>
      </c>
      <c r="E29" s="9">
        <v>45987</v>
      </c>
      <c r="F29" s="7">
        <v>2024</v>
      </c>
      <c r="G29" s="7" t="s">
        <v>31</v>
      </c>
      <c r="H29" s="6" t="str">
        <f t="shared" si="41"/>
        <v>2024_Dec_176</v>
      </c>
      <c r="I29" s="12" t="str">
        <f t="shared" si="42"/>
        <v>https://doi.org/10.1145/3699778</v>
      </c>
      <c r="J29" s="7">
        <f>IF(D29:D62&lt;&gt;"", VALUE(REGEXEXTRACT(D29:D62, "(\d+)\s+pages")), )
</f>
        <v>33</v>
      </c>
      <c r="K29" s="6" t="s">
        <v>32</v>
      </c>
      <c r="L29" s="7" t="str">
        <f t="shared" ref="L29:L62" si="46">IF(REGEXMATCH(LOWER($A29),"(^|[^a-z])dataset(s)?([^a-z]|$)"),"Yes","No")"),"No</f>
        <v>No</v>
      </c>
      <c r="M29" s="7" t="s">
        <v>33</v>
      </c>
      <c r="N29" s="7" t="s">
        <v>33</v>
      </c>
      <c r="O29" s="7" t="s">
        <v>33</v>
      </c>
      <c r="P29" s="10" t="s">
        <v>1718</v>
      </c>
      <c r="Q29" s="6"/>
      <c r="R29" s="7" t="s">
        <v>33</v>
      </c>
      <c r="S29" s="7" t="s">
        <v>33</v>
      </c>
      <c r="T29" s="10" t="s">
        <v>1718</v>
      </c>
      <c r="U29" s="6"/>
      <c r="V29" s="7" t="s">
        <v>34</v>
      </c>
      <c r="W29" s="6"/>
      <c r="X29" s="7" t="s">
        <v>34</v>
      </c>
      <c r="Y29" s="13"/>
      <c r="Z29" s="7" t="s">
        <v>34</v>
      </c>
      <c r="AA29" s="6"/>
      <c r="AB29" s="6" t="s">
        <v>1719</v>
      </c>
      <c r="AC29" s="6" t="s">
        <v>181</v>
      </c>
    </row>
    <row r="30" ht="22.5" customHeight="1">
      <c r="A30" s="11" t="str">
        <f>REGEXEXTRACT(D30, "\d{4}\.\s(.*?)\.\sProc\. ACM")"),"DEWS: A Distributed Measurement Scheme for Efficient Wireless Sensing</f>
        <v xml:space="preserve">DEWS: A Distributed Measurement Scheme for Efficient Wireless Sensing</v>
      </c>
      <c r="B30" s="7">
        <f t="shared" si="44"/>
        <v>177</v>
      </c>
      <c r="C30" s="8" t="s">
        <v>1720</v>
      </c>
      <c r="D30" s="6" t="s">
        <v>1721</v>
      </c>
      <c r="E30" s="9">
        <v>45987</v>
      </c>
      <c r="F30" s="7">
        <v>2024</v>
      </c>
      <c r="G30" s="7" t="s">
        <v>31</v>
      </c>
      <c r="H30" s="6" t="str">
        <f t="shared" si="41"/>
        <v>2024_Dec_177</v>
      </c>
      <c r="I30" s="12" t="str">
        <f t="shared" si="42"/>
        <v>https://doi.org/10.1145/3699728</v>
      </c>
      <c r="J30" s="7">
        <f>IF(D30:D62&lt;&gt;"", VALUE(REGEXEXTRACT(D30:D62, "(\d+)\s+pages")), )
</f>
        <v>34</v>
      </c>
      <c r="K30" s="6" t="s">
        <v>777</v>
      </c>
      <c r="L30" s="7" t="str">
        <f t="shared" si="46"/>
        <v>No</v>
      </c>
      <c r="M30" s="7" t="s">
        <v>34</v>
      </c>
      <c r="N30" s="7" t="s">
        <v>33</v>
      </c>
      <c r="O30" s="7" t="s">
        <v>34</v>
      </c>
      <c r="P30" s="6"/>
      <c r="Q30" s="6"/>
      <c r="R30" s="7" t="s">
        <v>34</v>
      </c>
      <c r="S30" s="7" t="s">
        <v>34</v>
      </c>
      <c r="T30" s="6"/>
      <c r="U30" s="6"/>
      <c r="V30" s="7" t="s">
        <v>33</v>
      </c>
      <c r="W30" s="6" t="s">
        <v>1722</v>
      </c>
      <c r="X30" s="7" t="s">
        <v>33</v>
      </c>
      <c r="Y30" s="6" t="s">
        <v>1723</v>
      </c>
      <c r="Z30" s="7" t="s">
        <v>34</v>
      </c>
      <c r="AA30" s="6"/>
      <c r="AB30" s="6" t="s">
        <v>1724</v>
      </c>
      <c r="AC30" s="6" t="s">
        <v>181</v>
      </c>
    </row>
    <row r="31" ht="22.5" customHeight="1">
      <c r="A31" s="11" t="str">
        <f>REGEXEXTRACT(D31, "\d{4}\.\s(.*?)\.\sProc\. ACM")"),"Contactless Arterial Blood Pressure Waveform Monitoring with mmWave Radar</f>
        <v xml:space="preserve">Contactless Arterial Blood Pressure Waveform Monitoring with mmWave Radar</v>
      </c>
      <c r="B31" s="7">
        <f t="shared" si="44"/>
        <v>178</v>
      </c>
      <c r="C31" s="8" t="s">
        <v>1725</v>
      </c>
      <c r="D31" s="6" t="s">
        <v>1726</v>
      </c>
      <c r="E31" s="9">
        <v>45987</v>
      </c>
      <c r="F31" s="7">
        <v>2024</v>
      </c>
      <c r="G31" s="7" t="s">
        <v>31</v>
      </c>
      <c r="H31" s="6" t="str">
        <f t="shared" si="41"/>
        <v>2024_Dec_178</v>
      </c>
      <c r="I31" s="12" t="str">
        <f t="shared" si="42"/>
        <v>https://doi.org/10.1145/3699781</v>
      </c>
      <c r="J31" s="7">
        <f>IF(D31:D62&lt;&gt;"", VALUE(REGEXEXTRACT(D31:D62, "(\d+)\s+pages")), )
</f>
        <v>29</v>
      </c>
      <c r="K31" s="6" t="s">
        <v>348</v>
      </c>
      <c r="L31" s="7" t="str">
        <f t="shared" si="46"/>
        <v>No</v>
      </c>
      <c r="M31" s="7" t="s">
        <v>34</v>
      </c>
      <c r="N31" s="7" t="s">
        <v>33</v>
      </c>
      <c r="O31" s="7" t="s">
        <v>33</v>
      </c>
      <c r="P31" s="10" t="s">
        <v>1727</v>
      </c>
      <c r="Q31" s="6" t="s">
        <v>1728</v>
      </c>
      <c r="R31" s="7" t="s">
        <v>33</v>
      </c>
      <c r="S31" s="7" t="s">
        <v>33</v>
      </c>
      <c r="T31" s="12" t="s">
        <v>1727</v>
      </c>
      <c r="U31" s="6" t="s">
        <v>1729</v>
      </c>
      <c r="V31" s="7" t="s">
        <v>33</v>
      </c>
      <c r="W31" s="6" t="s">
        <v>1730</v>
      </c>
      <c r="X31" s="7" t="s">
        <v>33</v>
      </c>
      <c r="Y31" s="6" t="s">
        <v>1731</v>
      </c>
      <c r="Z31" s="7" t="s">
        <v>34</v>
      </c>
      <c r="AA31" s="6"/>
      <c r="AB31" s="6" t="s">
        <v>1732</v>
      </c>
      <c r="AC31" s="6" t="s">
        <v>181</v>
      </c>
    </row>
    <row r="32" ht="22.5" customHeight="1">
      <c r="A32" s="11" t="str">
        <f>REGEXEXTRACT(D32, "\d{4}\.\s(.*?)\.\sProc\. ACM")"),"Governing Open Vocabulary Data Leaks Using an Edge LLM through Programming by Example</f>
        <v xml:space="preserve">Governing Open Vocabulary Data Leaks Using an Edge LLM through Programming by Example</v>
      </c>
      <c r="B32" s="7">
        <f t="shared" si="44"/>
        <v>179</v>
      </c>
      <c r="C32" s="8" t="s">
        <v>1733</v>
      </c>
      <c r="D32" s="6" t="s">
        <v>1734</v>
      </c>
      <c r="E32" s="9">
        <v>45987</v>
      </c>
      <c r="F32" s="7">
        <v>2024</v>
      </c>
      <c r="G32" s="7" t="s">
        <v>31</v>
      </c>
      <c r="H32" s="6" t="str">
        <f t="shared" si="41"/>
        <v>2024_Dec_179</v>
      </c>
      <c r="I32" s="12" t="str">
        <f t="shared" si="42"/>
        <v>https://doi.org/10.1145/3699760</v>
      </c>
      <c r="J32" s="7">
        <f>IF(D32:D62&lt;&gt;"", VALUE(REGEXEXTRACT(D32:D62, "(\d+)\s+pages")), )
</f>
        <v>31</v>
      </c>
      <c r="K32" s="6" t="s">
        <v>64</v>
      </c>
      <c r="L32" s="7" t="str">
        <f t="shared" si="46"/>
        <v>No</v>
      </c>
      <c r="M32" s="7" t="s">
        <v>33</v>
      </c>
      <c r="N32" s="7" t="s">
        <v>33</v>
      </c>
      <c r="O32" s="7" t="s">
        <v>34</v>
      </c>
      <c r="P32" s="6"/>
      <c r="Q32" s="6"/>
      <c r="R32" s="7" t="s">
        <v>33</v>
      </c>
      <c r="S32" s="7" t="s">
        <v>33</v>
      </c>
      <c r="T32" s="10" t="s">
        <v>1735</v>
      </c>
      <c r="U32" s="6" t="s">
        <v>1736</v>
      </c>
      <c r="V32" s="7" t="s">
        <v>33</v>
      </c>
      <c r="W32" s="6" t="s">
        <v>1737</v>
      </c>
      <c r="X32" s="7" t="s">
        <v>33</v>
      </c>
      <c r="Y32" s="6" t="s">
        <v>1738</v>
      </c>
      <c r="Z32" s="7" t="s">
        <v>34</v>
      </c>
      <c r="AA32" s="6"/>
      <c r="AB32" s="6" t="s">
        <v>1739</v>
      </c>
      <c r="AC32" s="6" t="s">
        <v>181</v>
      </c>
    </row>
    <row r="33" ht="22.5" customHeight="1">
      <c r="A33" s="11" t="str">
        <f>REGEXEXTRACT(D33, "\d{4}\.\s(.*?)\.\sProc\. ACM")"),"PrISM-Q&amp;amp;A: Step-Aware Voice Assistant on a Smartwatch Enabled by Multimodal Procedure Tracking and Large Language Models</f>
        <v xml:space="preserve">PrISM-Q&amp;amp;A: Step-Aware Voice Assistant on a Smartwatch Enabled by Multimodal Procedure Tracking and Large Language Models</v>
      </c>
      <c r="B33" s="7">
        <f t="shared" si="44"/>
        <v>180</v>
      </c>
      <c r="C33" s="8" t="s">
        <v>1740</v>
      </c>
      <c r="D33" s="6" t="s">
        <v>1741</v>
      </c>
      <c r="E33" s="9">
        <v>45987</v>
      </c>
      <c r="F33" s="7">
        <v>2024</v>
      </c>
      <c r="G33" s="7" t="s">
        <v>31</v>
      </c>
      <c r="H33" s="6" t="str">
        <f t="shared" si="41"/>
        <v>2024_Dec_180</v>
      </c>
      <c r="I33" s="12" t="str">
        <f t="shared" si="42"/>
        <v>https://doi.org/10.1145/3699759</v>
      </c>
      <c r="J33" s="7">
        <f>IF(D33:D62&lt;&gt;"", VALUE(REGEXEXTRACT(D33:D62, "(\d+)\s+pages")), )
</f>
        <v>26</v>
      </c>
      <c r="K33" s="6" t="s">
        <v>64</v>
      </c>
      <c r="L33" s="7" t="str">
        <f t="shared" si="46"/>
        <v>No</v>
      </c>
      <c r="M33" s="7" t="s">
        <v>33</v>
      </c>
      <c r="N33" s="7" t="s">
        <v>33</v>
      </c>
      <c r="O33" s="7" t="s">
        <v>33</v>
      </c>
      <c r="P33" s="10" t="s">
        <v>1742</v>
      </c>
      <c r="Q33" s="6"/>
      <c r="R33" s="7" t="s">
        <v>33</v>
      </c>
      <c r="S33" s="7" t="s">
        <v>33</v>
      </c>
      <c r="T33" s="10" t="s">
        <v>1742</v>
      </c>
      <c r="U33" s="6"/>
      <c r="V33" s="7" t="s">
        <v>33</v>
      </c>
      <c r="W33" s="6" t="s">
        <v>1743</v>
      </c>
      <c r="X33" s="7" t="s">
        <v>33</v>
      </c>
      <c r="Y33" s="6" t="s">
        <v>1744</v>
      </c>
      <c r="Z33" s="7" t="s">
        <v>33</v>
      </c>
      <c r="AA33" s="6" t="s">
        <v>1745</v>
      </c>
      <c r="AB33" s="6" t="s">
        <v>1746</v>
      </c>
      <c r="AC33" s="6" t="s">
        <v>181</v>
      </c>
    </row>
    <row r="34" ht="22.5" customHeight="1">
      <c r="A34" s="11" t="str">
        <f>REGEXEXTRACT(D34, "\d{4}\.\s(.*?)\.\sProc\. ACM")"),"Modeling Attentive Interaction Behavior for Web Content Identification in Exploratory Information Seeking</f>
        <v xml:space="preserve">Modeling Attentive Interaction Behavior for Web Content Identification in Exploratory Information Seeking</v>
      </c>
      <c r="B34" s="7">
        <f t="shared" si="44"/>
        <v>181</v>
      </c>
      <c r="C34" s="8" t="s">
        <v>1747</v>
      </c>
      <c r="D34" s="6" t="s">
        <v>1748</v>
      </c>
      <c r="E34" s="9">
        <v>45987</v>
      </c>
      <c r="F34" s="7">
        <v>2024</v>
      </c>
      <c r="G34" s="7" t="s">
        <v>31</v>
      </c>
      <c r="H34" s="6" t="str">
        <f t="shared" si="41"/>
        <v>2024_Dec_181</v>
      </c>
      <c r="I34" s="12" t="str">
        <f t="shared" si="42"/>
        <v>https://doi.org/10.1145/3699750</v>
      </c>
      <c r="J34" s="7">
        <f>IF(D34:D62&lt;&gt;"", VALUE(REGEXEXTRACT(D34:D62, "(\d+)\s+pages")), )
</f>
        <v>28</v>
      </c>
      <c r="K34" s="6" t="s">
        <v>133</v>
      </c>
      <c r="L34" s="7" t="str">
        <f t="shared" si="46"/>
        <v>No</v>
      </c>
      <c r="M34" s="7" t="s">
        <v>34</v>
      </c>
      <c r="N34" s="7" t="s">
        <v>33</v>
      </c>
      <c r="O34" s="7" t="s">
        <v>34</v>
      </c>
      <c r="P34" s="6" t="s">
        <v>1749</v>
      </c>
      <c r="Q34" s="6"/>
      <c r="R34" s="7" t="s">
        <v>33</v>
      </c>
      <c r="S34" s="7" t="s">
        <v>34</v>
      </c>
      <c r="T34" s="6"/>
      <c r="U34" s="6"/>
      <c r="V34" s="7" t="s">
        <v>33</v>
      </c>
      <c r="W34" s="6" t="s">
        <v>1750</v>
      </c>
      <c r="X34" s="7" t="s">
        <v>33</v>
      </c>
      <c r="Y34" s="6" t="s">
        <v>1751</v>
      </c>
      <c r="Z34" s="7" t="s">
        <v>34</v>
      </c>
      <c r="AA34" s="6"/>
      <c r="AB34" s="6" t="s">
        <v>1752</v>
      </c>
      <c r="AC34" s="6" t="s">
        <v>181</v>
      </c>
    </row>
    <row r="35" ht="22.5" customHeight="1">
      <c r="A35" s="11" t="str">
        <f>REGEXEXTRACT(D35, "\d{4}\.\s(.*?)\.\sProc\. ACM")"),"Frailty Assessment Using a Floor Panel-Type Device by Measuring Center of Pressure</f>
        <v xml:space="preserve">Frailty Assessment Using a Floor Panel-Type Device by Measuring Center of Pressure</v>
      </c>
      <c r="B35" s="7">
        <f t="shared" si="44"/>
        <v>182</v>
      </c>
      <c r="C35" s="8" t="s">
        <v>1753</v>
      </c>
      <c r="D35" s="6" t="s">
        <v>1754</v>
      </c>
      <c r="E35" s="9">
        <v>45987</v>
      </c>
      <c r="F35" s="7">
        <v>2024</v>
      </c>
      <c r="G35" s="7" t="s">
        <v>31</v>
      </c>
      <c r="H35" s="6" t="str">
        <f t="shared" si="41"/>
        <v>2024_Dec_182</v>
      </c>
      <c r="I35" s="12" t="str">
        <f t="shared" si="42"/>
        <v>https://doi.org/10.1145/3699783</v>
      </c>
      <c r="J35" s="7">
        <f>IF(D35:D62&lt;&gt;"", VALUE(REGEXEXTRACT(D35:D62, "(\d+)\s+pages")), )
</f>
        <v>27</v>
      </c>
      <c r="K35" s="6" t="s">
        <v>1093</v>
      </c>
      <c r="L35" s="7" t="str">
        <f t="shared" si="46"/>
        <v>No</v>
      </c>
      <c r="M35" s="7" t="s">
        <v>33</v>
      </c>
      <c r="N35" s="7" t="s">
        <v>33</v>
      </c>
      <c r="O35" s="7" t="s">
        <v>34</v>
      </c>
      <c r="P35" s="6"/>
      <c r="Q35" s="6"/>
      <c r="R35" s="7" t="s">
        <v>33</v>
      </c>
      <c r="S35" s="7" t="s">
        <v>34</v>
      </c>
      <c r="T35" s="6"/>
      <c r="U35" s="6" t="s">
        <v>1755</v>
      </c>
      <c r="V35" s="7" t="s">
        <v>33</v>
      </c>
      <c r="W35" s="6" t="s">
        <v>1756</v>
      </c>
      <c r="X35" s="7" t="s">
        <v>33</v>
      </c>
      <c r="Y35" s="6" t="s">
        <v>1757</v>
      </c>
      <c r="Z35" s="7" t="s">
        <v>34</v>
      </c>
      <c r="AA35" s="6"/>
      <c r="AB35" s="6" t="s">
        <v>1758</v>
      </c>
      <c r="AC35" s="6" t="s">
        <v>181</v>
      </c>
    </row>
    <row r="36" ht="22.5" customHeight="1">
      <c r="A36" s="11" t="str">
        <f>REGEXEXTRACT(D36, "\d{4}\.\s(.*?)\.\sProc\. ACM")"),"ActSonic: Recognizing Everyday Activities from Inaudible Acoustic Wave Around the Body</f>
        <v xml:space="preserve">ActSonic: Recognizing Everyday Activities from Inaudible Acoustic Wave Around the Body</v>
      </c>
      <c r="B36" s="7">
        <f t="shared" si="44"/>
        <v>183</v>
      </c>
      <c r="C36" s="8" t="s">
        <v>1759</v>
      </c>
      <c r="D36" s="6" t="s">
        <v>1760</v>
      </c>
      <c r="E36" s="9">
        <v>45987</v>
      </c>
      <c r="F36" s="7">
        <v>2024</v>
      </c>
      <c r="G36" s="7" t="s">
        <v>31</v>
      </c>
      <c r="H36" s="6" t="str">
        <f t="shared" si="41"/>
        <v>2024_Dec_183</v>
      </c>
      <c r="I36" s="12" t="str">
        <f t="shared" si="42"/>
        <v>https://doi.org/10.1145/3699752</v>
      </c>
      <c r="J36" s="7">
        <f>IF(D36:D62&lt;&gt;"", VALUE(REGEXEXTRACT(D36:D62, "(\d+)\s+pages")), )
</f>
        <v>32</v>
      </c>
      <c r="K36" s="6" t="s">
        <v>217</v>
      </c>
      <c r="L36" s="7" t="str">
        <f t="shared" si="46"/>
        <v>No</v>
      </c>
      <c r="M36" s="7" t="s">
        <v>34</v>
      </c>
      <c r="N36" s="7" t="s">
        <v>33</v>
      </c>
      <c r="O36" s="7" t="s">
        <v>34</v>
      </c>
      <c r="P36" s="13"/>
      <c r="Q36" s="13"/>
      <c r="R36" s="7" t="s">
        <v>33</v>
      </c>
      <c r="S36" s="7" t="s">
        <v>34</v>
      </c>
      <c r="T36" s="6"/>
      <c r="U36" s="13"/>
      <c r="V36" s="7" t="s">
        <v>33</v>
      </c>
      <c r="W36" s="6" t="s">
        <v>1761</v>
      </c>
      <c r="X36" s="7" t="s">
        <v>33</v>
      </c>
      <c r="Y36" s="6" t="s">
        <v>1762</v>
      </c>
      <c r="Z36" s="7" t="s">
        <v>34</v>
      </c>
      <c r="AA36" s="6"/>
      <c r="AB36" s="6" t="s">
        <v>1763</v>
      </c>
      <c r="AC36" s="6" t="s">
        <v>181</v>
      </c>
    </row>
    <row r="37" ht="22.5" customHeight="1">
      <c r="A37" s="11" t="str">
        <f>REGEXEXTRACT(D37, "\d{4}\.\s(.*?)\.\sProc\. ACM")"),"GOAT: A Generalized Cross-Dataset Activity Recognition Framework with Natural Language Supervision</f>
        <v xml:space="preserve">GOAT: A Generalized Cross-Dataset Activity Recognition Framework with Natural Language Supervision</v>
      </c>
      <c r="B37" s="7">
        <f t="shared" si="44"/>
        <v>184</v>
      </c>
      <c r="C37" s="8" t="s">
        <v>1764</v>
      </c>
      <c r="D37" s="6" t="s">
        <v>1765</v>
      </c>
      <c r="E37" s="9">
        <v>45987</v>
      </c>
      <c r="F37" s="7">
        <v>2024</v>
      </c>
      <c r="G37" s="7" t="s">
        <v>31</v>
      </c>
      <c r="H37" s="6" t="str">
        <f t="shared" si="41"/>
        <v>2024_Dec_184</v>
      </c>
      <c r="I37" s="12" t="str">
        <f t="shared" si="42"/>
        <v>https://doi.org/10.1145/3699736</v>
      </c>
      <c r="J37" s="7">
        <f>IF(D37:D62&lt;&gt;"", VALUE(REGEXEXTRACT(D37:D62, "(\d+)\s+pages")), )
</f>
        <v>28</v>
      </c>
      <c r="K37" s="6" t="s">
        <v>64</v>
      </c>
      <c r="L37" s="7" t="s">
        <v>34</v>
      </c>
      <c r="M37" s="7" t="s">
        <v>34</v>
      </c>
      <c r="N37" s="7" t="s">
        <v>33</v>
      </c>
      <c r="O37" s="7" t="s">
        <v>144</v>
      </c>
      <c r="P37" s="10" t="s">
        <v>1766</v>
      </c>
      <c r="Q37" s="6" t="s">
        <v>1767</v>
      </c>
      <c r="R37" s="7" t="s">
        <v>33</v>
      </c>
      <c r="S37" s="7" t="s">
        <v>33</v>
      </c>
      <c r="T37" s="6"/>
      <c r="U37" s="6" t="s">
        <v>1768</v>
      </c>
      <c r="V37" s="7" t="s">
        <v>33</v>
      </c>
      <c r="W37" s="6" t="s">
        <v>1769</v>
      </c>
      <c r="X37" s="7" t="s">
        <v>33</v>
      </c>
      <c r="Y37" s="6" t="s">
        <v>1770</v>
      </c>
      <c r="Z37" s="7" t="s">
        <v>34</v>
      </c>
      <c r="AA37" s="6"/>
      <c r="AB37" s="6" t="s">
        <v>1771</v>
      </c>
      <c r="AC37" s="6" t="s">
        <v>181</v>
      </c>
    </row>
    <row r="38" ht="22.5" customHeight="1">
      <c r="A38" s="11" t="str">
        <f>REGEXEXTRACT(D38, "\d{4}\.\s(.*?)\.\sProc\. ACM")"),"SleepNetZero: Zero-Burden Zero-Shot Reliable Sleep Staging with Neural Networks Based on Ballistocardiograms</f>
        <v xml:space="preserve">SleepNetZero: Zero-Burden Zero-Shot Reliable Sleep Staging with Neural Networks Based on Ballistocardiograms</v>
      </c>
      <c r="B38" s="7">
        <f t="shared" si="44"/>
        <v>185</v>
      </c>
      <c r="C38" s="8" t="s">
        <v>1772</v>
      </c>
      <c r="D38" s="6" t="s">
        <v>1773</v>
      </c>
      <c r="E38" s="9">
        <v>45995</v>
      </c>
      <c r="F38" s="7">
        <v>2024</v>
      </c>
      <c r="G38" s="7" t="s">
        <v>31</v>
      </c>
      <c r="H38" s="6" t="str">
        <f t="shared" si="41"/>
        <v>2024_Dec_185</v>
      </c>
      <c r="I38" s="12" t="str">
        <f t="shared" si="42"/>
        <v>https://doi.org/10.1145/3699743</v>
      </c>
      <c r="J38" s="7">
        <f>IF(D38:D62&lt;&gt;"", VALUE(REGEXEXTRACT(D38:D62, "(\d+)\s+pages")), )
</f>
        <v>25</v>
      </c>
      <c r="K38" s="6" t="s">
        <v>777</v>
      </c>
      <c r="L38" s="7" t="str">
        <f t="shared" si="46"/>
        <v>No</v>
      </c>
      <c r="M38" s="7" t="s">
        <v>34</v>
      </c>
      <c r="N38" s="7" t="s">
        <v>33</v>
      </c>
      <c r="O38" s="7" t="s">
        <v>34</v>
      </c>
      <c r="P38" s="10" t="s">
        <v>1774</v>
      </c>
      <c r="Q38" s="6" t="s">
        <v>1775</v>
      </c>
      <c r="R38" s="7" t="s">
        <v>33</v>
      </c>
      <c r="S38" s="7" t="s">
        <v>144</v>
      </c>
      <c r="T38" s="6"/>
      <c r="U38" s="6" t="s">
        <v>1776</v>
      </c>
      <c r="V38" s="7" t="s">
        <v>33</v>
      </c>
      <c r="W38" s="6" t="s">
        <v>1777</v>
      </c>
      <c r="X38" s="7" t="s">
        <v>33</v>
      </c>
      <c r="Y38" s="6" t="s">
        <v>1778</v>
      </c>
      <c r="Z38" s="7" t="s">
        <v>34</v>
      </c>
      <c r="AA38" s="6"/>
      <c r="AB38" s="6" t="s">
        <v>1779</v>
      </c>
      <c r="AC38" s="6" t="s">
        <v>181</v>
      </c>
    </row>
    <row r="39" ht="22.5" customHeight="1">
      <c r="A39" s="11" t="str">
        <f>REGEXEXTRACT(D39, "\d{4}\.\s(.*?)\.\sProc\. ACM")"),"MindScape Study: Integrating LLM and Behavioral Sensing for Personalized AI-Driven Journaling Experiences</f>
        <v xml:space="preserve">MindScape Study: Integrating LLM and Behavioral Sensing for Personalized AI-Driven Journaling Experiences</v>
      </c>
      <c r="B39" s="7">
        <f t="shared" si="44"/>
        <v>186</v>
      </c>
      <c r="C39" s="8" t="s">
        <v>1780</v>
      </c>
      <c r="D39" s="6" t="s">
        <v>1781</v>
      </c>
      <c r="E39" s="9">
        <v>45995</v>
      </c>
      <c r="F39" s="7">
        <v>2024</v>
      </c>
      <c r="G39" s="7" t="s">
        <v>31</v>
      </c>
      <c r="H39" s="6" t="str">
        <f t="shared" si="41"/>
        <v>2024_Dec_186</v>
      </c>
      <c r="I39" s="12" t="str">
        <f t="shared" si="42"/>
        <v>https://doi.org/10.1145/3699761</v>
      </c>
      <c r="J39" s="7">
        <f>IF(D39:D62&lt;&gt;"", VALUE(REGEXEXTRACT(D39:D62, "(\d+)\s+pages")), )
</f>
        <v>44</v>
      </c>
      <c r="K39" s="6" t="s">
        <v>652</v>
      </c>
      <c r="L39" s="7" t="str">
        <f t="shared" si="46"/>
        <v>No</v>
      </c>
      <c r="M39" s="7" t="s">
        <v>34</v>
      </c>
      <c r="N39" s="7" t="s">
        <v>33</v>
      </c>
      <c r="O39" s="7" t="s">
        <v>34</v>
      </c>
      <c r="P39" s="6"/>
      <c r="Q39" s="6" t="s">
        <v>1782</v>
      </c>
      <c r="R39" s="7" t="s">
        <v>33</v>
      </c>
      <c r="S39" s="7" t="s">
        <v>34</v>
      </c>
      <c r="T39" s="6"/>
      <c r="U39" s="6" t="s">
        <v>1783</v>
      </c>
      <c r="V39" s="7" t="s">
        <v>34</v>
      </c>
      <c r="W39" s="6"/>
      <c r="X39" s="7" t="s">
        <v>33</v>
      </c>
      <c r="Y39" s="6" t="s">
        <v>1784</v>
      </c>
      <c r="Z39" s="7" t="s">
        <v>34</v>
      </c>
      <c r="AA39" s="6"/>
      <c r="AB39" s="6" t="s">
        <v>1785</v>
      </c>
      <c r="AC39" s="6" t="s">
        <v>181</v>
      </c>
    </row>
    <row r="40" ht="22.5" customHeight="1">
      <c r="A40" s="11" t="str">
        <f>REGEXEXTRACT(D40, "\d{4}\.\s(.*?)\.\sProc\. ACM")"),"Passive Haptic Rehearsal for Augmented Piano Learning in the Wild</f>
        <v xml:space="preserve">Passive Haptic Rehearsal for Augmented Piano Learning in the Wild</v>
      </c>
      <c r="B40" s="7">
        <f t="shared" si="44"/>
        <v>187</v>
      </c>
      <c r="C40" s="8" t="s">
        <v>1786</v>
      </c>
      <c r="D40" s="6" t="s">
        <v>1787</v>
      </c>
      <c r="E40" s="9">
        <v>45995</v>
      </c>
      <c r="F40" s="7">
        <v>2024</v>
      </c>
      <c r="G40" s="7" t="s">
        <v>31</v>
      </c>
      <c r="H40" s="6" t="str">
        <f t="shared" si="41"/>
        <v>2024_Dec_187</v>
      </c>
      <c r="I40" s="12" t="str">
        <f t="shared" si="42"/>
        <v>https://doi.org/10.1145/3699748</v>
      </c>
      <c r="J40" s="7">
        <f>IF(D40:D62&lt;&gt;"", VALUE(REGEXEXTRACT(D40:D62, "(\d+)\s+pages")), )
</f>
        <v>26</v>
      </c>
      <c r="K40" s="6" t="s">
        <v>217</v>
      </c>
      <c r="L40" s="7" t="str">
        <f t="shared" si="46"/>
        <v>No</v>
      </c>
      <c r="M40" s="7" t="s">
        <v>34</v>
      </c>
      <c r="N40" s="7" t="s">
        <v>33</v>
      </c>
      <c r="O40" s="7" t="s">
        <v>33</v>
      </c>
      <c r="P40" s="10" t="s">
        <v>1788</v>
      </c>
      <c r="Q40" s="6" t="s">
        <v>1789</v>
      </c>
      <c r="R40" s="7" t="s">
        <v>34</v>
      </c>
      <c r="S40" s="7" t="s">
        <v>34</v>
      </c>
      <c r="T40" s="6"/>
      <c r="U40" s="6"/>
      <c r="V40" s="7" t="s">
        <v>33</v>
      </c>
      <c r="W40" s="6" t="s">
        <v>1790</v>
      </c>
      <c r="X40" s="7" t="s">
        <v>34</v>
      </c>
      <c r="Y40" s="13"/>
      <c r="Z40" s="7" t="s">
        <v>33</v>
      </c>
      <c r="AA40" s="6" t="s">
        <v>1791</v>
      </c>
      <c r="AB40" s="6" t="s">
        <v>1792</v>
      </c>
      <c r="AC40" s="6" t="s">
        <v>181</v>
      </c>
    </row>
    <row r="41" ht="22.5" customHeight="1">
      <c r="A41" s="11" t="str">
        <f>REGEXEXTRACT(D41, "\d{4}\.\s(.*?)\.\sProc\. ACM")"),"BreathePulse: Peripheral Guided Breathing via Implicit Airflow Cues for Information Work</f>
        <v xml:space="preserve">BreathePulse: Peripheral Guided Breathing via Implicit Airflow Cues for Information Work</v>
      </c>
      <c r="B41" s="7">
        <f t="shared" si="44"/>
        <v>188</v>
      </c>
      <c r="C41" s="8" t="s">
        <v>1793</v>
      </c>
      <c r="D41" s="23" t="s">
        <v>1794</v>
      </c>
      <c r="E41" s="9">
        <v>45995</v>
      </c>
      <c r="F41" s="7">
        <v>2024</v>
      </c>
      <c r="G41" s="7" t="s">
        <v>31</v>
      </c>
      <c r="H41" s="6" t="str">
        <f t="shared" si="41"/>
        <v>2024_Dec_188</v>
      </c>
      <c r="I41" s="12" t="str">
        <f t="shared" si="42"/>
        <v>https://doi.org/10.1145/3702211</v>
      </c>
      <c r="J41" s="7">
        <f>IF(D41:D62&lt;&gt;"", VALUE(REGEXEXTRACT(D41:D62, "(\d+)\s+pages")), )
</f>
        <v>33</v>
      </c>
      <c r="K41" s="6" t="s">
        <v>164</v>
      </c>
      <c r="L41" s="7" t="str">
        <f t="shared" si="46"/>
        <v>No</v>
      </c>
      <c r="M41" s="7" t="s">
        <v>33</v>
      </c>
      <c r="N41" s="7" t="s">
        <v>34</v>
      </c>
      <c r="O41" s="7" t="s">
        <v>34</v>
      </c>
      <c r="P41" s="6"/>
      <c r="Q41" s="6" t="s">
        <v>1795</v>
      </c>
      <c r="R41" s="7" t="s">
        <v>34</v>
      </c>
      <c r="S41" s="7" t="s">
        <v>34</v>
      </c>
      <c r="T41" s="6"/>
      <c r="U41" s="6"/>
      <c r="V41" s="7" t="s">
        <v>33</v>
      </c>
      <c r="W41" s="6" t="s">
        <v>1796</v>
      </c>
      <c r="X41" s="7" t="s">
        <v>33</v>
      </c>
      <c r="Y41" s="6" t="s">
        <v>1797</v>
      </c>
      <c r="Z41" s="7" t="s">
        <v>34</v>
      </c>
      <c r="AA41" s="6"/>
      <c r="AB41" s="6" t="s">
        <v>1798</v>
      </c>
      <c r="AC41" s="6" t="s">
        <v>181</v>
      </c>
    </row>
    <row r="42" ht="22.5" customHeight="1">
      <c r="A42" s="14" t="str">
        <f>REGEXEXTRACT(D42, "\d{4}\.\s(.*?)\.\sProc\. ACM")"),"Ring-a-Pose: A Ring for Continuous Hand Pose Tracking</f>
        <v xml:space="preserve">Ring-a-Pose: A Ring for Continuous Hand Pose Tracking</v>
      </c>
      <c r="B42" s="15">
        <f t="shared" si="44"/>
        <v>189</v>
      </c>
      <c r="C42" s="16" t="s">
        <v>1799</v>
      </c>
      <c r="D42" s="17" t="s">
        <v>1800</v>
      </c>
      <c r="E42" s="18">
        <v>45995</v>
      </c>
      <c r="F42" s="15">
        <v>2024</v>
      </c>
      <c r="G42" s="15" t="s">
        <v>31</v>
      </c>
      <c r="H42" s="17" t="str">
        <f t="shared" si="41"/>
        <v>2024_Dec_189</v>
      </c>
      <c r="I42" s="19" t="str">
        <f t="shared" si="42"/>
        <v>https://doi.org/10.1145/3699741</v>
      </c>
      <c r="J42" s="15">
        <f>IF(D42:D62&lt;&gt;"", VALUE(REGEXEXTRACT(D42:D62, "(\d+)\s+pages")), )
</f>
        <v>30</v>
      </c>
      <c r="K42" s="17" t="s">
        <v>217</v>
      </c>
      <c r="L42" s="15" t="str">
        <f t="shared" si="46"/>
        <v>No</v>
      </c>
      <c r="M42" s="15" t="s">
        <v>34</v>
      </c>
      <c r="N42" s="15" t="s">
        <v>33</v>
      </c>
      <c r="O42" s="15" t="s">
        <v>34</v>
      </c>
      <c r="P42" s="17"/>
      <c r="Q42" s="17" t="s">
        <v>1801</v>
      </c>
      <c r="R42" s="15" t="s">
        <v>33</v>
      </c>
      <c r="S42" s="15" t="s">
        <v>34</v>
      </c>
      <c r="T42" s="17"/>
      <c r="U42" s="17"/>
      <c r="V42" s="15" t="s">
        <v>33</v>
      </c>
      <c r="W42" s="17" t="s">
        <v>1802</v>
      </c>
      <c r="X42" s="15" t="s">
        <v>33</v>
      </c>
      <c r="Y42" s="17" t="s">
        <v>1803</v>
      </c>
      <c r="Z42" s="15" t="s">
        <v>34</v>
      </c>
      <c r="AA42" s="17"/>
      <c r="AB42" s="17" t="s">
        <v>1804</v>
      </c>
      <c r="AC42" s="17" t="s">
        <v>181</v>
      </c>
    </row>
    <row r="43" ht="22.5" customHeight="1">
      <c r="A43" s="11" t="str">
        <f>REGEXEXTRACT(D43, "\d{4}\.\s(.*?)\.\sProc\. ACM")"),"DEDector: Smartphone-Based Noninvasive Screening of Dry Eye Disease</f>
        <v xml:space="preserve">DEDector: Smartphone-Based Noninvasive Screening of Dry Eye Disease</v>
      </c>
      <c r="B43" s="7">
        <f t="shared" si="44"/>
        <v>190</v>
      </c>
      <c r="C43" s="8" t="s">
        <v>1805</v>
      </c>
      <c r="D43" s="10" t="s">
        <v>1806</v>
      </c>
      <c r="E43" s="9">
        <v>45969</v>
      </c>
      <c r="F43" s="7">
        <v>2024</v>
      </c>
      <c r="G43" s="7" t="s">
        <v>31</v>
      </c>
      <c r="H43" s="6" t="str">
        <f t="shared" si="41"/>
        <v>2024_Dec_190</v>
      </c>
      <c r="I43" s="12" t="str">
        <f t="shared" si="42"/>
        <v>https://doi.org/10.1145/3699742</v>
      </c>
      <c r="J43" s="7">
        <f>IF(D43:D62&lt;&gt;"", VALUE(REGEXEXTRACT(D43:D62, "(\d+)\s+pages")), )
</f>
        <v>26</v>
      </c>
      <c r="K43" s="6" t="s">
        <v>217</v>
      </c>
      <c r="L43" s="7" t="str">
        <f t="shared" si="46"/>
        <v>No</v>
      </c>
      <c r="M43" s="7" t="s">
        <v>33</v>
      </c>
      <c r="N43" s="7" t="s">
        <v>33</v>
      </c>
      <c r="O43" s="7" t="s">
        <v>33</v>
      </c>
      <c r="P43" s="10" t="s">
        <v>1807</v>
      </c>
      <c r="Q43" s="6" t="s">
        <v>1808</v>
      </c>
      <c r="R43" s="7" t="s">
        <v>33</v>
      </c>
      <c r="S43" s="7" t="s">
        <v>34</v>
      </c>
      <c r="T43" s="6"/>
      <c r="U43" s="6" t="s">
        <v>1809</v>
      </c>
      <c r="V43" s="7" t="s">
        <v>33</v>
      </c>
      <c r="W43" s="6" t="s">
        <v>1810</v>
      </c>
      <c r="X43" s="7" t="s">
        <v>34</v>
      </c>
      <c r="Y43" s="6" t="s">
        <v>1811</v>
      </c>
      <c r="Z43" s="7" t="s">
        <v>33</v>
      </c>
      <c r="AA43" s="6" t="s">
        <v>1812</v>
      </c>
      <c r="AB43" s="6" t="s">
        <v>1813</v>
      </c>
      <c r="AC43" s="6" t="s">
        <v>355</v>
      </c>
    </row>
    <row r="44" ht="22.5" customHeight="1">
      <c r="A44" s="11" t="str">
        <f>REGEXEXTRACT(D44, "\d{4}\.\s(.*?)\.\sProc\. ACM")"),"Densor: An Intraoral Battery-Free Sensing Platform</f>
        <v xml:space="preserve">Densor: An Intraoral Battery-Free Sensing Platform</v>
      </c>
      <c r="B44" s="7">
        <f t="shared" si="44"/>
        <v>191</v>
      </c>
      <c r="C44" s="8" t="s">
        <v>1814</v>
      </c>
      <c r="D44" s="6" t="s">
        <v>1815</v>
      </c>
      <c r="E44" s="9">
        <v>45969</v>
      </c>
      <c r="F44" s="7">
        <v>2024</v>
      </c>
      <c r="G44" s="7" t="s">
        <v>31</v>
      </c>
      <c r="H44" s="6" t="str">
        <f t="shared" si="41"/>
        <v>2024_Dec_191</v>
      </c>
      <c r="I44" s="12" t="str">
        <f t="shared" si="42"/>
        <v>https://doi.org/10.1145/3699746</v>
      </c>
      <c r="J44" s="7">
        <f>IF(D44:D62&lt;&gt;"", VALUE(REGEXEXTRACT(D44:D62, "(\d+)\s+pages")), )
</f>
        <v>30</v>
      </c>
      <c r="K44" s="6" t="s">
        <v>217</v>
      </c>
      <c r="L44" s="7" t="str">
        <f t="shared" si="46"/>
        <v>No</v>
      </c>
      <c r="M44" s="7" t="s">
        <v>33</v>
      </c>
      <c r="N44" s="7" t="s">
        <v>33</v>
      </c>
      <c r="O44" s="7" t="s">
        <v>33</v>
      </c>
      <c r="P44" s="10" t="s">
        <v>1816</v>
      </c>
      <c r="Q44" s="6" t="s">
        <v>1817</v>
      </c>
      <c r="R44" s="7" t="s">
        <v>33</v>
      </c>
      <c r="S44" s="7" t="s">
        <v>33</v>
      </c>
      <c r="T44" s="10" t="s">
        <v>1816</v>
      </c>
      <c r="U44" s="6" t="s">
        <v>1818</v>
      </c>
      <c r="V44" s="7" t="s">
        <v>33</v>
      </c>
      <c r="W44" s="6" t="s">
        <v>1819</v>
      </c>
      <c r="X44" s="7" t="s">
        <v>34</v>
      </c>
      <c r="Y44" s="6" t="s">
        <v>1820</v>
      </c>
      <c r="Z44" s="7" t="s">
        <v>33</v>
      </c>
      <c r="AA44" s="6" t="s">
        <v>1821</v>
      </c>
      <c r="AB44" s="6" t="s">
        <v>1822</v>
      </c>
      <c r="AC44" s="6" t="s">
        <v>355</v>
      </c>
    </row>
    <row r="45" ht="22.5" customHeight="1">
      <c r="A45" s="11" t="str">
        <f>REGEXEXTRACT(D45, "\d{4}\.\s(.*?)\.\sProc\. ACM")"),"Sensor2Text: Enabling Natural Language Interactions for Daily Activity Tracking Using Wearable Sensors</f>
        <v xml:space="preserve">Sensor2Text: Enabling Natural Language Interactions for Daily Activity Tracking Using Wearable Sensors</v>
      </c>
      <c r="B45" s="7">
        <f t="shared" si="44"/>
        <v>192</v>
      </c>
      <c r="C45" s="8" t="s">
        <v>1823</v>
      </c>
      <c r="D45" s="6" t="s">
        <v>1824</v>
      </c>
      <c r="E45" s="9">
        <v>45969</v>
      </c>
      <c r="F45" s="7">
        <v>2024</v>
      </c>
      <c r="G45" s="7" t="s">
        <v>31</v>
      </c>
      <c r="H45" s="6" t="str">
        <f t="shared" si="41"/>
        <v>2024_Dec_192</v>
      </c>
      <c r="I45" s="12" t="str">
        <f t="shared" si="42"/>
        <v>https://doi.org/10.1145/3699747</v>
      </c>
      <c r="J45" s="7">
        <f>IF(D45:D62&lt;&gt;"", VALUE(REGEXEXTRACT(D45:D62, "(\d+)\s+pages")), )
</f>
        <v>26</v>
      </c>
      <c r="K45" s="6" t="s">
        <v>64</v>
      </c>
      <c r="L45" s="7" t="str">
        <f t="shared" si="46"/>
        <v>No</v>
      </c>
      <c r="M45" s="7" t="s">
        <v>33</v>
      </c>
      <c r="N45" s="7" t="s">
        <v>33</v>
      </c>
      <c r="O45" s="7" t="s">
        <v>34</v>
      </c>
      <c r="P45" s="6"/>
      <c r="Q45" s="6" t="s">
        <v>1825</v>
      </c>
      <c r="R45" s="7" t="s">
        <v>33</v>
      </c>
      <c r="S45" s="7" t="s">
        <v>33</v>
      </c>
      <c r="T45" s="10" t="s">
        <v>1826</v>
      </c>
      <c r="U45" s="6" t="s">
        <v>1827</v>
      </c>
      <c r="V45" s="7" t="s">
        <v>33</v>
      </c>
      <c r="W45" s="6" t="s">
        <v>1828</v>
      </c>
      <c r="X45" s="7" t="s">
        <v>34</v>
      </c>
      <c r="Y45" s="6" t="s">
        <v>1829</v>
      </c>
      <c r="Z45" s="7" t="s">
        <v>34</v>
      </c>
      <c r="AA45" s="6" t="s">
        <v>1830</v>
      </c>
      <c r="AB45" s="6" t="s">
        <v>1831</v>
      </c>
      <c r="AC45" s="6" t="s">
        <v>355</v>
      </c>
    </row>
    <row r="46" ht="22.5" customHeight="1">
      <c r="A46" s="11" t="str">
        <f>REGEXEXTRACT(D46, "\d{4}\.\s(.*?)\.\sProc\. ACM")"),"Investigating Perspectives of and Experiences with Low Cost Commercial Fitness Wearables</f>
        <v xml:space="preserve">Investigating Perspectives of and Experiences with Low Cost Commercial Fitness Wearables</v>
      </c>
      <c r="B46" s="7">
        <f t="shared" si="44"/>
        <v>193</v>
      </c>
      <c r="C46" s="8" t="s">
        <v>1832</v>
      </c>
      <c r="D46" s="6" t="s">
        <v>1833</v>
      </c>
      <c r="E46" s="9">
        <v>45969</v>
      </c>
      <c r="F46" s="7">
        <v>2024</v>
      </c>
      <c r="G46" s="7" t="s">
        <v>31</v>
      </c>
      <c r="H46" s="6" t="str">
        <f t="shared" si="41"/>
        <v>2024_Dec_193</v>
      </c>
      <c r="I46" s="12" t="str">
        <f t="shared" si="42"/>
        <v>https://doi.org/10.1145/3699740</v>
      </c>
      <c r="J46" s="7">
        <f>IF(D46:D62&lt;&gt;"", VALUE(REGEXEXTRACT(D46:D62, "(\d+)\s+pages")), )
</f>
        <v>22</v>
      </c>
      <c r="K46" s="6" t="s">
        <v>42</v>
      </c>
      <c r="L46" s="7" t="str">
        <f t="shared" si="46"/>
        <v>No</v>
      </c>
      <c r="M46" s="7" t="s">
        <v>33</v>
      </c>
      <c r="N46" s="7" t="s">
        <v>34</v>
      </c>
      <c r="O46" s="7" t="s">
        <v>35</v>
      </c>
      <c r="P46" s="6"/>
      <c r="Q46" s="6"/>
      <c r="R46" s="7" t="s">
        <v>34</v>
      </c>
      <c r="S46" s="7" t="s">
        <v>35</v>
      </c>
      <c r="T46" s="6"/>
      <c r="U46" s="6"/>
      <c r="V46" s="7" t="s">
        <v>35</v>
      </c>
      <c r="W46" s="6"/>
      <c r="X46" s="7" t="s">
        <v>35</v>
      </c>
      <c r="Y46" s="13"/>
      <c r="Z46" s="7" t="s">
        <v>35</v>
      </c>
      <c r="AA46" s="6"/>
      <c r="AB46" s="6"/>
      <c r="AC46" s="6" t="s">
        <v>355</v>
      </c>
    </row>
    <row r="47" ht="22.5" customHeight="1">
      <c r="A47" s="11" t="str">
        <f>REGEXEXTRACT(D47, "\d{4}\.\s(.*?)\.\sProc\. ACM")"),"ESATED: Leveraging Extra-weak Supervision with Auxiliary Task for Enhanced Non-intrusiveness in Energy Disaggregation</f>
        <v xml:space="preserve">ESATED: Leveraging Extra-weak Supervision with Auxiliary Task for Enhanced Non-intrusiveness in Energy Disaggregation</v>
      </c>
      <c r="B47" s="7">
        <f t="shared" si="44"/>
        <v>194</v>
      </c>
      <c r="C47" s="8" t="s">
        <v>1834</v>
      </c>
      <c r="D47" s="6" t="s">
        <v>1835</v>
      </c>
      <c r="E47" s="9">
        <v>45969</v>
      </c>
      <c r="F47" s="7">
        <v>2024</v>
      </c>
      <c r="G47" s="7" t="s">
        <v>31</v>
      </c>
      <c r="H47" s="6" t="str">
        <f t="shared" si="41"/>
        <v>2024_Dec_194</v>
      </c>
      <c r="I47" s="12" t="str">
        <f t="shared" si="42"/>
        <v>https://doi.org/10.1145/3699729</v>
      </c>
      <c r="J47" s="7">
        <f>IF(D47:D62&lt;&gt;"", VALUE(REGEXEXTRACT(D47:D62, "(\d+)\s+pages")), )
</f>
        <v>32</v>
      </c>
      <c r="K47" s="6" t="s">
        <v>777</v>
      </c>
      <c r="L47" s="7" t="str">
        <f t="shared" si="46"/>
        <v>No</v>
      </c>
      <c r="M47" s="7" t="s">
        <v>34</v>
      </c>
      <c r="N47" s="7" t="s">
        <v>33</v>
      </c>
      <c r="O47" s="7" t="s">
        <v>33</v>
      </c>
      <c r="P47" s="10" t="s">
        <v>1836</v>
      </c>
      <c r="Q47" s="6" t="s">
        <v>1837</v>
      </c>
      <c r="R47" s="7" t="s">
        <v>33</v>
      </c>
      <c r="S47" s="7" t="s">
        <v>33</v>
      </c>
      <c r="T47" s="10" t="s">
        <v>1836</v>
      </c>
      <c r="U47" s="6" t="s">
        <v>1838</v>
      </c>
      <c r="V47" s="7" t="s">
        <v>33</v>
      </c>
      <c r="W47" s="6" t="s">
        <v>1839</v>
      </c>
      <c r="X47" s="7" t="s">
        <v>34</v>
      </c>
      <c r="Y47" s="6" t="s">
        <v>1840</v>
      </c>
      <c r="Z47" s="7" t="s">
        <v>34</v>
      </c>
      <c r="AA47" s="6" t="s">
        <v>1841</v>
      </c>
      <c r="AB47" s="6" t="s">
        <v>1842</v>
      </c>
      <c r="AC47" s="6" t="s">
        <v>355</v>
      </c>
    </row>
    <row r="48" ht="22.5" customHeight="1">
      <c r="A48" s="11" t="str">
        <f>REGEXEXTRACT(D48, "\d{4}\.\s(.*?)\.\sProc\. ACM")"),"Pioneering Cooperative Air-Ground Instant Delivery Using UAVs and Crowdsourced Couriers</f>
        <v xml:space="preserve">Pioneering Cooperative Air-Ground Instant Delivery Using UAVs and Crowdsourced Couriers</v>
      </c>
      <c r="B48" s="7">
        <f t="shared" si="44"/>
        <v>195</v>
      </c>
      <c r="C48" s="8" t="s">
        <v>1843</v>
      </c>
      <c r="D48" s="6" t="s">
        <v>1844</v>
      </c>
      <c r="E48" s="44">
        <v>45970</v>
      </c>
      <c r="F48" s="7">
        <v>2024</v>
      </c>
      <c r="G48" s="7" t="s">
        <v>31</v>
      </c>
      <c r="H48" s="6" t="str">
        <f t="shared" si="41"/>
        <v>2024_Dec_195</v>
      </c>
      <c r="I48" s="12" t="str">
        <f t="shared" si="42"/>
        <v>https://doi.org/10.1145/3699722</v>
      </c>
      <c r="J48" s="7">
        <f>IF(D48:D62&lt;&gt;"", VALUE(REGEXEXTRACT(D48:D62, "(\d+)\s+pages")), )
</f>
        <v>26</v>
      </c>
      <c r="K48" s="6" t="s">
        <v>64</v>
      </c>
      <c r="L48" s="7" t="str">
        <f t="shared" si="46"/>
        <v>No</v>
      </c>
      <c r="M48" s="7" t="s">
        <v>34</v>
      </c>
      <c r="N48" s="7" t="s">
        <v>33</v>
      </c>
      <c r="O48" s="7" t="s">
        <v>34</v>
      </c>
      <c r="P48" s="6"/>
      <c r="Q48" s="6"/>
      <c r="R48" s="7" t="s">
        <v>33</v>
      </c>
      <c r="S48" s="7" t="s">
        <v>144</v>
      </c>
      <c r="T48" s="10" t="s">
        <v>1845</v>
      </c>
      <c r="U48" s="6" t="s">
        <v>1846</v>
      </c>
      <c r="V48" s="7" t="s">
        <v>34</v>
      </c>
      <c r="W48" s="6"/>
      <c r="X48" s="7" t="s">
        <v>34</v>
      </c>
      <c r="Y48" s="13"/>
      <c r="Z48" s="7" t="s">
        <v>34</v>
      </c>
      <c r="AA48" s="6" t="s">
        <v>1847</v>
      </c>
      <c r="AB48" s="6" t="s">
        <v>1848</v>
      </c>
      <c r="AC48" s="6" t="s">
        <v>355</v>
      </c>
    </row>
    <row r="49" ht="22.5" customHeight="1">
      <c r="A49" s="11" t="str">
        <f>REGEXEXTRACT(D49, "\d{4}\.\s(.*?)\.\sProc\. ACM")"),"U-Flash: Improving Underwater Optical Communication by Scattering Effect</f>
        <v xml:space="preserve">U-Flash: Improving Underwater Optical Communication by Scattering Effect</v>
      </c>
      <c r="B49" s="7">
        <f t="shared" si="44"/>
        <v>196</v>
      </c>
      <c r="C49" s="8" t="s">
        <v>1849</v>
      </c>
      <c r="D49" s="6" t="s">
        <v>1850</v>
      </c>
      <c r="E49" s="9">
        <v>45970</v>
      </c>
      <c r="F49" s="7">
        <v>2024</v>
      </c>
      <c r="G49" s="7" t="s">
        <v>31</v>
      </c>
      <c r="H49" s="6" t="str">
        <f t="shared" si="41"/>
        <v>2024_Dec_196</v>
      </c>
      <c r="I49" s="12" t="str">
        <f t="shared" si="42"/>
        <v>https://doi.org/10.1145/3699769</v>
      </c>
      <c r="J49" s="7">
        <f>IF(D49:D62&lt;&gt;"", VALUE(REGEXEXTRACT(D49:D62, "(\d+)\s+pages")), )
</f>
        <v>31</v>
      </c>
      <c r="K49" s="6" t="s">
        <v>777</v>
      </c>
      <c r="L49" s="7" t="str">
        <f t="shared" si="46"/>
        <v>No</v>
      </c>
      <c r="M49" s="7" t="s">
        <v>34</v>
      </c>
      <c r="N49" s="7" t="s">
        <v>33</v>
      </c>
      <c r="O49" s="7" t="s">
        <v>34</v>
      </c>
      <c r="P49" s="6"/>
      <c r="Q49" s="6" t="s">
        <v>1851</v>
      </c>
      <c r="R49" s="7" t="s">
        <v>34</v>
      </c>
      <c r="S49" s="7" t="s">
        <v>35</v>
      </c>
      <c r="T49" s="6"/>
      <c r="U49" s="6"/>
      <c r="V49" s="7" t="s">
        <v>33</v>
      </c>
      <c r="W49" s="6" t="s">
        <v>1852</v>
      </c>
      <c r="X49" s="7" t="s">
        <v>34</v>
      </c>
      <c r="Y49" s="6" t="s">
        <v>1853</v>
      </c>
      <c r="Z49" s="7" t="s">
        <v>34</v>
      </c>
      <c r="AA49" s="6" t="s">
        <v>1854</v>
      </c>
      <c r="AB49" s="6" t="s">
        <v>1855</v>
      </c>
      <c r="AC49" s="6" t="s">
        <v>355</v>
      </c>
    </row>
    <row r="50" ht="22.5" customHeight="1">
      <c r="A50" s="11" t="str">
        <f>REGEXEXTRACT(D50, "\d{4}\.\s(.*?)\.\sProc\. ACM")"),"PressInPose: Integrating Pressure and Inertial Sensors for Full-Body Pose Estimation in Activities</f>
        <v xml:space="preserve">PressInPose: Integrating Pressure and Inertial Sensors for Full-Body Pose Estimation in Activities</v>
      </c>
      <c r="B50" s="7">
        <f t="shared" si="44"/>
        <v>197</v>
      </c>
      <c r="C50" s="8" t="s">
        <v>1856</v>
      </c>
      <c r="D50" s="6" t="s">
        <v>1857</v>
      </c>
      <c r="E50" s="9">
        <v>45970</v>
      </c>
      <c r="F50" s="7">
        <v>2024</v>
      </c>
      <c r="G50" s="7" t="s">
        <v>31</v>
      </c>
      <c r="H50" s="6" t="str">
        <f t="shared" si="41"/>
        <v>2024_Dec_197</v>
      </c>
      <c r="I50" s="12" t="str">
        <f t="shared" si="42"/>
        <v>https://doi.org/10.1145/3699773</v>
      </c>
      <c r="J50" s="7">
        <f>IF(D50:D62&lt;&gt;"", VALUE(REGEXEXTRACT(D50:D62, "(\d+)\s+pages")), )
</f>
        <v>28</v>
      </c>
      <c r="K50" s="6" t="s">
        <v>217</v>
      </c>
      <c r="L50" s="7" t="str">
        <f t="shared" si="46"/>
        <v>No</v>
      </c>
      <c r="M50" s="7" t="s">
        <v>34</v>
      </c>
      <c r="N50" s="7" t="s">
        <v>33</v>
      </c>
      <c r="O50" s="7" t="s">
        <v>34</v>
      </c>
      <c r="P50" s="6"/>
      <c r="Q50" s="6" t="s">
        <v>1550</v>
      </c>
      <c r="R50" s="7" t="s">
        <v>33</v>
      </c>
      <c r="S50" s="7" t="s">
        <v>34</v>
      </c>
      <c r="T50" s="6"/>
      <c r="U50" s="6" t="s">
        <v>1858</v>
      </c>
      <c r="V50" s="7" t="s">
        <v>33</v>
      </c>
      <c r="W50" s="6" t="s">
        <v>1859</v>
      </c>
      <c r="X50" s="7" t="s">
        <v>34</v>
      </c>
      <c r="Y50" s="6" t="s">
        <v>1860</v>
      </c>
      <c r="Z50" s="7" t="s">
        <v>34</v>
      </c>
      <c r="AA50" s="6" t="s">
        <v>1861</v>
      </c>
      <c r="AB50" s="6" t="s">
        <v>1862</v>
      </c>
      <c r="AC50" s="6" t="s">
        <v>355</v>
      </c>
    </row>
    <row r="51" ht="22.5" customHeight="1">
      <c r="A51" s="11" t="str">
        <f>REGEXEXTRACT(D51, "\d{4}\.\s(.*?)\.\sProc\. ACM")"),"SemiCMT: Contrastive Cross-Modal Knowledge Transfer for IoT Sensing with Semi-Paired Multi-Modal Signals</f>
        <v xml:space="preserve">SemiCMT: Contrastive Cross-Modal Knowledge Transfer for IoT Sensing with Semi-Paired Multi-Modal Signals</v>
      </c>
      <c r="B51" s="7">
        <f t="shared" si="44"/>
        <v>198</v>
      </c>
      <c r="C51" s="8" t="s">
        <v>1863</v>
      </c>
      <c r="D51" s="6" t="s">
        <v>1864</v>
      </c>
      <c r="E51" s="9">
        <v>45970</v>
      </c>
      <c r="F51" s="7">
        <v>2024</v>
      </c>
      <c r="G51" s="7" t="s">
        <v>31</v>
      </c>
      <c r="H51" s="6" t="str">
        <f t="shared" si="41"/>
        <v>2024_Dec_198</v>
      </c>
      <c r="I51" s="12" t="str">
        <f t="shared" si="42"/>
        <v>https://doi.org/10.1145/3699779</v>
      </c>
      <c r="J51" s="7">
        <f>IF(D51:D62&lt;&gt;"", VALUE(REGEXEXTRACT(D51:D62, "(\d+)\s+pages")), )
</f>
        <v>30</v>
      </c>
      <c r="K51" s="6" t="s">
        <v>64</v>
      </c>
      <c r="L51" s="7" t="str">
        <f t="shared" si="46"/>
        <v>No</v>
      </c>
      <c r="M51" s="7" t="s">
        <v>34</v>
      </c>
      <c r="N51" s="7" t="s">
        <v>33</v>
      </c>
      <c r="O51" s="7" t="s">
        <v>34</v>
      </c>
      <c r="P51" s="10" t="s">
        <v>1865</v>
      </c>
      <c r="Q51" s="6" t="s">
        <v>1866</v>
      </c>
      <c r="R51" s="7" t="s">
        <v>33</v>
      </c>
      <c r="S51" s="7" t="s">
        <v>144</v>
      </c>
      <c r="T51" s="10" t="s">
        <v>1865</v>
      </c>
      <c r="U51" s="6" t="s">
        <v>1867</v>
      </c>
      <c r="V51" s="7" t="s">
        <v>33</v>
      </c>
      <c r="W51" s="6" t="s">
        <v>1868</v>
      </c>
      <c r="X51" s="7" t="s">
        <v>34</v>
      </c>
      <c r="Y51" s="6" t="s">
        <v>1869</v>
      </c>
      <c r="Z51" s="7" t="s">
        <v>34</v>
      </c>
      <c r="AA51" s="6" t="s">
        <v>1870</v>
      </c>
      <c r="AB51" s="6" t="s">
        <v>1871</v>
      </c>
      <c r="AC51" s="6" t="s">
        <v>355</v>
      </c>
    </row>
    <row r="52" ht="22.5" customHeight="1">
      <c r="A52" s="11" t="str">
        <f>REGEXEXTRACT(D52, "\d{4}\.\s(.*?)\.\sProc\. ACM")"),"Facial Landmark Detection Based on High Precision Spatial Sampling via Millimeter-wave Radar</f>
        <v xml:space="preserve">Facial Landmark Detection Based on High Precision Spatial Sampling via Millimeter-wave Radar</v>
      </c>
      <c r="B52" s="7">
        <f t="shared" si="44"/>
        <v>199</v>
      </c>
      <c r="C52" s="8" t="s">
        <v>1872</v>
      </c>
      <c r="D52" s="6" t="s">
        <v>1873</v>
      </c>
      <c r="E52" s="9">
        <v>45970</v>
      </c>
      <c r="F52" s="7">
        <v>2024</v>
      </c>
      <c r="G52" s="7" t="s">
        <v>31</v>
      </c>
      <c r="H52" s="6" t="str">
        <f t="shared" si="41"/>
        <v>2024_Dec_199</v>
      </c>
      <c r="I52" s="12" t="str">
        <f t="shared" si="42"/>
        <v>https://doi.org/10.1145/3699739</v>
      </c>
      <c r="J52" s="7">
        <f>IF(D52:D62&lt;&gt;"", VALUE(REGEXEXTRACT(D52:D62, "(\d+)\s+pages")), )
</f>
        <v>26</v>
      </c>
      <c r="K52" s="6" t="s">
        <v>217</v>
      </c>
      <c r="L52" s="7" t="str">
        <f t="shared" si="46"/>
        <v>No</v>
      </c>
      <c r="M52" s="7" t="s">
        <v>34</v>
      </c>
      <c r="N52" s="7" t="s">
        <v>33</v>
      </c>
      <c r="O52" s="7" t="s">
        <v>34</v>
      </c>
      <c r="P52" s="6"/>
      <c r="Q52" s="6"/>
      <c r="R52" s="7" t="s">
        <v>33</v>
      </c>
      <c r="S52" s="7" t="s">
        <v>34</v>
      </c>
      <c r="T52" s="6"/>
      <c r="U52" s="6" t="s">
        <v>1874</v>
      </c>
      <c r="V52" s="7" t="s">
        <v>33</v>
      </c>
      <c r="W52" s="6" t="s">
        <v>1875</v>
      </c>
      <c r="X52" s="7" t="s">
        <v>33</v>
      </c>
      <c r="Y52" s="6" t="s">
        <v>1876</v>
      </c>
      <c r="Z52" s="7" t="s">
        <v>34</v>
      </c>
      <c r="AA52" s="6" t="s">
        <v>1877</v>
      </c>
      <c r="AB52" s="6" t="s">
        <v>1878</v>
      </c>
      <c r="AC52" s="6" t="s">
        <v>355</v>
      </c>
    </row>
    <row r="53" ht="22.5" customHeight="1">
      <c r="A53" s="11" t="str">
        <f>REGEXEXTRACT(D53, "\d{4}\.\s(.*?)\.\sProc\. ACM")"),"3D Bounding Box Estimation Based on COTS mmWave Radar via Moving Scanning</f>
        <v xml:space="preserve">3D Bounding Box Estimation Based on COTS mmWave Radar via Moving Scanning</v>
      </c>
      <c r="B53" s="7">
        <f t="shared" si="44"/>
        <v>200</v>
      </c>
      <c r="C53" s="8" t="s">
        <v>1879</v>
      </c>
      <c r="D53" s="23" t="s">
        <v>1880</v>
      </c>
      <c r="E53" s="9">
        <v>45971</v>
      </c>
      <c r="F53" s="7">
        <v>2024</v>
      </c>
      <c r="G53" s="7" t="s">
        <v>31</v>
      </c>
      <c r="H53" s="6" t="str">
        <f t="shared" si="41"/>
        <v>2024_Dec_200</v>
      </c>
      <c r="I53" s="12" t="str">
        <f t="shared" si="42"/>
        <v>https://doi.org/10.1145/3699758</v>
      </c>
      <c r="J53" s="7">
        <f>IF(D53:D62&lt;&gt;"", VALUE(REGEXEXTRACT(D53:D62, "(\d+)\s+pages")), )
</f>
        <v>27</v>
      </c>
      <c r="K53" s="6" t="s">
        <v>777</v>
      </c>
      <c r="L53" s="7" t="str">
        <f t="shared" si="46"/>
        <v>No</v>
      </c>
      <c r="M53" s="7" t="s">
        <v>34</v>
      </c>
      <c r="N53" s="7" t="s">
        <v>33</v>
      </c>
      <c r="O53" s="7" t="s">
        <v>34</v>
      </c>
      <c r="P53" s="6"/>
      <c r="Q53" s="6"/>
      <c r="R53" s="7" t="s">
        <v>33</v>
      </c>
      <c r="S53" s="7" t="s">
        <v>34</v>
      </c>
      <c r="T53" s="6"/>
      <c r="U53" s="6" t="s">
        <v>1881</v>
      </c>
      <c r="V53" s="7" t="s">
        <v>33</v>
      </c>
      <c r="W53" s="6" t="s">
        <v>1882</v>
      </c>
      <c r="X53" s="7" t="s">
        <v>34</v>
      </c>
      <c r="Y53" s="6" t="s">
        <v>1883</v>
      </c>
      <c r="Z53" s="7" t="s">
        <v>34</v>
      </c>
      <c r="AA53" s="6" t="s">
        <v>1884</v>
      </c>
      <c r="AB53" s="6" t="s">
        <v>1885</v>
      </c>
      <c r="AC53" s="6" t="s">
        <v>355</v>
      </c>
    </row>
    <row r="54" ht="22.5" customHeight="1">
      <c r="A54" s="11" t="str">
        <f>REGEXEXTRACT(D54, "\d{4}\.\s(.*?)\.\sProc\. ACM")"),"Extending EV Battery Lifetime: Digital Phenotyping Approach for Departure Time Prediction</f>
        <v xml:space="preserve">Extending EV Battery Lifetime: Digital Phenotyping Approach for Departure Time Prediction</v>
      </c>
      <c r="B54" s="7">
        <f t="shared" si="44"/>
        <v>201</v>
      </c>
      <c r="C54" s="8" t="s">
        <v>1886</v>
      </c>
      <c r="D54" s="6" t="s">
        <v>1887</v>
      </c>
      <c r="E54" s="9">
        <v>45971</v>
      </c>
      <c r="F54" s="7">
        <v>2024</v>
      </c>
      <c r="G54" s="7" t="s">
        <v>31</v>
      </c>
      <c r="H54" s="6" t="str">
        <f t="shared" si="41"/>
        <v>2024_Dec_201</v>
      </c>
      <c r="I54" s="12" t="str">
        <f t="shared" si="42"/>
        <v>https://doi.org/10.1145/3699725</v>
      </c>
      <c r="J54" s="7">
        <f>IF(D54:D62&lt;&gt;"", VALUE(REGEXEXTRACT(D54:D62, "(\d+)\s+pages")), )
</f>
        <v>30</v>
      </c>
      <c r="K54" s="6" t="s">
        <v>133</v>
      </c>
      <c r="L54" s="7" t="str">
        <f t="shared" si="46"/>
        <v>No</v>
      </c>
      <c r="M54" s="7" t="s">
        <v>33</v>
      </c>
      <c r="N54" s="7" t="s">
        <v>33</v>
      </c>
      <c r="O54" s="7" t="s">
        <v>34</v>
      </c>
      <c r="P54" s="6"/>
      <c r="Q54" s="6"/>
      <c r="R54" s="7" t="s">
        <v>33</v>
      </c>
      <c r="S54" s="7" t="s">
        <v>34</v>
      </c>
      <c r="T54" s="6"/>
      <c r="U54" s="6" t="s">
        <v>1888</v>
      </c>
      <c r="V54" s="7" t="s">
        <v>34</v>
      </c>
      <c r="W54" s="6" t="s">
        <v>1889</v>
      </c>
      <c r="X54" s="7" t="s">
        <v>33</v>
      </c>
      <c r="Y54" s="6" t="s">
        <v>1890</v>
      </c>
      <c r="Z54" s="7" t="s">
        <v>34</v>
      </c>
      <c r="AA54" s="6" t="s">
        <v>1891</v>
      </c>
      <c r="AB54" s="6" t="s">
        <v>1892</v>
      </c>
      <c r="AC54" s="6" t="s">
        <v>355</v>
      </c>
    </row>
    <row r="55" ht="22.5" customHeight="1">
      <c r="A55" s="11" t="str">
        <f>REGEXEXTRACT(D55, "\d{4}\.\s(.*?)\.\sProc\. ACM")"),"RTsfNet: A DNN Model with Multi-head 3D Rotation and Time Series Feature Extraction for IMU-based Human Activity Recognition</f>
        <v xml:space="preserve">RTsfNet: A DNN Model with Multi-head 3D Rotation and Time Series Feature Extraction for IMU-based Human Activity Recognition</v>
      </c>
      <c r="B55" s="7">
        <f t="shared" si="44"/>
        <v>202</v>
      </c>
      <c r="C55" s="8" t="s">
        <v>1893</v>
      </c>
      <c r="D55" s="6" t="s">
        <v>1894</v>
      </c>
      <c r="E55" s="9">
        <v>45971</v>
      </c>
      <c r="F55" s="7">
        <v>2024</v>
      </c>
      <c r="G55" s="7" t="s">
        <v>31</v>
      </c>
      <c r="H55" s="6" t="str">
        <f t="shared" si="41"/>
        <v>2024_Dec_202</v>
      </c>
      <c r="I55" s="12" t="str">
        <f t="shared" si="42"/>
        <v>https://doi.org/10.1145/3699733</v>
      </c>
      <c r="J55" s="7">
        <f>IF(D55:D62&lt;&gt;"", VALUE(REGEXEXTRACT(D55:D62, "(\d+)\s+pages")), )
</f>
        <v>26</v>
      </c>
      <c r="K55" s="6" t="s">
        <v>64</v>
      </c>
      <c r="L55" s="7" t="str">
        <f t="shared" si="46"/>
        <v>No</v>
      </c>
      <c r="M55" s="7" t="s">
        <v>33</v>
      </c>
      <c r="N55" s="7" t="s">
        <v>33</v>
      </c>
      <c r="O55" s="7" t="s">
        <v>33</v>
      </c>
      <c r="P55" s="10" t="s">
        <v>1895</v>
      </c>
      <c r="Q55" s="6" t="s">
        <v>1896</v>
      </c>
      <c r="R55" s="7" t="s">
        <v>33</v>
      </c>
      <c r="S55" s="7" t="s">
        <v>33</v>
      </c>
      <c r="T55" s="10" t="s">
        <v>1897</v>
      </c>
      <c r="U55" s="6" t="s">
        <v>1898</v>
      </c>
      <c r="V55" s="7" t="s">
        <v>33</v>
      </c>
      <c r="W55" s="6" t="s">
        <v>1899</v>
      </c>
      <c r="X55" s="7" t="s">
        <v>34</v>
      </c>
      <c r="Y55" s="6" t="s">
        <v>1900</v>
      </c>
      <c r="Z55" s="7" t="s">
        <v>144</v>
      </c>
      <c r="AA55" s="6" t="s">
        <v>1351</v>
      </c>
      <c r="AB55" s="6" t="s">
        <v>1901</v>
      </c>
      <c r="AC55" s="6" t="s">
        <v>355</v>
      </c>
    </row>
    <row r="56" ht="22.5" customHeight="1">
      <c r="A56" s="11" t="str">
        <f>REGEXEXTRACT(D56, "\d{4}\.\s(.*?)\.\sProc\. ACM")"),"EMooly: Supporting Autistic Children in Collaborative Social-Emotional Learning with Caregiver Participation through Interactive AI-infused and AR Activities</f>
        <v xml:space="preserve">EMooly: Supporting Autistic Children in Collaborative Social-Emotional Learning with Caregiver Participation through Interactive AI-infused and AR Activities</v>
      </c>
      <c r="B56" s="7">
        <f t="shared" si="44"/>
        <v>203</v>
      </c>
      <c r="C56" s="8" t="s">
        <v>1902</v>
      </c>
      <c r="D56" s="6" t="s">
        <v>1903</v>
      </c>
      <c r="E56" s="9">
        <v>45971</v>
      </c>
      <c r="F56" s="7">
        <v>2024</v>
      </c>
      <c r="G56" s="7" t="s">
        <v>31</v>
      </c>
      <c r="H56" s="6" t="str">
        <f t="shared" si="41"/>
        <v>2024_Dec_203</v>
      </c>
      <c r="I56" s="12" t="str">
        <f t="shared" si="42"/>
        <v>https://doi.org/10.1145/3699738</v>
      </c>
      <c r="J56" s="7">
        <f>IF(D56:D62&lt;&gt;"", VALUE(REGEXEXTRACT(D56:D62, "(\d+)\s+pages")), )
</f>
        <v>36</v>
      </c>
      <c r="K56" s="6" t="s">
        <v>652</v>
      </c>
      <c r="L56" s="7" t="str">
        <f t="shared" si="46"/>
        <v>No</v>
      </c>
      <c r="M56" s="7" t="s">
        <v>34</v>
      </c>
      <c r="N56" s="7" t="s">
        <v>33</v>
      </c>
      <c r="O56" s="7" t="s">
        <v>34</v>
      </c>
      <c r="P56" s="6"/>
      <c r="Q56" s="6"/>
      <c r="R56" s="7" t="s">
        <v>34</v>
      </c>
      <c r="S56" s="7" t="s">
        <v>35</v>
      </c>
      <c r="T56" s="6"/>
      <c r="U56" s="6"/>
      <c r="V56" s="7" t="s">
        <v>33</v>
      </c>
      <c r="W56" s="6" t="s">
        <v>1904</v>
      </c>
      <c r="X56" s="7" t="s">
        <v>33</v>
      </c>
      <c r="Y56" s="6" t="s">
        <v>1905</v>
      </c>
      <c r="Z56" s="7" t="s">
        <v>34</v>
      </c>
      <c r="AA56" s="6" t="s">
        <v>1906</v>
      </c>
      <c r="AB56" s="6" t="s">
        <v>1907</v>
      </c>
      <c r="AC56" s="6" t="s">
        <v>355</v>
      </c>
    </row>
    <row r="57" ht="22.5" customHeight="1">
      <c r="A57" s="11" t="str">
        <f>REGEXEXTRACT(D57, "\d{4}\.\s(.*?)\.\sProc\. ACM")"),"Uranus: Empowering Generalized Gesture Recognition with Mobility through Generating Large-scale mmWave Radar Data</f>
        <v xml:space="preserve">Uranus: Empowering Generalized Gesture Recognition with Mobility through Generating Large-scale mmWave Radar Data</v>
      </c>
      <c r="B57" s="7">
        <f t="shared" si="44"/>
        <v>204</v>
      </c>
      <c r="C57" s="8" t="s">
        <v>1908</v>
      </c>
      <c r="D57" s="6" t="s">
        <v>1909</v>
      </c>
      <c r="E57" s="9">
        <v>45971</v>
      </c>
      <c r="F57" s="7">
        <v>2024</v>
      </c>
      <c r="G57" s="7" t="s">
        <v>31</v>
      </c>
      <c r="H57" s="6" t="str">
        <f t="shared" si="41"/>
        <v>2024_Dec_204</v>
      </c>
      <c r="I57" s="12" t="str">
        <f t="shared" si="42"/>
        <v>https://doi.org/10.1145/3699754</v>
      </c>
      <c r="J57" s="7">
        <f>IF(D57:D62&lt;&gt;"", VALUE(REGEXEXTRACT(D57:D62, "(\d+)\s+pages")), )
</f>
        <v>28</v>
      </c>
      <c r="K57" s="6" t="s">
        <v>64</v>
      </c>
      <c r="L57" s="7" t="str">
        <f t="shared" si="46"/>
        <v>No</v>
      </c>
      <c r="M57" s="7" t="s">
        <v>34</v>
      </c>
      <c r="N57" s="7" t="s">
        <v>33</v>
      </c>
      <c r="O57" s="7" t="s">
        <v>34</v>
      </c>
      <c r="P57" s="6"/>
      <c r="Q57" s="6" t="s">
        <v>1910</v>
      </c>
      <c r="R57" s="7" t="s">
        <v>33</v>
      </c>
      <c r="S57" s="7" t="s">
        <v>144</v>
      </c>
      <c r="T57" s="6"/>
      <c r="U57" s="6" t="s">
        <v>1911</v>
      </c>
      <c r="V57" s="7" t="s">
        <v>33</v>
      </c>
      <c r="W57" s="6" t="s">
        <v>1912</v>
      </c>
      <c r="X57" s="7" t="s">
        <v>34</v>
      </c>
      <c r="Y57" s="6" t="s">
        <v>1913</v>
      </c>
      <c r="Z57" s="7" t="s">
        <v>34</v>
      </c>
      <c r="AA57" s="6" t="s">
        <v>1914</v>
      </c>
      <c r="AB57" s="6" t="s">
        <v>1915</v>
      </c>
      <c r="AC57" s="6" t="s">
        <v>355</v>
      </c>
    </row>
    <row r="58" ht="22.5" customHeight="1">
      <c r="A58" s="11" t="str">
        <f>REGEXEXTRACT(D58, "\d{4}\.\s(.*?)\.\sProc\. ACM")"),"TRAMBA: A Hybrid Transformer and Mamba Architecture for Practical Audio and Bone Conduction Speech Super Resolution and Enhancement on Mobile and Wearable Platforms</f>
        <v xml:space="preserve">TRAMBA: A Hybrid Transformer and Mamba Architecture for Practical Audio and Bone Conduction Speech Super Resolution and Enhancement on Mobile and Wearable Platforms</v>
      </c>
      <c r="B58" s="7">
        <f t="shared" si="44"/>
        <v>205</v>
      </c>
      <c r="C58" s="8" t="s">
        <v>1916</v>
      </c>
      <c r="D58" s="6" t="s">
        <v>1917</v>
      </c>
      <c r="E58" s="9">
        <v>45972</v>
      </c>
      <c r="F58" s="7">
        <v>2024</v>
      </c>
      <c r="G58" s="7" t="s">
        <v>31</v>
      </c>
      <c r="H58" s="6" t="str">
        <f t="shared" si="41"/>
        <v>2024_Dec_205</v>
      </c>
      <c r="I58" s="12" t="str">
        <f t="shared" si="42"/>
        <v>https://doi.org/10.1145/3699757</v>
      </c>
      <c r="J58" s="7">
        <f>IF(D58:D62&lt;&gt;"", VALUE(REGEXEXTRACT(D58:D62, "(\d+)\s+pages")), )
</f>
        <v>29</v>
      </c>
      <c r="K58" s="6" t="s">
        <v>217</v>
      </c>
      <c r="L58" s="7" t="str">
        <f t="shared" si="46"/>
        <v>No</v>
      </c>
      <c r="M58" s="7" t="s">
        <v>33</v>
      </c>
      <c r="N58" s="7" t="s">
        <v>33</v>
      </c>
      <c r="O58" s="7" t="s">
        <v>33</v>
      </c>
      <c r="P58" s="10" t="s">
        <v>1918</v>
      </c>
      <c r="Q58" s="6" t="s">
        <v>1919</v>
      </c>
      <c r="R58" s="7" t="s">
        <v>33</v>
      </c>
      <c r="S58" s="7" t="s">
        <v>34</v>
      </c>
      <c r="T58" s="6"/>
      <c r="U58" s="6" t="s">
        <v>1920</v>
      </c>
      <c r="V58" s="7" t="s">
        <v>33</v>
      </c>
      <c r="W58" s="6" t="s">
        <v>1921</v>
      </c>
      <c r="X58" s="7" t="s">
        <v>34</v>
      </c>
      <c r="Y58" s="13"/>
      <c r="Z58" s="7" t="s">
        <v>34</v>
      </c>
      <c r="AA58" s="6" t="s">
        <v>1351</v>
      </c>
      <c r="AB58" s="6" t="s">
        <v>1922</v>
      </c>
      <c r="AC58" s="6" t="s">
        <v>355</v>
      </c>
    </row>
    <row r="59" ht="22.5" customHeight="1">
      <c r="A59" s="11" t="str">
        <f>REGEXEXTRACT(D59, "\d{4}\.\s(.*?)\.\sProc\. ACM")"),"Systematic Evaluation of Personalized Deep Learning Models for Affect Recognition</f>
        <v xml:space="preserve">Systematic Evaluation of Personalized Deep Learning Models for Affect Recognition</v>
      </c>
      <c r="B59" s="7">
        <f t="shared" si="44"/>
        <v>206</v>
      </c>
      <c r="C59" s="8" t="s">
        <v>1923</v>
      </c>
      <c r="D59" s="6" t="s">
        <v>1924</v>
      </c>
      <c r="E59" s="9">
        <v>45972</v>
      </c>
      <c r="F59" s="7">
        <v>2024</v>
      </c>
      <c r="G59" s="7" t="s">
        <v>31</v>
      </c>
      <c r="H59" s="6" t="str">
        <f t="shared" si="41"/>
        <v>2024_Dec_206</v>
      </c>
      <c r="I59" s="12" t="str">
        <f t="shared" si="42"/>
        <v>https://doi.org/10.1145/3699724</v>
      </c>
      <c r="J59" s="7">
        <f>IF(D59:D62&lt;&gt;"", VALUE(REGEXEXTRACT(D59:D62, "(\d+)\s+pages")), )
</f>
        <v>35</v>
      </c>
      <c r="K59" s="6" t="s">
        <v>64</v>
      </c>
      <c r="L59" s="7" t="str">
        <f t="shared" si="46"/>
        <v>No</v>
      </c>
      <c r="M59" s="7" t="s">
        <v>33</v>
      </c>
      <c r="N59" s="7" t="s">
        <v>33</v>
      </c>
      <c r="O59" s="7" t="s">
        <v>33</v>
      </c>
      <c r="P59" s="10" t="s">
        <v>1925</v>
      </c>
      <c r="Q59" s="6" t="s">
        <v>1926</v>
      </c>
      <c r="R59" s="7" t="s">
        <v>33</v>
      </c>
      <c r="S59" s="7" t="s">
        <v>33</v>
      </c>
      <c r="T59" s="6"/>
      <c r="U59" s="6" t="s">
        <v>1927</v>
      </c>
      <c r="V59" s="7" t="s">
        <v>34</v>
      </c>
      <c r="W59" s="6" t="s">
        <v>1928</v>
      </c>
      <c r="X59" s="7" t="s">
        <v>34</v>
      </c>
      <c r="Y59" s="6" t="s">
        <v>1929</v>
      </c>
      <c r="Z59" s="7" t="s">
        <v>33</v>
      </c>
      <c r="AA59" s="6" t="s">
        <v>1930</v>
      </c>
      <c r="AB59" s="6" t="s">
        <v>1931</v>
      </c>
      <c r="AC59" s="6" t="s">
        <v>355</v>
      </c>
    </row>
    <row r="60" ht="22.5" customHeight="1">
      <c r="A60" s="11" t="str">
        <f>REGEXEXTRACT(D60, "\d{4}\.\s(.*?)\.\sProc\. ACM")"),"MmECare: Enabling Fine-grained Vital Sign Monitoring for Emergency Care with Handheld MmWave Radars</f>
        <v xml:space="preserve">MmECare: Enabling Fine-grained Vital Sign Monitoring for Emergency Care with Handheld MmWave Radars</v>
      </c>
      <c r="B60" s="7">
        <f t="shared" si="44"/>
        <v>207</v>
      </c>
      <c r="C60" s="8" t="s">
        <v>1932</v>
      </c>
      <c r="D60" s="6" t="s">
        <v>1933</v>
      </c>
      <c r="E60" s="9">
        <v>45972</v>
      </c>
      <c r="F60" s="7">
        <v>2024</v>
      </c>
      <c r="G60" s="7" t="s">
        <v>31</v>
      </c>
      <c r="H60" s="6" t="str">
        <f t="shared" si="41"/>
        <v>2024_Dec_207</v>
      </c>
      <c r="I60" s="12" t="str">
        <f t="shared" si="42"/>
        <v>https://doi.org/10.1145/3699766</v>
      </c>
      <c r="J60" s="7">
        <f>IF(D60:D62&lt;&gt;"", VALUE(REGEXEXTRACT(D60:D62, "(\d+)\s+pages")), )
</f>
        <v>24</v>
      </c>
      <c r="K60" s="6" t="s">
        <v>217</v>
      </c>
      <c r="L60" s="7" t="str">
        <f t="shared" si="46"/>
        <v>No</v>
      </c>
      <c r="M60" s="7" t="s">
        <v>33</v>
      </c>
      <c r="N60" s="7" t="s">
        <v>33</v>
      </c>
      <c r="O60" s="7" t="s">
        <v>34</v>
      </c>
      <c r="P60" s="6"/>
      <c r="Q60" s="6"/>
      <c r="R60" s="7" t="s">
        <v>33</v>
      </c>
      <c r="S60" s="7" t="s">
        <v>34</v>
      </c>
      <c r="T60" s="6"/>
      <c r="U60" s="6" t="s">
        <v>1934</v>
      </c>
      <c r="V60" s="7" t="s">
        <v>33</v>
      </c>
      <c r="W60" s="6" t="s">
        <v>1935</v>
      </c>
      <c r="X60" s="7" t="s">
        <v>33</v>
      </c>
      <c r="Y60" s="6" t="s">
        <v>1936</v>
      </c>
      <c r="Z60" s="7" t="s">
        <v>34</v>
      </c>
      <c r="AA60" s="6" t="s">
        <v>1937</v>
      </c>
      <c r="AB60" s="6" t="s">
        <v>1938</v>
      </c>
      <c r="AC60" s="6" t="s">
        <v>355</v>
      </c>
    </row>
    <row r="61" ht="22.5" customHeight="1">
      <c r="A61" s="11" t="str">
        <f>REGEXEXTRACT(D61, "\d{4}\.\s(.*?)\.\sProc\. ACM")"),"HCR-Auth: Reliable Bone Conduction Earphone Authentication with Head Contact Response</f>
        <v xml:space="preserve">HCR-Auth: Reliable Bone Conduction Earphone Authentication with Head Contact Response</v>
      </c>
      <c r="B61" s="7">
        <f t="shared" si="44"/>
        <v>208</v>
      </c>
      <c r="C61" s="8" t="s">
        <v>1939</v>
      </c>
      <c r="D61" s="6" t="s">
        <v>1940</v>
      </c>
      <c r="E61" s="9">
        <v>45972</v>
      </c>
      <c r="F61" s="7">
        <v>2024</v>
      </c>
      <c r="G61" s="7" t="s">
        <v>31</v>
      </c>
      <c r="H61" s="6" t="str">
        <f t="shared" si="41"/>
        <v>2024_Dec_208</v>
      </c>
      <c r="I61" s="12" t="str">
        <f t="shared" si="42"/>
        <v>https://doi.org/10.1145/3699780</v>
      </c>
      <c r="J61" s="7">
        <f>IF(D61:D62&lt;&gt;"", VALUE(REGEXEXTRACT(D61:D62, "(\d+)\s+pages")), )
</f>
        <v>27</v>
      </c>
      <c r="K61" s="6" t="s">
        <v>217</v>
      </c>
      <c r="L61" s="7" t="str">
        <f t="shared" si="46"/>
        <v>No</v>
      </c>
      <c r="M61" s="7" t="s">
        <v>34</v>
      </c>
      <c r="N61" s="7" t="s">
        <v>33</v>
      </c>
      <c r="O61" s="7" t="s">
        <v>33</v>
      </c>
      <c r="P61" s="10" t="s">
        <v>1941</v>
      </c>
      <c r="Q61" s="6" t="s">
        <v>1942</v>
      </c>
      <c r="R61" s="7" t="s">
        <v>33</v>
      </c>
      <c r="S61" s="7" t="s">
        <v>33</v>
      </c>
      <c r="T61" s="10" t="s">
        <v>1941</v>
      </c>
      <c r="U61" s="6" t="s">
        <v>1943</v>
      </c>
      <c r="V61" s="7" t="s">
        <v>33</v>
      </c>
      <c r="W61" s="6" t="s">
        <v>1944</v>
      </c>
      <c r="X61" s="7" t="s">
        <v>34</v>
      </c>
      <c r="Y61" s="6" t="s">
        <v>1945</v>
      </c>
      <c r="Z61" s="7" t="s">
        <v>34</v>
      </c>
      <c r="AA61" s="6" t="s">
        <v>1946</v>
      </c>
      <c r="AB61" s="6" t="s">
        <v>1947</v>
      </c>
      <c r="AC61" s="6" t="s">
        <v>355</v>
      </c>
    </row>
    <row r="62" ht="22.5" customHeight="1">
      <c r="A62" s="11" t="str">
        <f>REGEXEXTRACT(D62, "\d{4}\.\s(.*?)\.\sProc\. ACM")"),"Size Matters: Characterizing the Effect of Target Size on Wi-Fi Sensing Based on the Fresnel Zone Model</f>
        <v xml:space="preserve">Size Matters: Characterizing the Effect of Target Size on Wi-Fi Sensing Based on the Fresnel Zone Model</v>
      </c>
      <c r="B62" s="7">
        <f t="shared" si="44"/>
        <v>209</v>
      </c>
      <c r="C62" s="8" t="s">
        <v>1948</v>
      </c>
      <c r="D62" s="6" t="s">
        <v>1949</v>
      </c>
      <c r="E62" s="9">
        <v>45972</v>
      </c>
      <c r="F62" s="7">
        <v>2024</v>
      </c>
      <c r="G62" s="7" t="s">
        <v>31</v>
      </c>
      <c r="H62" s="6" t="str">
        <f t="shared" si="41"/>
        <v>2024_Dec_209</v>
      </c>
      <c r="I62" s="12" t="str">
        <f t="shared" si="42"/>
        <v>https://doi.org/10.1145/3699726</v>
      </c>
      <c r="J62" s="7">
        <f>IF(D62&lt;&gt;"", VALUE(REGEXEXTRACT(D62, "(\d+)\s+pages")), )
</f>
        <v>22</v>
      </c>
      <c r="K62" s="6" t="s">
        <v>64</v>
      </c>
      <c r="L62" s="7" t="str">
        <f t="shared" si="46"/>
        <v>No</v>
      </c>
      <c r="M62" s="7" t="s">
        <v>34</v>
      </c>
      <c r="N62" s="7" t="s">
        <v>33</v>
      </c>
      <c r="O62" s="7" t="s">
        <v>34</v>
      </c>
      <c r="P62" s="6"/>
      <c r="Q62" s="6"/>
      <c r="R62" s="7" t="s">
        <v>33</v>
      </c>
      <c r="S62" s="7" t="s">
        <v>34</v>
      </c>
      <c r="T62" s="6"/>
      <c r="U62" s="6" t="s">
        <v>1950</v>
      </c>
      <c r="V62" s="7" t="s">
        <v>33</v>
      </c>
      <c r="W62" s="6" t="s">
        <v>1951</v>
      </c>
      <c r="X62" s="7" t="s">
        <v>33</v>
      </c>
      <c r="Y62" s="6" t="s">
        <v>1952</v>
      </c>
      <c r="Z62" s="7" t="s">
        <v>34</v>
      </c>
      <c r="AA62" s="6" t="s">
        <v>1953</v>
      </c>
      <c r="AB62" s="6" t="s">
        <v>1954</v>
      </c>
      <c r="AC62" s="6" t="s">
        <v>355</v>
      </c>
    </row>
  </sheetData>
  <conditionalFormatting sqref="P1:P62">
    <cfRule type="colorScale" priority="1">
      <colorScale>
        <cfvo type="min"/>
        <cfvo type="max"/>
        <color indexed="65"/>
        <color rgb="FF57BB8A"/>
      </colorScale>
    </cfRule>
  </conditionalFormatting>
  <dataValidations count="2" disablePrompts="0">
    <dataValidation sqref="A2:A62 H2:I62 K2:K62 P2:Q62 T2:U62 W2:W62 Y2:Y62 AA2:AB62" type="none" allowBlank="1" errorStyle="stop" imeMode="noControl" operator="between" showDropDown="1" showErrorMessage="0" showInputMessage="0"/>
    <dataValidation sqref="D2:D62" type="none" allowBlank="1" errorStyle="stop" imeMode="noControl" operator="between" showDropDown="1" showErrorMessage="0" showInputMessage="0"/>
  </dataValidations>
  <hyperlinks>
    <hyperlink r:id="rId1" ref="C2"/>
    <hyperlink r:id="rId2" ref="P2"/>
    <hyperlink r:id="rId3" ref="C3"/>
    <hyperlink r:id="rId4" ref="C4"/>
    <hyperlink r:id="rId5" ref="P4"/>
    <hyperlink r:id="rId5" ref="T4"/>
    <hyperlink r:id="rId6" ref="C5"/>
    <hyperlink r:id="rId7" ref="P5"/>
    <hyperlink r:id="rId7" ref="T5"/>
    <hyperlink r:id="rId8" ref="C6"/>
    <hyperlink r:id="rId9" ref="P6"/>
    <hyperlink r:id="rId9" ref="T6"/>
    <hyperlink r:id="rId10" ref="C7"/>
    <hyperlink r:id="rId11" ref="C8"/>
    <hyperlink r:id="rId12" ref="C9"/>
    <hyperlink r:id="rId13" ref="C10"/>
    <hyperlink r:id="rId14" ref="C11"/>
    <hyperlink r:id="rId15" ref="D11"/>
    <hyperlink r:id="rId16" ref="C12"/>
    <hyperlink r:id="rId17" ref="C13"/>
    <hyperlink r:id="rId18" ref="P13"/>
    <hyperlink r:id="rId19" ref="C14"/>
    <hyperlink r:id="rId20" ref="C15"/>
    <hyperlink r:id="rId21" ref="C16"/>
    <hyperlink r:id="rId22" ref="P16"/>
    <hyperlink r:id="rId23" ref="C17"/>
    <hyperlink r:id="rId24" ref="C18"/>
    <hyperlink r:id="rId25" ref="C19"/>
    <hyperlink r:id="rId26" ref="C20"/>
    <hyperlink r:id="rId27" ref="C21"/>
    <hyperlink r:id="rId28" ref="C22"/>
    <hyperlink r:id="rId29" ref="C23"/>
    <hyperlink r:id="rId30" ref="C24"/>
    <hyperlink r:id="rId31" ref="C25"/>
    <hyperlink r:id="rId32" ref="P25"/>
    <hyperlink r:id="rId32" ref="T25"/>
    <hyperlink r:id="rId33" ref="C26"/>
    <hyperlink r:id="rId34" ref="Q26"/>
    <hyperlink r:id="rId35" ref="T26"/>
    <hyperlink r:id="rId36" ref="C27"/>
    <hyperlink r:id="rId37" ref="P27"/>
    <hyperlink r:id="rId37" ref="T27"/>
    <hyperlink r:id="rId38" ref="C28"/>
    <hyperlink r:id="rId39" ref="P28"/>
    <hyperlink r:id="rId40" ref="T28"/>
    <hyperlink r:id="rId41" ref="C29"/>
    <hyperlink r:id="rId42" ref="P29"/>
    <hyperlink r:id="rId42" ref="T29"/>
    <hyperlink r:id="rId43" ref="C30"/>
    <hyperlink r:id="rId44" ref="C31"/>
    <hyperlink r:id="rId45" ref="P31"/>
    <hyperlink r:id="rId45" ref="T31"/>
    <hyperlink r:id="rId46" ref="C32"/>
    <hyperlink r:id="rId47" ref="T32"/>
    <hyperlink r:id="rId48" ref="C33"/>
    <hyperlink r:id="rId49" ref="P33"/>
    <hyperlink r:id="rId49" ref="T33"/>
    <hyperlink r:id="rId50" ref="C34"/>
    <hyperlink r:id="rId51" ref="C35"/>
    <hyperlink r:id="rId52" ref="C36"/>
    <hyperlink r:id="rId53" ref="C37"/>
    <hyperlink r:id="rId54" ref="P37"/>
    <hyperlink r:id="rId55" ref="C38"/>
    <hyperlink r:id="rId56" ref="P38"/>
    <hyperlink r:id="rId57" ref="C39"/>
    <hyperlink r:id="rId58" ref="C40"/>
    <hyperlink r:id="rId59" ref="P40"/>
    <hyperlink r:id="rId60" ref="C41"/>
    <hyperlink r:id="rId61" ref="C42"/>
    <hyperlink r:id="rId62" ref="C43"/>
    <hyperlink r:id="rId63" ref="D43"/>
    <hyperlink r:id="rId64" ref="P43"/>
    <hyperlink r:id="rId65" ref="C44"/>
    <hyperlink r:id="rId66" ref="P44"/>
    <hyperlink r:id="rId66" ref="T44"/>
    <hyperlink r:id="rId67" ref="C45"/>
    <hyperlink r:id="rId68" ref="T45"/>
    <hyperlink r:id="rId69" ref="C46"/>
    <hyperlink r:id="rId70" ref="C47"/>
    <hyperlink r:id="rId71" ref="P47"/>
    <hyperlink r:id="rId71" ref="T47"/>
    <hyperlink r:id="rId72" ref="C48"/>
    <hyperlink r:id="rId73" ref="T48"/>
    <hyperlink r:id="rId74" ref="C49"/>
    <hyperlink r:id="rId75" ref="C50"/>
    <hyperlink r:id="rId76" ref="C51"/>
    <hyperlink r:id="rId77" ref="P51"/>
    <hyperlink r:id="rId77" ref="T51"/>
    <hyperlink r:id="rId78" ref="C52"/>
    <hyperlink r:id="rId79" ref="C53"/>
    <hyperlink r:id="rId80" ref="C54"/>
    <hyperlink r:id="rId81" ref="C55"/>
    <hyperlink r:id="rId82" ref="P55"/>
    <hyperlink r:id="rId83" ref="T55"/>
    <hyperlink r:id="rId84" ref="C56"/>
    <hyperlink r:id="rId85" ref="C57"/>
    <hyperlink r:id="rId86" ref="C58"/>
    <hyperlink r:id="rId87" ref="P58"/>
    <hyperlink r:id="rId88" ref="C59"/>
    <hyperlink r:id="rId89" ref="P59"/>
    <hyperlink r:id="rId90" ref="C60"/>
    <hyperlink r:id="rId91" ref="C61"/>
    <hyperlink r:id="rId92" ref="P61"/>
    <hyperlink r:id="rId92" ref="T61"/>
    <hyperlink r:id="rId93" ref="C62"/>
  </hyperlinks>
  <printOptions headings="0" gridLines="1" horizontalCentered="1"/>
  <pageMargins left="0.25" right="0.25" top="0.75" bottom="0.75" header="0" footer="0"/>
  <pageSetup paperSize="9" scale="100" fitToWidth="1" fitToHeight="0" pageOrder="overThenDown" orientation="landscape" usePrinterDefaults="1" blackAndWhite="0" draft="0" cellComments="atEnd" useFirstPageNumber="0" errors="displayed" horizontalDpi="600" verticalDpi="600" copies="1"/>
  <headerFooter/>
  <tableParts count="1">
    <tablePart r:id="rId94"/>
  </tableParts>
  <extLst>
    <ext xmlns:x14="http://schemas.microsoft.com/office/spreadsheetml/2009/9/main" uri="{78C0D931-6437-407d-A8EE-F0AAD7539E65}">
      <x14:conditionalFormattings>
        <x14:conditionalFormatting xmlns:xm="http://schemas.microsoft.com/office/excel/2006/main">
          <x14:cfRule type="expression" priority="2" id="{597AD044-2A05-4CAD-ABF2-3173AD8CAEF3}">
            <xm:f>AND(REGEXMATCH($O2,"^(Yes|Partially)$"), ISBLANK($P2))</xm:f>
            <x14:dxf>
              <font/>
              <fill>
                <patternFill patternType="solid">
                  <fgColor rgb="FFE68282"/>
                  <bgColor rgb="FFE68282"/>
                </patternFill>
              </fill>
              <border>
                <left/>
                <right/>
                <top/>
                <bottom/>
                <diagonal/>
              </border>
            </x14:dxf>
          </x14:cfRule>
          <xm:sqref>P2:P62</xm:sqref>
        </x14:conditionalFormatting>
        <x14:conditionalFormatting xmlns:xm="http://schemas.microsoft.com/office/excel/2006/main">
          <x14:cfRule type="expression" priority="3" id="{9CAF917C-9058-470F-9058-0089E52C234A}">
            <xm:f>AND(REGEXMATCH($S2,"^(Yes|Partially)$"), ISBLANK($T2))</xm:f>
            <x14:dxf>
              <font/>
              <fill>
                <patternFill patternType="solid">
                  <fgColor rgb="FFE68282"/>
                  <bgColor rgb="FFE68282"/>
                </patternFill>
              </fill>
              <border>
                <left/>
                <right/>
                <top/>
                <bottom/>
                <diagonal/>
              </border>
            </x14:dxf>
          </x14:cfRule>
          <xm:sqref>T2:T62</xm:sqref>
        </x14:conditionalFormatting>
        <x14:conditionalFormatting xmlns:xm="http://schemas.microsoft.com/office/excel/2006/main">
          <x14:cfRule type="expression" priority="4" id="{A0BA69AA-2E27-4DB6-9BAA-54BDAEF45E7C}">
            <xm:f>AND($V2="Yes", ISBLANK($W2))</xm:f>
            <x14:dxf>
              <font/>
              <fill>
                <patternFill patternType="solid">
                  <fgColor rgb="FFE68282"/>
                  <bgColor rgb="FFE68282"/>
                </patternFill>
              </fill>
              <border>
                <left/>
                <right/>
                <top/>
                <bottom/>
                <diagonal/>
              </border>
            </x14:dxf>
          </x14:cfRule>
          <xm:sqref>W2:W62</xm:sqref>
        </x14:conditionalFormatting>
        <x14:conditionalFormatting xmlns:xm="http://schemas.microsoft.com/office/excel/2006/main">
          <x14:cfRule type="expression" priority="5" id="{85C39780-811A-4040-BA13-32CA1CB63099}">
            <xm:f>AND($X2="Yes", ISBLANK($Y2))</xm:f>
            <x14:dxf>
              <font/>
              <fill>
                <patternFill patternType="solid">
                  <fgColor rgb="FFE68282"/>
                  <bgColor rgb="FFE68282"/>
                </patternFill>
              </fill>
              <border>
                <left/>
                <right/>
                <top/>
                <bottom/>
                <diagonal/>
              </border>
            </x14:dxf>
          </x14:cfRule>
          <xm:sqref>Y2:Y62</xm:sqref>
        </x14:conditionalFormatting>
      </x14:conditionalFormattings>
    </ext>
    <ext xmlns:x14="http://schemas.microsoft.com/office/spreadsheetml/2009/9/main" uri="{CCE6A557-97BC-4b89-ADB6-D9C93CAAB3DF}">
      <x14:dataValidations xmlns:xm="http://schemas.microsoft.com/office/excel/2006/main" count="10" disablePrompts="0">
        <x14:dataValidation xr:uid="{CA6AF110-92CF-4339-ACF3-16DB99C0633A}" type="list" allowBlank="1" errorStyle="stop" imeMode="noControl" operator="between" showDropDown="0" showErrorMessage="0" showInputMessage="0">
          <x14:formula1>
            <xm:f>"Yes,No"</xm:f>
          </x14:formula1>
          <xm:sqref>L2:L62</xm:sqref>
        </x14:dataValidation>
        <x14:dataValidation xr:uid="{8BCC27C2-8740-40ED-9B74-18B3FB145104}" type="list" allowBlank="1" errorStyle="stop" imeMode="noControl" operator="between" showDropDown="0" showErrorMessage="0" showInputMessage="0">
          <x14:formula1>
            <xm:f>"Yes,No,Unknown"</xm:f>
          </x14:formula1>
          <xm:sqref>R2:R62</xm:sqref>
        </x14:dataValidation>
        <x14:dataValidation xr:uid="{EC4EDEE1-EB25-4C61-B8BE-7BE718142799}" type="list" allowBlank="1" errorStyle="stop" imeMode="noControl" operator="between" showDropDown="0" showErrorMessage="0" showInputMessage="0">
          <x14:formula1>
            <xm:f>"Yes,No,Unknown"</xm:f>
          </x14:formula1>
          <xm:sqref>N2:N62</xm:sqref>
        </x14:dataValidation>
        <x14:dataValidation xr:uid="{DC1976F6-8A9D-4F32-BEA8-E0F4F71A4EBE}" type="list" allowBlank="1" errorStyle="stop" imeMode="noControl" operator="between" showDropDown="0" showErrorMessage="0" showInputMessage="0">
          <x14:formula1>
            <xm:f>"Yes,No,Partially,Unknown,N/A"</xm:f>
          </x14:formula1>
          <xm:sqref>Z2:Z62</xm:sqref>
        </x14:dataValidation>
        <x14:dataValidation xr:uid="{7EAD84AA-50AF-4635-BFA5-AA273C7DD346}" type="custom" allowBlank="1" errorStyle="stop" imeMode="noControl" operator="between" showDropDown="1" showErrorMessage="0" showInputMessage="0">
          <x14:formula1>
            <xm:f>AND(ISNUMBER(B2),(NOT(OR(NOT(ISERROR(DATEVALUE(B2))), AND(ISNUMBER(B2), LEFT(CELL("format", B2))="D")))))</xm:f>
          </x14:formula1>
          <xm:sqref>B2:B62 F2:F62 J2:J62</xm:sqref>
        </x14:dataValidation>
        <x14:dataValidation xr:uid="{6DC7D410-957C-4D2E-B91A-4FF18947FE09}" type="custom" allowBlank="1" errorStyle="stop" imeMode="noControl" operator="between" showDropDown="1" showErrorMessage="0" showInputMessage="0">
          <x14:formula1>
            <xm:f>OR(NOT(ISERROR(DATEVALUE(E2))), AND(ISNUMBER(E2), LEFT(CELL("format", E2))="D"))</xm:f>
          </x14:formula1>
          <xm:sqref>E2:E62</xm:sqref>
        </x14:dataValidation>
        <x14:dataValidation xr:uid="{A63132A6-67AA-4F3F-982D-3419E66B99C5}" type="list" allowBlank="1" errorStyle="stop" imeMode="noControl" operator="between" showDropDown="0" showErrorMessage="0" showInputMessage="0">
          <x14:formula1>
            <xm:f>"Yes,No,Unknown"</xm:f>
          </x14:formula1>
          <xm:sqref>M2:M62</xm:sqref>
        </x14:dataValidation>
        <x14:dataValidation xr:uid="{2CC32682-22F3-43C9-880E-E735FE45DDAF}" type="list" allowBlank="1" errorStyle="stop" imeMode="noControl" operator="between" showDropDown="0" showErrorMessage="0" showInputMessage="0">
          <x14:formula1>
            <xm:f>"Yes,No,Unknown,N/A"</xm:f>
          </x14:formula1>
          <xm:sqref>V2:V62 X2:X62</xm:sqref>
        </x14:dataValidation>
        <x14:dataValidation xr:uid="{D72A06F9-0605-44B8-9FC9-4A7677BC0879}" type="list" allowBlank="1" errorStyle="stop" imeMode="noControl" operator="between" showDropDown="0" showErrorMessage="0" showInputMessage="0">
          <x14:formula1>
            <xm:f>"Yes,No,Partially,Unknown,N/A,Upon_request"</xm:f>
          </x14:formula1>
          <xm:sqref>O2:O62 S2:S62</xm:sqref>
        </x14:dataValidation>
        <x14:dataValidation xr:uid="{0B368CC9-D160-44F0-AD48-4623CAFD5C5E}" type="list" allowBlank="1" errorStyle="stop" imeMode="noControl" operator="between" showDropDown="0" showErrorMessage="0" showInputMessage="0">
          <x14:formula1>
            <xm:f>"Mar,Jun,Sep,Dec"</xm:f>
          </x14:formula1>
          <xm:sqref>G2:G62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1"/>
  </sheetPr>
  <sheetViews>
    <sheetView zoomScale="100" workbookViewId="0">
      <pane xSplit="2" ySplit="1" topLeftCell="C2" activePane="bottomRight" state="frozen"/>
      <selection activeCell="C2" activeCellId="0" sqref="C2"/>
    </sheetView>
  </sheetViews>
  <sheetFormatPr defaultColWidth="12.630000000000001" defaultRowHeight="15.75" customHeight="1"/>
  <cols>
    <col customWidth="1" min="1" max="1" width="24.25"/>
    <col customWidth="1" min="2" max="2" width="20.129999999999999"/>
    <col customWidth="1" min="3" max="3" width="21"/>
    <col customWidth="1" min="4" max="4" width="14.75"/>
    <col customWidth="1" min="6" max="6" width="11.880000000000001"/>
    <col customWidth="1" min="7" max="7" width="12.630000000000001"/>
    <col customWidth="1" min="8" max="8" width="15.130000000000001"/>
    <col customWidth="1" min="9" max="9" width="28"/>
    <col customWidth="1" min="10" max="10" width="18.879999999999999"/>
    <col customWidth="1" min="11" max="11" width="36.75"/>
    <col customWidth="1" min="12" max="12" width="21.379999999999999"/>
    <col customWidth="1" min="13" max="13" width="18.879999999999999"/>
    <col customWidth="1" min="14" max="14" width="19.879999999999999"/>
    <col customWidth="1" min="15" max="16" width="19.75"/>
    <col customWidth="1" min="17" max="17" width="34.5"/>
    <col customWidth="1" min="18" max="18" width="19"/>
    <col customWidth="1" min="19" max="19" width="19.379999999999999"/>
    <col customWidth="1" min="20" max="21" width="19.75"/>
    <col customWidth="1" min="22" max="22" width="22.629999999999999"/>
    <col customWidth="1" min="23" max="23" width="32.630000000000003"/>
    <col customWidth="1" min="24" max="24" width="22.629999999999999"/>
    <col customWidth="1" min="25" max="25" width="25.5"/>
    <col customWidth="1" min="26" max="26" width="27.25"/>
    <col customWidth="1" min="27" max="27" width="39.25"/>
    <col customWidth="1" min="28" max="29" width="34.130000000000003"/>
  </cols>
  <sheetData>
    <row r="1" ht="22.5" customHeight="1">
      <c r="A1" s="1" t="s">
        <v>0</v>
      </c>
      <c r="B1" s="2" t="s">
        <v>1</v>
      </c>
      <c r="C1" s="3" t="s">
        <v>2</v>
      </c>
      <c r="D1" s="3" t="s">
        <v>3</v>
      </c>
      <c r="E1" s="3" t="s">
        <v>4</v>
      </c>
      <c r="F1" s="2" t="s">
        <v>5</v>
      </c>
      <c r="G1" s="2" t="s">
        <v>6</v>
      </c>
      <c r="H1" s="2" t="s">
        <v>7</v>
      </c>
      <c r="I1" s="2" t="s">
        <v>8</v>
      </c>
      <c r="J1" s="2" t="s">
        <v>9</v>
      </c>
      <c r="K1" s="2" t="s">
        <v>10</v>
      </c>
      <c r="L1" s="2" t="s">
        <v>11</v>
      </c>
      <c r="M1" s="2" t="s">
        <v>12</v>
      </c>
      <c r="N1" s="4" t="s">
        <v>13</v>
      </c>
      <c r="O1" s="4" t="s">
        <v>14</v>
      </c>
      <c r="P1" s="4" t="s">
        <v>15</v>
      </c>
      <c r="Q1" s="4" t="s">
        <v>16</v>
      </c>
      <c r="R1" s="5" t="s">
        <v>17</v>
      </c>
      <c r="S1" s="5" t="s">
        <v>18</v>
      </c>
      <c r="T1" s="5" t="s">
        <v>19</v>
      </c>
      <c r="U1" s="5" t="s">
        <v>20</v>
      </c>
      <c r="V1" s="2" t="s">
        <v>21</v>
      </c>
      <c r="W1" s="3" t="s">
        <v>22</v>
      </c>
      <c r="X1" s="2" t="s">
        <v>23</v>
      </c>
      <c r="Y1" s="3" t="s">
        <v>24</v>
      </c>
      <c r="Z1" s="2" t="s">
        <v>25</v>
      </c>
      <c r="AA1" s="3" t="s">
        <v>26</v>
      </c>
      <c r="AB1" s="3" t="s">
        <v>27</v>
      </c>
      <c r="AC1" s="3" t="s">
        <v>28</v>
      </c>
    </row>
    <row r="2" ht="22.5" customHeight="1">
      <c r="A2" s="11" t="str">
        <f>REGEXEXTRACT(D2, "\d{4}\.\s(.*?)\.\sProc\. ACM")"),"RaDro: Indoor Drone Tracking Using Millimeter Wave Radar</f>
        <v xml:space="preserve">RaDro: Indoor Drone Tracking Using Millimeter Wave Radar</v>
      </c>
      <c r="B2" s="7">
        <f t="shared" ref="B2:B9" si="47">IFERROR(VALUE(REGEXEXTRACT(D2,"Article\s+(\d+)")),"")
</f>
        <v>88</v>
      </c>
      <c r="C2" s="8" t="s">
        <v>1955</v>
      </c>
      <c r="D2" s="6" t="s">
        <v>1956</v>
      </c>
      <c r="E2" s="9">
        <v>46008</v>
      </c>
      <c r="F2" s="7">
        <v>2024</v>
      </c>
      <c r="G2" s="7" t="s">
        <v>575</v>
      </c>
      <c r="H2" s="6" t="str">
        <f t="shared" ref="H2:H61" si="48">TEXT($F2,"0000") &amp; "_" &amp; $G2 &amp; "_" &amp; TEXT($B2,"000")</f>
        <v>2024_Sep_088</v>
      </c>
      <c r="I2" s="12" t="str">
        <f t="shared" ref="I2:I61" si="49">CONCATENATE("https",RIGHT(D2,LEN(D2) - (FIND("://",D2) - 1)))</f>
        <v>https://doi.org/10.1145/3678549</v>
      </c>
      <c r="J2" s="7">
        <f>IF(D2:D61&lt;&gt;"", VALUE(REGEXEXTRACT(D2:D61, "(\d+)\s+pages")), )
</f>
        <v>23</v>
      </c>
      <c r="K2" s="6" t="s">
        <v>71</v>
      </c>
      <c r="L2" s="7" t="str">
        <f t="shared" ref="L2:L9" si="50">IF(REGEXMATCH(LOWER($A2),"(^|[^a-z])dataset(s)?([^a-z]|$)"),"Yes","No")"),"No</f>
        <v>No</v>
      </c>
      <c r="M2" s="7" t="s">
        <v>33</v>
      </c>
      <c r="N2" s="7" t="s">
        <v>34</v>
      </c>
      <c r="O2" s="7" t="s">
        <v>35</v>
      </c>
      <c r="P2" s="6"/>
      <c r="Q2" s="6"/>
      <c r="R2" s="7" t="s">
        <v>34</v>
      </c>
      <c r="S2" s="7" t="s">
        <v>35</v>
      </c>
      <c r="T2" s="6"/>
      <c r="U2" s="6"/>
      <c r="V2" s="7" t="s">
        <v>33</v>
      </c>
      <c r="W2" s="6" t="s">
        <v>1957</v>
      </c>
      <c r="X2" s="7" t="s">
        <v>34</v>
      </c>
      <c r="Y2" s="13"/>
      <c r="Z2" s="7" t="s">
        <v>34</v>
      </c>
      <c r="AA2" s="6"/>
      <c r="AB2" s="6" t="s">
        <v>1958</v>
      </c>
      <c r="AC2" s="6" t="s">
        <v>181</v>
      </c>
    </row>
    <row r="3" ht="22.5" customHeight="1">
      <c r="A3" s="11" t="str">
        <f>REGEXEXTRACT(D3, "\d{4}\.\s(.*?)\.\sProc\. ACM")"),"End-Users Know Best: Identifying Undesired Behavior of Alexa Skills Through User Review Analysis</f>
        <v xml:space="preserve">End-Users Know Best: Identifying Undesired Behavior of Alexa Skills Through User Review Analysis</v>
      </c>
      <c r="B3" s="7">
        <f t="shared" si="47"/>
        <v>89</v>
      </c>
      <c r="C3" s="8" t="s">
        <v>1959</v>
      </c>
      <c r="D3" s="6" t="s">
        <v>1960</v>
      </c>
      <c r="E3" s="9">
        <v>46008</v>
      </c>
      <c r="F3" s="7">
        <v>2024</v>
      </c>
      <c r="G3" s="7" t="s">
        <v>575</v>
      </c>
      <c r="H3" s="6" t="str">
        <f t="shared" si="48"/>
        <v>2024_Sep_089</v>
      </c>
      <c r="I3" s="12" t="str">
        <f t="shared" si="49"/>
        <v>https://doi.org/10.1145/3678517</v>
      </c>
      <c r="J3" s="7">
        <f>IF(D3:D61&lt;&gt;"", VALUE(REGEXEXTRACT(D3:D61, "(\d+)\s+pages")), )
</f>
        <v>28</v>
      </c>
      <c r="K3" s="6" t="s">
        <v>1227</v>
      </c>
      <c r="L3" s="7" t="str">
        <f t="shared" si="50"/>
        <v>No</v>
      </c>
      <c r="M3" s="7" t="s">
        <v>33</v>
      </c>
      <c r="N3" s="7" t="s">
        <v>33</v>
      </c>
      <c r="O3" s="7" t="s">
        <v>33</v>
      </c>
      <c r="P3" s="10" t="s">
        <v>1961</v>
      </c>
      <c r="Q3" s="6"/>
      <c r="R3" s="7" t="s">
        <v>33</v>
      </c>
      <c r="S3" s="7" t="s">
        <v>33</v>
      </c>
      <c r="T3" s="12" t="s">
        <v>1961</v>
      </c>
      <c r="U3" s="6"/>
      <c r="V3" s="7" t="s">
        <v>34</v>
      </c>
      <c r="W3" s="6"/>
      <c r="X3" s="7" t="s">
        <v>33</v>
      </c>
      <c r="Y3" s="6" t="s">
        <v>1962</v>
      </c>
      <c r="Z3" s="7" t="s">
        <v>34</v>
      </c>
      <c r="AA3" s="6" t="s">
        <v>1963</v>
      </c>
      <c r="AB3" s="6" t="s">
        <v>1964</v>
      </c>
      <c r="AC3" s="6" t="s">
        <v>181</v>
      </c>
    </row>
    <row r="4" ht="22.5" customHeight="1">
      <c r="A4" s="11" t="str">
        <f>REGEXEXTRACT(D4, "\d{4}\.\s(.*?)\.\sProc\. ACM")"),"Empowering IoT Developers with Privacy-Preserving End-User Development Tools</f>
        <v xml:space="preserve">Empowering IoT Developers with Privacy-Preserving End-User Development Tools</v>
      </c>
      <c r="B4" s="7">
        <f t="shared" si="47"/>
        <v>90</v>
      </c>
      <c r="C4" s="8" t="s">
        <v>1965</v>
      </c>
      <c r="D4" s="6" t="s">
        <v>1966</v>
      </c>
      <c r="E4" s="9">
        <v>46008</v>
      </c>
      <c r="F4" s="7">
        <v>2024</v>
      </c>
      <c r="G4" s="7" t="s">
        <v>575</v>
      </c>
      <c r="H4" s="6" t="str">
        <f t="shared" si="48"/>
        <v>2024_Sep_090</v>
      </c>
      <c r="I4" s="12" t="str">
        <f t="shared" si="49"/>
        <v>https://doi.org/10.1145/3678588</v>
      </c>
      <c r="J4" s="7">
        <f>IF(D4:D61&lt;&gt;"", VALUE(REGEXEXTRACT(D4:D61, "(\d+)\s+pages")), )
</f>
        <v>47</v>
      </c>
      <c r="K4" s="6" t="s">
        <v>64</v>
      </c>
      <c r="L4" s="7" t="str">
        <f t="shared" si="50"/>
        <v>No</v>
      </c>
      <c r="M4" s="7" t="s">
        <v>34</v>
      </c>
      <c r="N4" s="7" t="s">
        <v>33</v>
      </c>
      <c r="O4" s="7" t="s">
        <v>33</v>
      </c>
      <c r="P4" s="10" t="s">
        <v>1967</v>
      </c>
      <c r="Q4" s="6"/>
      <c r="R4" s="7" t="s">
        <v>34</v>
      </c>
      <c r="S4" s="7" t="s">
        <v>35</v>
      </c>
      <c r="T4" s="6"/>
      <c r="U4" s="6"/>
      <c r="V4" s="7" t="s">
        <v>33</v>
      </c>
      <c r="W4" s="6" t="s">
        <v>1968</v>
      </c>
      <c r="X4" s="7" t="s">
        <v>33</v>
      </c>
      <c r="Y4" s="6" t="s">
        <v>1969</v>
      </c>
      <c r="Z4" s="7" t="s">
        <v>33</v>
      </c>
      <c r="AA4" s="6" t="s">
        <v>1970</v>
      </c>
      <c r="AB4" s="6" t="s">
        <v>1971</v>
      </c>
      <c r="AC4" s="6" t="s">
        <v>181</v>
      </c>
    </row>
    <row r="5" ht="22.5" customHeight="1">
      <c r="A5" s="11" t="str">
        <f>REGEXEXTRACT(D5, "\d{4}\.\s(.*?)\.\sProc\. ACM")"),"Towards Reducing Continuous Emotion Annotation Effort During Video Consumption: A Physiological Response Profiling Approach</f>
        <v xml:space="preserve">Towards Reducing Continuous Emotion Annotation Effort During Video Consumption: A Physiological Response Profiling Approach</v>
      </c>
      <c r="B5" s="7">
        <f t="shared" si="47"/>
        <v>91</v>
      </c>
      <c r="C5" s="8" t="s">
        <v>1972</v>
      </c>
      <c r="D5" s="10" t="s">
        <v>1973</v>
      </c>
      <c r="E5" s="9">
        <v>46008</v>
      </c>
      <c r="F5" s="7">
        <v>2024</v>
      </c>
      <c r="G5" s="7" t="s">
        <v>575</v>
      </c>
      <c r="H5" s="6" t="str">
        <f t="shared" si="48"/>
        <v>2024_Sep_091</v>
      </c>
      <c r="I5" s="12" t="str">
        <f t="shared" si="49"/>
        <v>https://doi.org/10.1145/3678569</v>
      </c>
      <c r="J5" s="7">
        <f>IF(D5:D61&lt;&gt;"", VALUE(REGEXEXTRACT(D5:D61, "(\d+)\s+pages")), )
</f>
        <v>32</v>
      </c>
      <c r="K5" s="6" t="s">
        <v>133</v>
      </c>
      <c r="L5" s="7" t="str">
        <f t="shared" si="50"/>
        <v>No</v>
      </c>
      <c r="M5" s="7" t="s">
        <v>34</v>
      </c>
      <c r="N5" s="7" t="s">
        <v>33</v>
      </c>
      <c r="O5" s="7" t="s">
        <v>34</v>
      </c>
      <c r="P5" s="6"/>
      <c r="Q5" s="6"/>
      <c r="R5" s="7" t="s">
        <v>33</v>
      </c>
      <c r="S5" s="7" t="s">
        <v>34</v>
      </c>
      <c r="T5" s="6"/>
      <c r="U5" s="6" t="s">
        <v>1974</v>
      </c>
      <c r="V5" s="7" t="s">
        <v>33</v>
      </c>
      <c r="W5" s="6" t="s">
        <v>1975</v>
      </c>
      <c r="X5" s="7" t="s">
        <v>33</v>
      </c>
      <c r="Y5" s="6" t="s">
        <v>1976</v>
      </c>
      <c r="Z5" s="7" t="s">
        <v>34</v>
      </c>
      <c r="AA5" s="6"/>
      <c r="AB5" s="6" t="s">
        <v>1977</v>
      </c>
      <c r="AC5" s="6" t="s">
        <v>181</v>
      </c>
    </row>
    <row r="6" ht="22.5" customHeight="1">
      <c r="A6" s="11" t="str">
        <f>REGEXEXTRACT(D6, "\d{4}\.\s(.*?)\.\sProc\. ACM")"),"Characteristics of Conductive Paints and Tapes for Interactive Murals</f>
        <v xml:space="preserve">Characteristics of Conductive Paints and Tapes for Interactive Murals</v>
      </c>
      <c r="B6" s="7">
        <f t="shared" si="47"/>
        <v>92</v>
      </c>
      <c r="C6" s="8" t="s">
        <v>1978</v>
      </c>
      <c r="D6" s="6" t="s">
        <v>1979</v>
      </c>
      <c r="E6" s="9">
        <v>46008</v>
      </c>
      <c r="F6" s="7">
        <v>2024</v>
      </c>
      <c r="G6" s="7" t="s">
        <v>575</v>
      </c>
      <c r="H6" s="6" t="str">
        <f t="shared" si="48"/>
        <v>2024_Sep_092</v>
      </c>
      <c r="I6" s="12" t="str">
        <f t="shared" si="49"/>
        <v>https://doi.org/10.1145/3678587</v>
      </c>
      <c r="J6" s="7">
        <f>IF(D6:D61&lt;&gt;"", VALUE(REGEXEXTRACT(D6:D61, "(\d+)\s+pages")), )
</f>
        <v>34</v>
      </c>
      <c r="K6" s="6" t="s">
        <v>668</v>
      </c>
      <c r="L6" s="7" t="str">
        <f t="shared" si="50"/>
        <v>No</v>
      </c>
      <c r="M6" s="7" t="s">
        <v>34</v>
      </c>
      <c r="N6" s="7" t="s">
        <v>34</v>
      </c>
      <c r="O6" s="7" t="s">
        <v>35</v>
      </c>
      <c r="P6" s="6"/>
      <c r="Q6" s="6"/>
      <c r="R6" s="7" t="s">
        <v>34</v>
      </c>
      <c r="S6" s="7" t="s">
        <v>35</v>
      </c>
      <c r="T6" s="6"/>
      <c r="U6" s="6"/>
      <c r="V6" s="7" t="s">
        <v>33</v>
      </c>
      <c r="W6" s="6" t="s">
        <v>1980</v>
      </c>
      <c r="X6" s="7" t="s">
        <v>34</v>
      </c>
      <c r="Y6" s="13"/>
      <c r="Z6" s="7" t="s">
        <v>34</v>
      </c>
      <c r="AA6" s="6"/>
      <c r="AB6" s="6" t="s">
        <v>1981</v>
      </c>
      <c r="AC6" s="6" t="s">
        <v>181</v>
      </c>
    </row>
    <row r="7" ht="22.5" customHeight="1">
      <c r="A7" s="11" t="str">
        <f>REGEXEXTRACT(D7, "\d{4}\.\s(.*?)\.\sProc\. ACM")"),"Understanding Instant Social Control of Shared Devices in Public Spaces: A Field Trial</f>
        <v xml:space="preserve">Understanding Instant Social Control of Shared Devices in Public Spaces: A Field Trial</v>
      </c>
      <c r="B7" s="7">
        <f t="shared" si="47"/>
        <v>93</v>
      </c>
      <c r="C7" s="8" t="s">
        <v>1982</v>
      </c>
      <c r="D7" s="6" t="s">
        <v>1983</v>
      </c>
      <c r="E7" s="9">
        <v>46008</v>
      </c>
      <c r="F7" s="7">
        <v>2024</v>
      </c>
      <c r="G7" s="7" t="s">
        <v>575</v>
      </c>
      <c r="H7" s="6" t="str">
        <f t="shared" si="48"/>
        <v>2024_Sep_093</v>
      </c>
      <c r="I7" s="12" t="str">
        <f t="shared" si="49"/>
        <v>https://doi.org/10.1145/3678592</v>
      </c>
      <c r="J7" s="7">
        <f>IF(D7:D61&lt;&gt;"", VALUE(REGEXEXTRACT(D7:D61, "(\d+)\s+pages")), )
</f>
        <v>33</v>
      </c>
      <c r="K7" s="6" t="s">
        <v>652</v>
      </c>
      <c r="L7" s="7" t="str">
        <f t="shared" si="50"/>
        <v>No</v>
      </c>
      <c r="M7" s="7" t="s">
        <v>33</v>
      </c>
      <c r="N7" s="7" t="s">
        <v>33</v>
      </c>
      <c r="O7" s="7" t="s">
        <v>33</v>
      </c>
      <c r="P7" s="6"/>
      <c r="Q7" s="6" t="s">
        <v>1984</v>
      </c>
      <c r="R7" s="7" t="s">
        <v>34</v>
      </c>
      <c r="S7" s="7" t="s">
        <v>35</v>
      </c>
      <c r="T7" s="6"/>
      <c r="U7" s="6"/>
      <c r="V7" s="7" t="s">
        <v>33</v>
      </c>
      <c r="W7" s="6" t="s">
        <v>1985</v>
      </c>
      <c r="X7" s="7" t="s">
        <v>33</v>
      </c>
      <c r="Y7" s="6" t="s">
        <v>1986</v>
      </c>
      <c r="Z7" s="7" t="s">
        <v>34</v>
      </c>
      <c r="AA7" s="6"/>
      <c r="AB7" s="6" t="s">
        <v>1987</v>
      </c>
      <c r="AC7" s="6" t="s">
        <v>181</v>
      </c>
    </row>
    <row r="8" ht="22.5" customHeight="1">
      <c r="A8" s="11" t="str">
        <f>REGEXEXTRACT(D8, "\d{4}\.\s(.*?)\.\sProc\. ACM")"),"Edge-Light: Exploiting Luminescent Solar Concentrators for Ambient Light Communication</f>
        <v xml:space="preserve">Edge-Light: Exploiting Luminescent Solar Concentrators for Ambient Light Communication</v>
      </c>
      <c r="B8" s="7">
        <f t="shared" si="47"/>
        <v>94</v>
      </c>
      <c r="C8" s="8" t="s">
        <v>1988</v>
      </c>
      <c r="D8" s="6" t="s">
        <v>1989</v>
      </c>
      <c r="E8" s="9">
        <v>46011</v>
      </c>
      <c r="F8" s="7">
        <v>2024</v>
      </c>
      <c r="G8" s="7" t="s">
        <v>575</v>
      </c>
      <c r="H8" s="6" t="str">
        <f t="shared" si="48"/>
        <v>2024_Sep_094</v>
      </c>
      <c r="I8" s="12" t="str">
        <f t="shared" si="49"/>
        <v>https://doi.org/10.1145/3678574</v>
      </c>
      <c r="J8" s="7">
        <f>IF(D8:D61&lt;&gt;"", VALUE(REGEXEXTRACT(D8:D61, "(\d+)\s+pages")), )
</f>
        <v>23</v>
      </c>
      <c r="K8" s="6" t="s">
        <v>45</v>
      </c>
      <c r="L8" s="7" t="str">
        <f t="shared" si="50"/>
        <v>No</v>
      </c>
      <c r="M8" s="7" t="s">
        <v>33</v>
      </c>
      <c r="N8" s="7" t="s">
        <v>33</v>
      </c>
      <c r="O8" s="7" t="s">
        <v>34</v>
      </c>
      <c r="P8" s="48"/>
      <c r="Q8" s="6" t="s">
        <v>1990</v>
      </c>
      <c r="R8" s="7" t="s">
        <v>34</v>
      </c>
      <c r="S8" s="7" t="s">
        <v>35</v>
      </c>
      <c r="T8" s="6"/>
      <c r="U8" s="6"/>
      <c r="V8" s="7" t="s">
        <v>33</v>
      </c>
      <c r="W8" s="6" t="s">
        <v>1991</v>
      </c>
      <c r="X8" s="7" t="s">
        <v>33</v>
      </c>
      <c r="Y8" s="6" t="s">
        <v>1992</v>
      </c>
      <c r="Z8" s="7" t="s">
        <v>34</v>
      </c>
      <c r="AA8" s="6"/>
      <c r="AB8" s="6" t="s">
        <v>1993</v>
      </c>
      <c r="AC8" s="6" t="s">
        <v>181</v>
      </c>
    </row>
    <row r="9" ht="22.5" customHeight="1">
      <c r="A9" s="11" t="str">
        <f>REGEXEXTRACT(D9, "\d{4}\.\s(.*?)\.\sProc\. ACM")"),"SilverCycling: Exploring the Impact of Bike-Based Locomotion on Spatial Orientation for Older Adults in VR</f>
        <v xml:space="preserve">SilverCycling: Exploring the Impact of Bike-Based Locomotion on Spatial Orientation for Older Adults in VR</v>
      </c>
      <c r="B9" s="7">
        <f t="shared" si="47"/>
        <v>95</v>
      </c>
      <c r="C9" s="8" t="s">
        <v>1994</v>
      </c>
      <c r="D9" s="6" t="s">
        <v>1995</v>
      </c>
      <c r="E9" s="9">
        <v>46011</v>
      </c>
      <c r="F9" s="7">
        <v>2024</v>
      </c>
      <c r="G9" s="7" t="s">
        <v>575</v>
      </c>
      <c r="H9" s="6" t="str">
        <f t="shared" si="48"/>
        <v>2024_Sep_095</v>
      </c>
      <c r="I9" s="12" t="str">
        <f t="shared" si="49"/>
        <v>https://doi.org/10.1145/3678522</v>
      </c>
      <c r="J9" s="7">
        <f>IF(D9:D61&lt;&gt;"", VALUE(REGEXEXTRACT(D9:D61, "(\d+)\s+pages")), )
</f>
        <v>24</v>
      </c>
      <c r="K9" s="6" t="s">
        <v>348</v>
      </c>
      <c r="L9" s="7" t="str">
        <f t="shared" si="50"/>
        <v>No</v>
      </c>
      <c r="M9" s="7" t="s">
        <v>34</v>
      </c>
      <c r="N9" s="7" t="s">
        <v>33</v>
      </c>
      <c r="O9" s="7" t="s">
        <v>34</v>
      </c>
      <c r="P9" s="6"/>
      <c r="Q9" s="6"/>
      <c r="R9" s="7" t="s">
        <v>34</v>
      </c>
      <c r="S9" s="7" t="s">
        <v>35</v>
      </c>
      <c r="T9" s="6"/>
      <c r="U9" s="6"/>
      <c r="V9" s="7" t="s">
        <v>33</v>
      </c>
      <c r="W9" s="6" t="s">
        <v>1996</v>
      </c>
      <c r="X9" s="7" t="s">
        <v>33</v>
      </c>
      <c r="Y9" s="6" t="s">
        <v>1997</v>
      </c>
      <c r="Z9" s="7" t="s">
        <v>34</v>
      </c>
      <c r="AA9" s="6"/>
      <c r="AB9" s="6" t="s">
        <v>1998</v>
      </c>
      <c r="AC9" s="6" t="s">
        <v>181</v>
      </c>
    </row>
    <row r="10" ht="22.5" customHeight="1">
      <c r="A10" s="11" t="str">
        <f>REGEXEXTRACT(D10, "\d{4}\.\s(.*?)\.\sProc\. ACM")"),"AutoTherm: A Dataset and Benchmark for Thermal Comfort Estimation Indoors and in Vehicles</f>
        <v xml:space="preserve">AutoTherm: A Dataset and Benchmark for Thermal Comfort Estimation Indoors and in Vehicles</v>
      </c>
      <c r="B10" s="7">
        <f t="shared" ref="B10:B61" si="51">IFERROR(VALUE(REGEXEXTRACT(D10,"Article\s+(\d+)")),"")
</f>
        <v>96</v>
      </c>
      <c r="C10" s="8" t="s">
        <v>1999</v>
      </c>
      <c r="D10" s="6" t="s">
        <v>2000</v>
      </c>
      <c r="E10" s="9">
        <v>46011</v>
      </c>
      <c r="F10" s="7">
        <v>2024</v>
      </c>
      <c r="G10" s="7" t="s">
        <v>575</v>
      </c>
      <c r="H10" s="6" t="str">
        <f t="shared" si="48"/>
        <v>2024_Sep_096</v>
      </c>
      <c r="I10" s="12" t="str">
        <f t="shared" si="49"/>
        <v>https://doi.org/10.1145/3678503</v>
      </c>
      <c r="J10" s="7">
        <f>IF(D10:D61&lt;&gt;"", VALUE(REGEXEXTRACT(D10:D61, "(\d+)\s+pages")), )
</f>
        <v>49</v>
      </c>
      <c r="K10" s="6" t="s">
        <v>1227</v>
      </c>
      <c r="L10" s="7" t="str">
        <f>IF(REGEXMATCH(LOWER($A10),"(^|[^a-z])dataset(s)?([^a-z]|$)"),"Yes","No")"),"Yes</f>
        <v>Yes</v>
      </c>
      <c r="M10" s="7" t="s">
        <v>33</v>
      </c>
      <c r="N10" s="7" t="s">
        <v>33</v>
      </c>
      <c r="O10" s="7" t="s">
        <v>33</v>
      </c>
      <c r="P10" s="10" t="s">
        <v>2001</v>
      </c>
      <c r="Q10" s="6"/>
      <c r="R10" s="7" t="s">
        <v>33</v>
      </c>
      <c r="S10" s="7" t="s">
        <v>33</v>
      </c>
      <c r="T10" s="12" t="s">
        <v>2002</v>
      </c>
      <c r="U10" s="6" t="s">
        <v>2003</v>
      </c>
      <c r="V10" s="7" t="s">
        <v>33</v>
      </c>
      <c r="W10" s="6" t="s">
        <v>2004</v>
      </c>
      <c r="X10" s="7" t="s">
        <v>33</v>
      </c>
      <c r="Y10" s="6" t="s">
        <v>2005</v>
      </c>
      <c r="Z10" s="7" t="s">
        <v>34</v>
      </c>
      <c r="AA10" s="6" t="s">
        <v>2006</v>
      </c>
      <c r="AB10" s="6" t="s">
        <v>2007</v>
      </c>
      <c r="AC10" s="6" t="s">
        <v>181</v>
      </c>
    </row>
    <row r="11" ht="22.5" customHeight="1">
      <c r="A11" s="14" t="str">
        <f>REGEXEXTRACT(D11, "\d{4}\.\s(.*?)\.\sProc\. ACM")"),"ShouldAR: Detecting Shoulder Surfing Attacks Using Multimodal Eye Tracking and Augmented Reality</f>
        <v xml:space="preserve">ShouldAR: Detecting Shoulder Surfing Attacks Using Multimodal Eye Tracking and Augmented Reality</v>
      </c>
      <c r="B11" s="15">
        <f t="shared" si="51"/>
        <v>97</v>
      </c>
      <c r="C11" s="16" t="s">
        <v>2008</v>
      </c>
      <c r="D11" s="17" t="s">
        <v>2009</v>
      </c>
      <c r="E11" s="18">
        <v>46012</v>
      </c>
      <c r="F11" s="15">
        <v>2024</v>
      </c>
      <c r="G11" s="15" t="s">
        <v>575</v>
      </c>
      <c r="H11" s="17" t="str">
        <f t="shared" si="48"/>
        <v>2024_Sep_097</v>
      </c>
      <c r="I11" s="19" t="str">
        <f t="shared" si="49"/>
        <v>https://doi.org/10.1145/3678573</v>
      </c>
      <c r="J11" s="15">
        <f>IF(D11:D61&lt;&gt;"", VALUE(REGEXEXTRACT(D11:D61, "(\d+)\s+pages")), )
</f>
        <v>23</v>
      </c>
      <c r="K11" s="17" t="s">
        <v>133</v>
      </c>
      <c r="L11" s="15" t="s">
        <v>34</v>
      </c>
      <c r="M11" s="15" t="s">
        <v>33</v>
      </c>
      <c r="N11" s="15" t="s">
        <v>33</v>
      </c>
      <c r="O11" s="15" t="s">
        <v>33</v>
      </c>
      <c r="P11" s="22" t="s">
        <v>2010</v>
      </c>
      <c r="Q11" s="17" t="s">
        <v>2011</v>
      </c>
      <c r="R11" s="15" t="s">
        <v>34</v>
      </c>
      <c r="S11" s="15" t="s">
        <v>35</v>
      </c>
      <c r="T11" s="17"/>
      <c r="U11" s="17"/>
      <c r="V11" s="15" t="s">
        <v>33</v>
      </c>
      <c r="W11" s="17" t="s">
        <v>2012</v>
      </c>
      <c r="X11" s="15" t="s">
        <v>33</v>
      </c>
      <c r="Y11" s="17" t="s">
        <v>2013</v>
      </c>
      <c r="Z11" s="15" t="s">
        <v>34</v>
      </c>
      <c r="AA11" s="17" t="s">
        <v>2014</v>
      </c>
      <c r="AB11" s="17" t="s">
        <v>2015</v>
      </c>
      <c r="AC11" s="17" t="s">
        <v>181</v>
      </c>
    </row>
    <row r="12" ht="22.5" customHeight="1">
      <c r="A12" s="11" t="str">
        <f>REGEXEXTRACT(D12, "\d{4}\.\s(.*?)\.\sProc\. ACM")"),"Comfort in Automated Driving: A Literature Survey and a High-Level Integrative Framework</f>
        <v xml:space="preserve">Comfort in Automated Driving: A Literature Survey and a High-Level Integrative Framework</v>
      </c>
      <c r="B12" s="7">
        <f t="shared" si="51"/>
        <v>98</v>
      </c>
      <c r="C12" s="8" t="s">
        <v>2016</v>
      </c>
      <c r="D12" s="6" t="s">
        <v>2017</v>
      </c>
      <c r="E12" s="44">
        <v>45974</v>
      </c>
      <c r="F12" s="7">
        <v>2024</v>
      </c>
      <c r="G12" s="7" t="s">
        <v>575</v>
      </c>
      <c r="H12" s="6" t="str">
        <f t="shared" si="48"/>
        <v>2024_Sep_098</v>
      </c>
      <c r="I12" s="12" t="str">
        <f t="shared" si="49"/>
        <v>https://doi.org/10.1145/3678583</v>
      </c>
      <c r="J12" s="7">
        <f>IF(D12:D61&lt;&gt;"", VALUE(REGEXEXTRACT(D12:D61, "(\d+)\s+pages")), )
</f>
        <v>23</v>
      </c>
      <c r="K12" s="6" t="s">
        <v>110</v>
      </c>
      <c r="L12" s="7" t="str">
        <f t="shared" ref="L12:L22" si="52">IF(REGEXMATCH(LOWER($A12),"(^|[^a-z])dataset(s)?([^a-z]|$)"),"Yes","No")"),"No</f>
        <v>No</v>
      </c>
      <c r="M12" s="7" t="s">
        <v>34</v>
      </c>
      <c r="N12" s="7" t="s">
        <v>34</v>
      </c>
      <c r="O12" s="7" t="s">
        <v>35</v>
      </c>
      <c r="P12" s="6"/>
      <c r="Q12" s="6"/>
      <c r="R12" s="7" t="s">
        <v>34</v>
      </c>
      <c r="S12" s="7" t="s">
        <v>35</v>
      </c>
      <c r="T12" s="6"/>
      <c r="U12" s="6"/>
      <c r="V12" s="7" t="s">
        <v>35</v>
      </c>
      <c r="W12" s="6"/>
      <c r="X12" s="7" t="s">
        <v>35</v>
      </c>
      <c r="Y12" s="13"/>
      <c r="Z12" s="7" t="s">
        <v>35</v>
      </c>
      <c r="AA12" s="6"/>
      <c r="AB12" s="6" t="s">
        <v>2018</v>
      </c>
      <c r="AC12" s="6" t="s">
        <v>355</v>
      </c>
    </row>
    <row r="13" ht="22.5" customHeight="1">
      <c r="A13" s="11" t="str">
        <f>REGEXEXTRACT(D13, "\d{4}\.\s(.*?)\.\sProc\. ACM")"),"PrivateGaze: Preserving User Privacy in Black-box Mobile Gaze Tracking Services</f>
        <v xml:space="preserve">PrivateGaze: Preserving User Privacy in Black-box Mobile Gaze Tracking Services</v>
      </c>
      <c r="B13" s="7">
        <f t="shared" si="51"/>
        <v>99</v>
      </c>
      <c r="C13" s="8" t="s">
        <v>2019</v>
      </c>
      <c r="D13" s="6" t="s">
        <v>2020</v>
      </c>
      <c r="E13" s="9">
        <v>45974</v>
      </c>
      <c r="F13" s="7">
        <v>2024</v>
      </c>
      <c r="G13" s="7" t="s">
        <v>575</v>
      </c>
      <c r="H13" s="6" t="str">
        <f t="shared" si="48"/>
        <v>2024_Sep_099</v>
      </c>
      <c r="I13" s="12" t="str">
        <f t="shared" si="49"/>
        <v>https://doi.org/10.1145/3678595</v>
      </c>
      <c r="J13" s="7">
        <f>IF(D13:D61&lt;&gt;"", VALUE(REGEXEXTRACT(D13:D61, "(\d+)\s+pages")), )
</f>
        <v>28</v>
      </c>
      <c r="K13" s="6" t="s">
        <v>64</v>
      </c>
      <c r="L13" s="7" t="str">
        <f t="shared" si="52"/>
        <v>No</v>
      </c>
      <c r="M13" s="7" t="s">
        <v>33</v>
      </c>
      <c r="N13" s="7" t="s">
        <v>33</v>
      </c>
      <c r="O13" s="7" t="s">
        <v>33</v>
      </c>
      <c r="P13" s="10" t="s">
        <v>2021</v>
      </c>
      <c r="Q13" s="6" t="s">
        <v>2022</v>
      </c>
      <c r="R13" s="7" t="s">
        <v>33</v>
      </c>
      <c r="S13" s="7" t="s">
        <v>33</v>
      </c>
      <c r="T13" s="6"/>
      <c r="U13" s="6" t="s">
        <v>2023</v>
      </c>
      <c r="V13" s="7" t="s">
        <v>34</v>
      </c>
      <c r="W13" s="6"/>
      <c r="X13" s="7" t="s">
        <v>34</v>
      </c>
      <c r="Y13" s="6" t="s">
        <v>2024</v>
      </c>
      <c r="Z13" s="7" t="s">
        <v>34</v>
      </c>
      <c r="AA13" s="6" t="s">
        <v>2025</v>
      </c>
      <c r="AB13" s="6" t="s">
        <v>2026</v>
      </c>
      <c r="AC13" s="6" t="s">
        <v>355</v>
      </c>
    </row>
    <row r="14" ht="22.5" customHeight="1">
      <c r="A14" s="11" t="str">
        <f>REGEXEXTRACT(D14, "\d{4}\.\s(.*?)\.\sProc\. ACM")"),"Evaluating the Privacy Valuation of Personal Data on Smartphones</f>
        <v xml:space="preserve">Evaluating the Privacy Valuation of Personal Data on Smartphones</v>
      </c>
      <c r="B14" s="7">
        <f t="shared" si="51"/>
        <v>100</v>
      </c>
      <c r="C14" s="8" t="s">
        <v>2027</v>
      </c>
      <c r="D14" s="6" t="s">
        <v>2028</v>
      </c>
      <c r="E14" s="9">
        <v>45974</v>
      </c>
      <c r="F14" s="7">
        <v>2024</v>
      </c>
      <c r="G14" s="7" t="s">
        <v>575</v>
      </c>
      <c r="H14" s="6" t="str">
        <f t="shared" si="48"/>
        <v>2024_Sep_100</v>
      </c>
      <c r="I14" s="12" t="str">
        <f t="shared" si="49"/>
        <v>https://doi.org/10.1145/3678509</v>
      </c>
      <c r="J14" s="7">
        <f>IF(D14:D61&lt;&gt;"", VALUE(REGEXEXTRACT(D14:D61, "(\d+)\s+pages")), )
</f>
        <v>33</v>
      </c>
      <c r="K14" s="6" t="s">
        <v>42</v>
      </c>
      <c r="L14" s="7" t="str">
        <f t="shared" si="52"/>
        <v>No</v>
      </c>
      <c r="M14" s="7" t="s">
        <v>33</v>
      </c>
      <c r="N14" s="7" t="s">
        <v>34</v>
      </c>
      <c r="O14" s="7" t="s">
        <v>35</v>
      </c>
      <c r="P14" s="6"/>
      <c r="Q14" s="6"/>
      <c r="R14" s="7" t="s">
        <v>34</v>
      </c>
      <c r="S14" s="7" t="s">
        <v>35</v>
      </c>
      <c r="T14" s="6"/>
      <c r="U14" s="6"/>
      <c r="V14" s="7" t="s">
        <v>35</v>
      </c>
      <c r="W14" s="6"/>
      <c r="X14" s="7" t="s">
        <v>35</v>
      </c>
      <c r="Y14" s="13"/>
      <c r="Z14" s="7" t="s">
        <v>35</v>
      </c>
      <c r="AA14" s="6"/>
      <c r="AB14" s="6"/>
      <c r="AC14" s="6" t="s">
        <v>355</v>
      </c>
    </row>
    <row r="15" ht="22.5" customHeight="1">
      <c r="A15" s="11" t="str">
        <f>REGEXEXTRACT(D15, "\d{4}\.\s(.*?)\.\sProc\. ACM")"),"HabitSense: A Privacy-Aware, AI-Enhanced Multimodal Wearable Platform for mHealth Applications</f>
        <v xml:space="preserve">HabitSense: A Privacy-Aware, AI-Enhanced Multimodal Wearable Platform for mHealth Applications</v>
      </c>
      <c r="B15" s="7">
        <f t="shared" si="51"/>
        <v>101</v>
      </c>
      <c r="C15" s="8" t="s">
        <v>2029</v>
      </c>
      <c r="D15" s="6" t="s">
        <v>2030</v>
      </c>
      <c r="E15" s="9">
        <v>45974</v>
      </c>
      <c r="F15" s="7">
        <v>2024</v>
      </c>
      <c r="G15" s="7" t="s">
        <v>575</v>
      </c>
      <c r="H15" s="6" t="str">
        <f t="shared" si="48"/>
        <v>2024_Sep_101</v>
      </c>
      <c r="I15" s="12" t="str">
        <f t="shared" si="49"/>
        <v>https://doi.org/10.1145/3678591</v>
      </c>
      <c r="J15" s="7">
        <f>IF(D15:D61&lt;&gt;"", VALUE(REGEXEXTRACT(D15:D61, "(\d+)\s+pages")), )
</f>
        <v>48</v>
      </c>
      <c r="K15" s="6" t="s">
        <v>217</v>
      </c>
      <c r="L15" s="7" t="str">
        <f t="shared" si="52"/>
        <v>No</v>
      </c>
      <c r="M15" s="7" t="s">
        <v>33</v>
      </c>
      <c r="N15" s="7" t="s">
        <v>33</v>
      </c>
      <c r="O15" s="7" t="s">
        <v>34</v>
      </c>
      <c r="P15" s="10" t="s">
        <v>2031</v>
      </c>
      <c r="Q15" s="6" t="s">
        <v>2032</v>
      </c>
      <c r="R15" s="7" t="s">
        <v>33</v>
      </c>
      <c r="S15" s="7" t="s">
        <v>34</v>
      </c>
      <c r="T15" s="6"/>
      <c r="U15" s="6" t="s">
        <v>2033</v>
      </c>
      <c r="V15" s="7" t="s">
        <v>33</v>
      </c>
      <c r="W15" s="6" t="s">
        <v>2034</v>
      </c>
      <c r="X15" s="7" t="s">
        <v>34</v>
      </c>
      <c r="Y15" s="6" t="s">
        <v>2035</v>
      </c>
      <c r="Z15" s="7" t="s">
        <v>34</v>
      </c>
      <c r="AA15" s="6" t="s">
        <v>2036</v>
      </c>
      <c r="AB15" s="6" t="s">
        <v>2037</v>
      </c>
      <c r="AC15" s="6" t="s">
        <v>355</v>
      </c>
    </row>
    <row r="16" ht="22.5" customHeight="1">
      <c r="A16" s="11" t="str">
        <f>REGEXEXTRACT(D16, "\d{4}\.\s(.*?)\.\sProc\. ACM")"),"EasyAsk: An In-App Contextual Tutorial Search Assistant for Older Adults with Voice and Touch Inputs</f>
        <v xml:space="preserve">EasyAsk: An In-App Contextual Tutorial Search Assistant for Older Adults with Voice and Touch Inputs</v>
      </c>
      <c r="B16" s="7">
        <f t="shared" si="51"/>
        <v>102</v>
      </c>
      <c r="C16" s="8" t="s">
        <v>2038</v>
      </c>
      <c r="D16" s="6" t="s">
        <v>2039</v>
      </c>
      <c r="E16" s="9">
        <v>45974</v>
      </c>
      <c r="F16" s="7">
        <v>2024</v>
      </c>
      <c r="G16" s="7" t="s">
        <v>575</v>
      </c>
      <c r="H16" s="6" t="str">
        <f t="shared" si="48"/>
        <v>2024_Sep_102</v>
      </c>
      <c r="I16" s="12" t="str">
        <f t="shared" si="49"/>
        <v>https://doi.org/10.1145/3678516</v>
      </c>
      <c r="J16" s="7">
        <f>IF(D16:D61&lt;&gt;"", VALUE(REGEXEXTRACT(D16:D61, "(\d+)\s+pages")), )
</f>
        <v>27</v>
      </c>
      <c r="K16" s="6" t="s">
        <v>133</v>
      </c>
      <c r="L16" s="7" t="str">
        <f t="shared" si="52"/>
        <v>No</v>
      </c>
      <c r="M16" s="7" t="s">
        <v>33</v>
      </c>
      <c r="N16" s="7" t="s">
        <v>33</v>
      </c>
      <c r="O16" s="7" t="s">
        <v>34</v>
      </c>
      <c r="P16" s="6"/>
      <c r="Q16" s="6" t="s">
        <v>2040</v>
      </c>
      <c r="R16" s="7" t="s">
        <v>33</v>
      </c>
      <c r="S16" s="7" t="s">
        <v>34</v>
      </c>
      <c r="T16" s="6"/>
      <c r="U16" s="6" t="s">
        <v>2041</v>
      </c>
      <c r="V16" s="7" t="s">
        <v>34</v>
      </c>
      <c r="W16" s="6" t="s">
        <v>2042</v>
      </c>
      <c r="X16" s="7" t="s">
        <v>33</v>
      </c>
      <c r="Y16" s="6" t="s">
        <v>2043</v>
      </c>
      <c r="Z16" s="7" t="s">
        <v>34</v>
      </c>
      <c r="AA16" s="6" t="s">
        <v>2044</v>
      </c>
      <c r="AB16" s="6" t="s">
        <v>2045</v>
      </c>
      <c r="AC16" s="6" t="s">
        <v>355</v>
      </c>
    </row>
    <row r="17" ht="22.5" customHeight="1">
      <c r="A17" s="11" t="str">
        <f>REGEXEXTRACT(D17, "\d{4}\.\s(.*?)\.\sProc\. ACM")"),"ChatIoT: Zero-code Generation of Trigger-action Based IoT Programs</f>
        <v xml:space="preserve">ChatIoT: Zero-code Generation of Trigger-action Based IoT Programs</v>
      </c>
      <c r="B17" s="7">
        <f t="shared" si="51"/>
        <v>103</v>
      </c>
      <c r="C17" s="8" t="s">
        <v>2046</v>
      </c>
      <c r="D17" s="6" t="s">
        <v>2047</v>
      </c>
      <c r="E17" s="9">
        <v>45975</v>
      </c>
      <c r="F17" s="7">
        <v>2024</v>
      </c>
      <c r="G17" s="7" t="s">
        <v>575</v>
      </c>
      <c r="H17" s="6" t="str">
        <f t="shared" si="48"/>
        <v>2024_Sep_103</v>
      </c>
      <c r="I17" s="12" t="str">
        <f t="shared" si="49"/>
        <v>https://doi.org/10.1145/3678585</v>
      </c>
      <c r="J17" s="7">
        <f>IF(D17:D61&lt;&gt;"", VALUE(REGEXEXTRACT(D17:D61, "(\d+)\s+pages")), )
</f>
        <v>29</v>
      </c>
      <c r="K17" s="6" t="s">
        <v>133</v>
      </c>
      <c r="L17" s="7" t="str">
        <f t="shared" si="52"/>
        <v>No</v>
      </c>
      <c r="M17" s="7" t="s">
        <v>34</v>
      </c>
      <c r="N17" s="7" t="s">
        <v>33</v>
      </c>
      <c r="O17" s="7" t="s">
        <v>34</v>
      </c>
      <c r="P17" s="6"/>
      <c r="Q17" s="6" t="s">
        <v>2048</v>
      </c>
      <c r="R17" s="7" t="s">
        <v>33</v>
      </c>
      <c r="S17" s="7" t="s">
        <v>34</v>
      </c>
      <c r="T17" s="6"/>
      <c r="U17" s="6" t="s">
        <v>2049</v>
      </c>
      <c r="V17" s="7" t="s">
        <v>33</v>
      </c>
      <c r="W17" s="6" t="s">
        <v>2050</v>
      </c>
      <c r="X17" s="7" t="s">
        <v>33</v>
      </c>
      <c r="Y17" s="6" t="s">
        <v>2051</v>
      </c>
      <c r="Z17" s="7" t="s">
        <v>34</v>
      </c>
      <c r="AA17" s="6" t="s">
        <v>2052</v>
      </c>
      <c r="AB17" s="6" t="s">
        <v>2053</v>
      </c>
      <c r="AC17" s="6" t="s">
        <v>355</v>
      </c>
    </row>
    <row r="18" ht="22.5" customHeight="1">
      <c r="A18" s="11" t="str">
        <f>REGEXEXTRACT(D18, "\d{4}\.\s(.*?)\.\sProc\. ACM")"),"EarSpeech: Exploring In-Ear Occlusion Effect on Earphones for Data-efficient Airborne Speech Enhancement</f>
        <v xml:space="preserve">EarSpeech: Exploring In-Ear Occlusion Effect on Earphones for Data-efficient Airborne Speech Enhancement</v>
      </c>
      <c r="B18" s="7">
        <f t="shared" si="51"/>
        <v>104</v>
      </c>
      <c r="C18" s="8" t="s">
        <v>2054</v>
      </c>
      <c r="D18" s="6" t="s">
        <v>2055</v>
      </c>
      <c r="E18" s="9">
        <v>45975</v>
      </c>
      <c r="F18" s="7">
        <v>2024</v>
      </c>
      <c r="G18" s="7" t="s">
        <v>575</v>
      </c>
      <c r="H18" s="6" t="str">
        <f t="shared" si="48"/>
        <v>2024_Sep_104</v>
      </c>
      <c r="I18" s="12" t="str">
        <f t="shared" si="49"/>
        <v>https://doi.org/10.1145/3678594</v>
      </c>
      <c r="J18" s="7">
        <f>IF(D18:D61&lt;&gt;"", VALUE(REGEXEXTRACT(D18:D61, "(\d+)\s+pages")), )
</f>
        <v>30</v>
      </c>
      <c r="K18" s="6" t="s">
        <v>217</v>
      </c>
      <c r="L18" s="7" t="str">
        <f t="shared" si="52"/>
        <v>No</v>
      </c>
      <c r="M18" s="7" t="s">
        <v>34</v>
      </c>
      <c r="N18" s="7" t="s">
        <v>33</v>
      </c>
      <c r="O18" s="7" t="s">
        <v>33</v>
      </c>
      <c r="P18" s="12" t="s">
        <v>2056</v>
      </c>
      <c r="Q18" s="6" t="s">
        <v>2057</v>
      </c>
      <c r="R18" s="7" t="s">
        <v>33</v>
      </c>
      <c r="S18" s="7" t="s">
        <v>144</v>
      </c>
      <c r="T18" s="10" t="s">
        <v>2056</v>
      </c>
      <c r="U18" s="6" t="s">
        <v>2058</v>
      </c>
      <c r="V18" s="7" t="s">
        <v>33</v>
      </c>
      <c r="W18" s="6" t="s">
        <v>2059</v>
      </c>
      <c r="X18" s="7" t="s">
        <v>34</v>
      </c>
      <c r="Y18" s="6" t="s">
        <v>2060</v>
      </c>
      <c r="Z18" s="7" t="s">
        <v>34</v>
      </c>
      <c r="AA18" s="6" t="s">
        <v>2061</v>
      </c>
      <c r="AB18" s="6" t="s">
        <v>2062</v>
      </c>
      <c r="AC18" s="6" t="s">
        <v>355</v>
      </c>
    </row>
    <row r="19" ht="22.5" customHeight="1">
      <c r="A19" s="11" t="str">
        <f>REGEXEXTRACT(D19, "\d{4}\.\s(.*?)\.\sProc\. ACM")"),"Predicting Signal Reception Information from GNSS Satellites in Indoor Environments without Site Survey: Towards Opportunistic Indoor Positioning Based on GNSS Fingerprinting</f>
        <v xml:space="preserve">Predicting Signal Reception Information from GNSS Satellites in Indoor Environments without Site Survey: Towards Opportunistic Indoor Positioning Based on GNSS Fingerprinting</v>
      </c>
      <c r="B19" s="7">
        <f t="shared" si="51"/>
        <v>105</v>
      </c>
      <c r="C19" s="8" t="s">
        <v>2063</v>
      </c>
      <c r="D19" s="6" t="s">
        <v>2064</v>
      </c>
      <c r="E19" s="9">
        <v>45975</v>
      </c>
      <c r="F19" s="7">
        <v>2024</v>
      </c>
      <c r="G19" s="7" t="s">
        <v>575</v>
      </c>
      <c r="H19" s="6" t="str">
        <f t="shared" si="48"/>
        <v>2024_Sep_105</v>
      </c>
      <c r="I19" s="12" t="str">
        <f t="shared" si="49"/>
        <v>https://doi.org/10.1145/3678554</v>
      </c>
      <c r="J19" s="7">
        <f>IF(D19:D61&lt;&gt;"", VALUE(REGEXEXTRACT(D19:D61, "(\d+)\s+pages")), )
</f>
        <v>30</v>
      </c>
      <c r="K19" s="6" t="s">
        <v>64</v>
      </c>
      <c r="L19" s="7" t="str">
        <f t="shared" si="52"/>
        <v>No</v>
      </c>
      <c r="M19" s="7" t="s">
        <v>33</v>
      </c>
      <c r="N19" s="7" t="s">
        <v>33</v>
      </c>
      <c r="O19" s="7" t="s">
        <v>34</v>
      </c>
      <c r="P19" s="6"/>
      <c r="Q19" s="6" t="s">
        <v>2065</v>
      </c>
      <c r="R19" s="7" t="s">
        <v>33</v>
      </c>
      <c r="S19" s="7" t="s">
        <v>34</v>
      </c>
      <c r="T19" s="6"/>
      <c r="U19" s="6" t="s">
        <v>2066</v>
      </c>
      <c r="V19" s="7" t="s">
        <v>34</v>
      </c>
      <c r="W19" s="6" t="s">
        <v>2067</v>
      </c>
      <c r="X19" s="7" t="s">
        <v>33</v>
      </c>
      <c r="Y19" s="6" t="s">
        <v>2068</v>
      </c>
      <c r="Z19" s="7" t="s">
        <v>34</v>
      </c>
      <c r="AA19" s="6" t="s">
        <v>2069</v>
      </c>
      <c r="AB19" s="6" t="s">
        <v>2070</v>
      </c>
      <c r="AC19" s="6" t="s">
        <v>355</v>
      </c>
    </row>
    <row r="20" ht="22.5" customHeight="1">
      <c r="A20" s="11" t="str">
        <f>REGEXEXTRACT(D20, "\d{4}\.\s(.*?)\.\sProc\. ACM")"),"PilotAR: Streamlining Pilot Studies with OHMDs from Concept to Insight</f>
        <v xml:space="preserve">PilotAR: Streamlining Pilot Studies with OHMDs from Concept to Insight</v>
      </c>
      <c r="B20" s="7">
        <f t="shared" si="51"/>
        <v>106</v>
      </c>
      <c r="C20" s="8" t="s">
        <v>2071</v>
      </c>
      <c r="D20" s="6" t="s">
        <v>2072</v>
      </c>
      <c r="E20" s="9">
        <v>45975</v>
      </c>
      <c r="F20" s="7">
        <v>2024</v>
      </c>
      <c r="G20" s="7" t="s">
        <v>575</v>
      </c>
      <c r="H20" s="6" t="str">
        <f t="shared" si="48"/>
        <v>2024_Sep_106</v>
      </c>
      <c r="I20" s="12" t="str">
        <f t="shared" si="49"/>
        <v>https://doi.org/10.1145/3678576</v>
      </c>
      <c r="J20" s="7">
        <f>IF(D20:D61&lt;&gt;"", VALUE(REGEXEXTRACT(D20:D61, "(\d+)\s+pages")), )
</f>
        <v>35</v>
      </c>
      <c r="K20" s="6" t="s">
        <v>652</v>
      </c>
      <c r="L20" s="7" t="str">
        <f t="shared" si="52"/>
        <v>No</v>
      </c>
      <c r="M20" s="7" t="s">
        <v>33</v>
      </c>
      <c r="N20" s="7" t="s">
        <v>33</v>
      </c>
      <c r="O20" s="7" t="s">
        <v>33</v>
      </c>
      <c r="P20" s="10" t="s">
        <v>2073</v>
      </c>
      <c r="Q20" s="6" t="s">
        <v>2074</v>
      </c>
      <c r="R20" s="7" t="s">
        <v>34</v>
      </c>
      <c r="S20" s="7" t="s">
        <v>35</v>
      </c>
      <c r="T20" s="6"/>
      <c r="U20" s="6"/>
      <c r="V20" s="7" t="s">
        <v>33</v>
      </c>
      <c r="W20" s="6" t="s">
        <v>2075</v>
      </c>
      <c r="X20" s="7" t="s">
        <v>34</v>
      </c>
      <c r="Y20" s="6" t="s">
        <v>2076</v>
      </c>
      <c r="Z20" s="7" t="s">
        <v>33</v>
      </c>
      <c r="AA20" s="6" t="s">
        <v>2077</v>
      </c>
      <c r="AB20" s="6" t="s">
        <v>2078</v>
      </c>
      <c r="AC20" s="6" t="s">
        <v>355</v>
      </c>
    </row>
    <row r="21" ht="22.5" customHeight="1">
      <c r="A21" s="14" t="str">
        <f>REGEXEXTRACT(D21, "\d{4}\.\s(.*?)\.\sProc\. ACM")"),"HAIGEN: Towards Human-AI Collaboration for Facilitating Creativity and Style Generation in Fashion Design</f>
        <v xml:space="preserve">HAIGEN: Towards Human-AI Collaboration for Facilitating Creativity and Style Generation in Fashion Design</v>
      </c>
      <c r="B21" s="15">
        <f t="shared" si="51"/>
        <v>107</v>
      </c>
      <c r="C21" s="16" t="s">
        <v>2079</v>
      </c>
      <c r="D21" s="17" t="s">
        <v>2080</v>
      </c>
      <c r="E21" s="18">
        <v>45975</v>
      </c>
      <c r="F21" s="15">
        <v>2024</v>
      </c>
      <c r="G21" s="15" t="s">
        <v>575</v>
      </c>
      <c r="H21" s="17" t="str">
        <f t="shared" si="48"/>
        <v>2024_Sep_107</v>
      </c>
      <c r="I21" s="19" t="str">
        <f t="shared" si="49"/>
        <v>https://doi.org/10.1145/3678518</v>
      </c>
      <c r="J21" s="15">
        <f>IF(D21:D61&lt;&gt;"", VALUE(REGEXEXTRACT(D21:D61, "(\d+)\s+pages")), )
</f>
        <v>27</v>
      </c>
      <c r="K21" s="17" t="s">
        <v>133</v>
      </c>
      <c r="L21" s="15" t="str">
        <f t="shared" si="52"/>
        <v>No</v>
      </c>
      <c r="M21" s="15" t="s">
        <v>34</v>
      </c>
      <c r="N21" s="15" t="s">
        <v>33</v>
      </c>
      <c r="O21" s="15" t="s">
        <v>33</v>
      </c>
      <c r="P21" s="22" t="s">
        <v>2081</v>
      </c>
      <c r="Q21" s="17" t="s">
        <v>2082</v>
      </c>
      <c r="R21" s="15" t="s">
        <v>33</v>
      </c>
      <c r="S21" s="15" t="s">
        <v>33</v>
      </c>
      <c r="T21" s="17"/>
      <c r="U21" s="17" t="s">
        <v>2083</v>
      </c>
      <c r="V21" s="15" t="s">
        <v>33</v>
      </c>
      <c r="W21" s="17" t="s">
        <v>2084</v>
      </c>
      <c r="X21" s="15" t="s">
        <v>34</v>
      </c>
      <c r="Y21" s="17" t="s">
        <v>2085</v>
      </c>
      <c r="Z21" s="15" t="s">
        <v>33</v>
      </c>
      <c r="AA21" s="17" t="s">
        <v>2086</v>
      </c>
      <c r="AB21" s="17" t="s">
        <v>2087</v>
      </c>
      <c r="AC21" s="17" t="s">
        <v>355</v>
      </c>
    </row>
    <row r="22" ht="22.5" customHeight="1">
      <c r="A22" s="11" t="str">
        <f>REGEXEXTRACT(D22, "\d{4}\.\s(.*?)\.\sProc\. ACM")"),"AngleSizer: Enhancing Spatial Scale Perception for the Visually Impaired with an Interactive Smartphone Assistant</f>
        <v xml:space="preserve">AngleSizer: Enhancing Spatial Scale Perception for the Visually Impaired with an Interactive Smartphone Assistant</v>
      </c>
      <c r="B22" s="7">
        <f t="shared" si="51"/>
        <v>108</v>
      </c>
      <c r="C22" s="8" t="s">
        <v>2088</v>
      </c>
      <c r="D22" s="6" t="s">
        <v>2089</v>
      </c>
      <c r="E22" s="9">
        <v>45993</v>
      </c>
      <c r="F22" s="7">
        <v>2024</v>
      </c>
      <c r="G22" s="7" t="s">
        <v>575</v>
      </c>
      <c r="H22" s="6" t="str">
        <f t="shared" si="48"/>
        <v>2024_Sep_108</v>
      </c>
      <c r="I22" s="12" t="str">
        <f t="shared" si="49"/>
        <v>https://doi.org/10.1145/3678525</v>
      </c>
      <c r="J22" s="7">
        <f>IF(D22:D61&lt;&gt;"", VALUE(REGEXEXTRACT(D22:D61, "(\d+)\s+pages")), )
</f>
        <v>31</v>
      </c>
      <c r="K22" s="6" t="s">
        <v>652</v>
      </c>
      <c r="L22" s="7" t="str">
        <f t="shared" si="52"/>
        <v>No</v>
      </c>
      <c r="M22" s="7" t="s">
        <v>33</v>
      </c>
      <c r="N22" s="7" t="s">
        <v>33</v>
      </c>
      <c r="O22" s="7" t="s">
        <v>34</v>
      </c>
      <c r="P22" s="6"/>
      <c r="Q22" s="6"/>
      <c r="R22" s="7" t="s">
        <v>34</v>
      </c>
      <c r="S22" s="7" t="s">
        <v>34</v>
      </c>
      <c r="T22" s="6"/>
      <c r="U22" s="6"/>
      <c r="V22" s="7" t="s">
        <v>34</v>
      </c>
      <c r="W22" s="6" t="s">
        <v>124</v>
      </c>
      <c r="X22" s="7" t="s">
        <v>34</v>
      </c>
      <c r="Y22" s="13"/>
      <c r="Z22" s="7" t="s">
        <v>34</v>
      </c>
      <c r="AA22" s="6"/>
      <c r="AB22" s="6" t="s">
        <v>2090</v>
      </c>
      <c r="AC22" s="6" t="s">
        <v>39</v>
      </c>
    </row>
    <row r="23" ht="22.5" customHeight="1">
      <c r="A23" s="11" t="str">
        <f>REGEXEXTRACT(D23, "\d{4}\.\s(.*?)\.\sProc\. ACM")"),"TimelyTale: A Multimodal Dataset Approach to Assessing Passengers' Explanation Demands in Highly Automated Vehicles</f>
        <v xml:space="preserve">TimelyTale: A Multimodal Dataset Approach to Assessing Passengers' Explanation Demands in Highly Automated Vehicles</v>
      </c>
      <c r="B23" s="7">
        <f t="shared" si="51"/>
        <v>109</v>
      </c>
      <c r="C23" s="8" t="s">
        <v>2091</v>
      </c>
      <c r="D23" s="6" t="s">
        <v>2092</v>
      </c>
      <c r="E23" s="9">
        <v>45993</v>
      </c>
      <c r="F23" s="7">
        <v>2024</v>
      </c>
      <c r="G23" s="7" t="s">
        <v>575</v>
      </c>
      <c r="H23" s="6" t="str">
        <f t="shared" si="48"/>
        <v>2024_Sep_109</v>
      </c>
      <c r="I23" s="12" t="str">
        <f t="shared" si="49"/>
        <v>https://doi.org/10.1145/3678544</v>
      </c>
      <c r="J23" s="7">
        <f>IF(D23:D61&lt;&gt;"", VALUE(REGEXEXTRACT(D23:D61, "(\d+)\s+pages")), )
</f>
        <v>60</v>
      </c>
      <c r="K23" s="6" t="s">
        <v>243</v>
      </c>
      <c r="L23" s="7" t="str">
        <f>IF(REGEXMATCH(LOWER($A23),"(^|[^a-z])dataset(s)?([^a-z]|$)"),"Yes","No")"),"Yes</f>
        <v>Yes</v>
      </c>
      <c r="M23" s="7" t="s">
        <v>33</v>
      </c>
      <c r="N23" s="7" t="s">
        <v>33</v>
      </c>
      <c r="O23" s="7" t="s">
        <v>33</v>
      </c>
      <c r="P23" s="10" t="s">
        <v>2093</v>
      </c>
      <c r="Q23" s="6" t="s">
        <v>2094</v>
      </c>
      <c r="R23" s="7" t="s">
        <v>33</v>
      </c>
      <c r="S23" s="7" t="s">
        <v>33</v>
      </c>
      <c r="T23" s="10" t="s">
        <v>2095</v>
      </c>
      <c r="U23" s="6"/>
      <c r="V23" s="7" t="s">
        <v>33</v>
      </c>
      <c r="W23" s="6" t="s">
        <v>2096</v>
      </c>
      <c r="X23" s="7" t="s">
        <v>34</v>
      </c>
      <c r="Y23" s="13"/>
      <c r="Z23" s="7" t="s">
        <v>33</v>
      </c>
      <c r="AA23" s="6" t="s">
        <v>2097</v>
      </c>
      <c r="AB23" s="6" t="s">
        <v>2098</v>
      </c>
      <c r="AC23" s="6" t="s">
        <v>39</v>
      </c>
    </row>
    <row r="24" ht="22.5" customHeight="1">
      <c r="A24" s="11" t="str">
        <f>REGEXEXTRACT(D24, "\d{4}\.\s(.*?)\.\sProc\. ACM")"),"MediKnit: Soft Medical Making for Personalized and Clinician-Designed Wearable Devices for Hand Edema</f>
        <v xml:space="preserve">MediKnit: Soft Medical Making for Personalized and Clinician-Designed Wearable Devices for Hand Edema</v>
      </c>
      <c r="B24" s="7">
        <f t="shared" si="51"/>
        <v>110</v>
      </c>
      <c r="C24" s="8" t="s">
        <v>2099</v>
      </c>
      <c r="D24" s="6" t="s">
        <v>2100</v>
      </c>
      <c r="E24" s="9">
        <v>45993</v>
      </c>
      <c r="F24" s="7">
        <v>2024</v>
      </c>
      <c r="G24" s="7" t="s">
        <v>575</v>
      </c>
      <c r="H24" s="6" t="str">
        <f t="shared" si="48"/>
        <v>2024_Sep_110</v>
      </c>
      <c r="I24" s="12" t="str">
        <f t="shared" si="49"/>
        <v>https://doi.org/10.1145/3678504</v>
      </c>
      <c r="J24" s="7">
        <f>IF(D24:D61&lt;&gt;"", VALUE(REGEXEXTRACT(D24:D61, "(\d+)\s+pages")), )
</f>
        <v>30</v>
      </c>
      <c r="K24" s="6" t="s">
        <v>1093</v>
      </c>
      <c r="L24" s="7" t="str">
        <f t="shared" ref="L24:L61" si="53">IF(REGEXMATCH(LOWER($A24),"(^|[^a-z])dataset(s)?([^a-z]|$)"),"Yes","No")"),"No</f>
        <v>No</v>
      </c>
      <c r="M24" s="7" t="s">
        <v>34</v>
      </c>
      <c r="N24" s="7" t="s">
        <v>33</v>
      </c>
      <c r="O24" s="7" t="s">
        <v>34</v>
      </c>
      <c r="P24" s="6"/>
      <c r="Q24" s="6"/>
      <c r="R24" s="7" t="s">
        <v>34</v>
      </c>
      <c r="S24" s="7" t="s">
        <v>34</v>
      </c>
      <c r="T24" s="6"/>
      <c r="U24" s="6"/>
      <c r="V24" s="7" t="s">
        <v>33</v>
      </c>
      <c r="W24" s="6" t="s">
        <v>2101</v>
      </c>
      <c r="X24" s="7" t="s">
        <v>34</v>
      </c>
      <c r="Y24" s="13"/>
      <c r="Z24" s="7" t="s">
        <v>34</v>
      </c>
      <c r="AA24" s="6"/>
      <c r="AB24" s="6" t="s">
        <v>2102</v>
      </c>
      <c r="AC24" s="6" t="s">
        <v>39</v>
      </c>
    </row>
    <row r="25" ht="22.5" customHeight="1">
      <c r="A25" s="11" t="str">
        <f>REGEXEXTRACT(D25, "\d{4}\.\s(.*?)\.\sProc\. ACM")"),"Collecting Self-reported Physical Activity and Posture Data Using Audio-based Ecological Momentary Assessment</f>
        <v xml:space="preserve">Collecting Self-reported Physical Activity and Posture Data Using Audio-based Ecological Momentary Assessment</v>
      </c>
      <c r="B25" s="7">
        <f t="shared" si="51"/>
        <v>111</v>
      </c>
      <c r="C25" s="8" t="s">
        <v>2103</v>
      </c>
      <c r="D25" s="6" t="s">
        <v>2104</v>
      </c>
      <c r="E25" s="9">
        <v>45993</v>
      </c>
      <c r="F25" s="7">
        <v>2024</v>
      </c>
      <c r="G25" s="7" t="s">
        <v>575</v>
      </c>
      <c r="H25" s="6" t="str">
        <f t="shared" si="48"/>
        <v>2024_Sep_111</v>
      </c>
      <c r="I25" s="12" t="str">
        <f t="shared" si="49"/>
        <v>https://doi.org/10.1145/3678584</v>
      </c>
      <c r="J25" s="7">
        <f>IF(D25:D61&lt;&gt;"", VALUE(REGEXEXTRACT(D25:D61, "(\d+)\s+pages")), )
</f>
        <v>35</v>
      </c>
      <c r="K25" s="6" t="s">
        <v>32</v>
      </c>
      <c r="L25" s="7" t="str">
        <f t="shared" si="53"/>
        <v>No</v>
      </c>
      <c r="M25" s="7" t="s">
        <v>33</v>
      </c>
      <c r="N25" s="7" t="s">
        <v>33</v>
      </c>
      <c r="O25" s="7" t="s">
        <v>34</v>
      </c>
      <c r="P25" s="6"/>
      <c r="Q25" s="6" t="s">
        <v>2105</v>
      </c>
      <c r="R25" s="7" t="s">
        <v>34</v>
      </c>
      <c r="S25" s="7" t="s">
        <v>34</v>
      </c>
      <c r="T25" s="6"/>
      <c r="U25" s="6"/>
      <c r="V25" s="7" t="s">
        <v>33</v>
      </c>
      <c r="W25" s="6" t="s">
        <v>2106</v>
      </c>
      <c r="X25" s="7" t="s">
        <v>34</v>
      </c>
      <c r="Y25" s="13"/>
      <c r="Z25" s="7" t="s">
        <v>34</v>
      </c>
      <c r="AA25" s="6"/>
      <c r="AB25" s="6" t="s">
        <v>2107</v>
      </c>
      <c r="AC25" s="6" t="s">
        <v>39</v>
      </c>
    </row>
    <row r="26" ht="22.5" customHeight="1">
      <c r="A26" s="11" t="str">
        <f>REGEXEXTRACT(D26, "\d{4}\.\s(.*?)\.\sProc\. ACM")"),"IMUGPT 2.0: Language-Based Cross Modality Transfer for Sensor-Based Human Activity Recognition</f>
        <v xml:space="preserve">IMUGPT 2.0: Language-Based Cross Modality Transfer for Sensor-Based Human Activity Recognition</v>
      </c>
      <c r="B26" s="7">
        <f t="shared" si="51"/>
        <v>112</v>
      </c>
      <c r="C26" s="8" t="s">
        <v>2108</v>
      </c>
      <c r="D26" s="6" t="s">
        <v>2109</v>
      </c>
      <c r="E26" s="9">
        <v>45993</v>
      </c>
      <c r="F26" s="7">
        <v>2024</v>
      </c>
      <c r="G26" s="7" t="s">
        <v>575</v>
      </c>
      <c r="H26" s="6" t="str">
        <f t="shared" si="48"/>
        <v>2024_Sep_112</v>
      </c>
      <c r="I26" s="12" t="str">
        <f t="shared" si="49"/>
        <v>https://doi.org/10.1145/3678545</v>
      </c>
      <c r="J26" s="7">
        <f>IF(D26:D61&lt;&gt;"", VALUE(REGEXEXTRACT(D26:D61, "(\d+)\s+pages")), )
</f>
        <v>32</v>
      </c>
      <c r="K26" s="6" t="s">
        <v>71</v>
      </c>
      <c r="L26" s="7" t="str">
        <f t="shared" si="53"/>
        <v>No</v>
      </c>
      <c r="M26" s="7" t="s">
        <v>33</v>
      </c>
      <c r="N26" s="7" t="s">
        <v>33</v>
      </c>
      <c r="O26" s="7" t="s">
        <v>34</v>
      </c>
      <c r="P26" s="6"/>
      <c r="Q26" s="6"/>
      <c r="R26" s="7" t="s">
        <v>33</v>
      </c>
      <c r="S26" s="7" t="s">
        <v>144</v>
      </c>
      <c r="T26" s="6" t="s">
        <v>2110</v>
      </c>
      <c r="U26" s="6"/>
      <c r="V26" s="7" t="s">
        <v>34</v>
      </c>
      <c r="W26" s="6"/>
      <c r="X26" s="7" t="s">
        <v>33</v>
      </c>
      <c r="Y26" s="6" t="s">
        <v>2111</v>
      </c>
      <c r="Z26" s="7" t="s">
        <v>34</v>
      </c>
      <c r="AA26" s="6"/>
      <c r="AB26" s="6" t="s">
        <v>2112</v>
      </c>
      <c r="AC26" s="6" t="s">
        <v>39</v>
      </c>
    </row>
    <row r="27" ht="22.5" customHeight="1">
      <c r="A27" s="11" t="str">
        <f>REGEXEXTRACT(D27, "\d{4}\.\s(.*?)\.\sProc\. ACM")"),"SpaceBeat: Identity-aware Multi-person Vital Signs Monitoring Using Commodity WiFi</f>
        <v xml:space="preserve">SpaceBeat: Identity-aware Multi-person Vital Signs Monitoring Using Commodity WiFi</v>
      </c>
      <c r="B27" s="7">
        <f t="shared" si="51"/>
        <v>113</v>
      </c>
      <c r="C27" s="8" t="s">
        <v>2113</v>
      </c>
      <c r="D27" s="6" t="s">
        <v>2114</v>
      </c>
      <c r="E27" s="9">
        <v>45993</v>
      </c>
      <c r="F27" s="7">
        <v>2024</v>
      </c>
      <c r="G27" s="7" t="s">
        <v>575</v>
      </c>
      <c r="H27" s="6" t="str">
        <f t="shared" si="48"/>
        <v>2024_Sep_113</v>
      </c>
      <c r="I27" s="12" t="str">
        <f t="shared" si="49"/>
        <v>https://doi.org/10.1145/3678590</v>
      </c>
      <c r="J27" s="7">
        <f>IF(D27:D61&lt;&gt;"", VALUE(REGEXEXTRACT(D27:D61, "(\d+)\s+pages")), )
</f>
        <v>23</v>
      </c>
      <c r="K27" s="6" t="s">
        <v>71</v>
      </c>
      <c r="L27" s="7" t="str">
        <f t="shared" si="53"/>
        <v>No</v>
      </c>
      <c r="M27" s="7" t="s">
        <v>34</v>
      </c>
      <c r="N27" s="7" t="s">
        <v>33</v>
      </c>
      <c r="O27" s="7" t="s">
        <v>34</v>
      </c>
      <c r="P27" s="6"/>
      <c r="Q27" s="6"/>
      <c r="R27" s="7" t="s">
        <v>33</v>
      </c>
      <c r="S27" s="7" t="s">
        <v>34</v>
      </c>
      <c r="T27" s="6"/>
      <c r="U27" s="6"/>
      <c r="V27" s="7" t="s">
        <v>33</v>
      </c>
      <c r="W27" s="6" t="s">
        <v>2115</v>
      </c>
      <c r="X27" s="7" t="s">
        <v>34</v>
      </c>
      <c r="Y27" s="13"/>
      <c r="Z27" s="7" t="s">
        <v>34</v>
      </c>
      <c r="AA27" s="6"/>
      <c r="AB27" s="6" t="s">
        <v>2116</v>
      </c>
      <c r="AC27" s="6" t="s">
        <v>39</v>
      </c>
    </row>
    <row r="28" ht="22.5" customHeight="1">
      <c r="A28" s="11" t="str">
        <f>REGEXEXTRACT(D28, "\d{4}\.\s(.*?)\.\sProc\. ACM")"),"Hypnos: A Contactless Sleep Stage Monitoring System Using UWB Signals</f>
        <v xml:space="preserve">Hypnos: A Contactless Sleep Stage Monitoring System Using UWB Signals</v>
      </c>
      <c r="B28" s="7">
        <f t="shared" si="51"/>
        <v>114</v>
      </c>
      <c r="C28" s="8" t="s">
        <v>2117</v>
      </c>
      <c r="D28" s="6" t="s">
        <v>2118</v>
      </c>
      <c r="E28" s="9">
        <v>45993</v>
      </c>
      <c r="F28" s="7">
        <v>2024</v>
      </c>
      <c r="G28" s="7" t="s">
        <v>575</v>
      </c>
      <c r="H28" s="6" t="str">
        <f t="shared" si="48"/>
        <v>2024_Sep_114</v>
      </c>
      <c r="I28" s="12" t="str">
        <f t="shared" si="49"/>
        <v>https://doi.org/10.1145/3678581</v>
      </c>
      <c r="J28" s="7">
        <f>IF(D28:D61&lt;&gt;"", VALUE(REGEXEXTRACT(D28:D61, "(\d+)\s+pages")), )
</f>
        <v>27</v>
      </c>
      <c r="K28" s="6" t="s">
        <v>32</v>
      </c>
      <c r="L28" s="7" t="str">
        <f t="shared" si="53"/>
        <v>No</v>
      </c>
      <c r="M28" s="7" t="s">
        <v>33</v>
      </c>
      <c r="N28" s="7" t="s">
        <v>33</v>
      </c>
      <c r="O28" s="7" t="s">
        <v>34</v>
      </c>
      <c r="P28" s="6"/>
      <c r="Q28" s="6"/>
      <c r="R28" s="7" t="s">
        <v>33</v>
      </c>
      <c r="S28" s="7" t="s">
        <v>34</v>
      </c>
      <c r="T28" s="6"/>
      <c r="U28" s="6"/>
      <c r="V28" s="7" t="s">
        <v>33</v>
      </c>
      <c r="W28" s="6" t="s">
        <v>2119</v>
      </c>
      <c r="X28" s="7" t="s">
        <v>33</v>
      </c>
      <c r="Y28" s="6" t="s">
        <v>2120</v>
      </c>
      <c r="Z28" s="7" t="s">
        <v>34</v>
      </c>
      <c r="AA28" s="6"/>
      <c r="AB28" s="6" t="s">
        <v>2121</v>
      </c>
      <c r="AC28" s="6" t="s">
        <v>39</v>
      </c>
    </row>
    <row r="29" ht="22.5" customHeight="1">
      <c r="A29" s="11" t="str">
        <f>REGEXEXTRACT(D29, "\d{4}\.\s(.*?)\.\sProc\. ACM")"),"Pinning, Sorting, and Categorizing Notifications: A Mixed-methods Usage and Experience Study of Mobile Notification-management Features</f>
        <v xml:space="preserve">Pinning, Sorting, and Categorizing Notifications: A Mixed-methods Usage and Experience Study of Mobile Notification-management Features</v>
      </c>
      <c r="B29" s="7">
        <f t="shared" si="51"/>
        <v>115</v>
      </c>
      <c r="C29" s="8" t="s">
        <v>2122</v>
      </c>
      <c r="D29" s="6" t="s">
        <v>2123</v>
      </c>
      <c r="E29" s="9">
        <v>45993</v>
      </c>
      <c r="F29" s="7">
        <v>2024</v>
      </c>
      <c r="G29" s="7" t="s">
        <v>575</v>
      </c>
      <c r="H29" s="6" t="str">
        <f t="shared" si="48"/>
        <v>2024_Sep_115</v>
      </c>
      <c r="I29" s="12" t="str">
        <f t="shared" si="49"/>
        <v>https://doi.org/10.1145/3678579</v>
      </c>
      <c r="J29" s="7">
        <f>IF(D29:D61&lt;&gt;"", VALUE(REGEXEXTRACT(D29:D61, "(\d+)\s+pages")), )
</f>
        <v>27</v>
      </c>
      <c r="K29" s="6" t="s">
        <v>42</v>
      </c>
      <c r="L29" s="7" t="str">
        <f t="shared" si="53"/>
        <v>No</v>
      </c>
      <c r="M29" s="7" t="s">
        <v>34</v>
      </c>
      <c r="N29" s="7" t="s">
        <v>34</v>
      </c>
      <c r="O29" s="7" t="s">
        <v>35</v>
      </c>
      <c r="P29" s="6"/>
      <c r="Q29" s="6"/>
      <c r="R29" s="7" t="s">
        <v>34</v>
      </c>
      <c r="S29" s="7" t="s">
        <v>35</v>
      </c>
      <c r="T29" s="6"/>
      <c r="U29" s="6"/>
      <c r="V29" s="7" t="s">
        <v>35</v>
      </c>
      <c r="W29" s="6"/>
      <c r="X29" s="7" t="s">
        <v>35</v>
      </c>
      <c r="Y29" s="13"/>
      <c r="Z29" s="7" t="s">
        <v>35</v>
      </c>
      <c r="AA29" s="6"/>
      <c r="AB29" s="6"/>
      <c r="AC29" s="6" t="s">
        <v>39</v>
      </c>
    </row>
    <row r="30" ht="22.5" customHeight="1">
      <c r="A30" s="11" t="str">
        <f>REGEXEXTRACT(D30, "\d{4}\.\s(.*?)\.\sProc\. ACM")"),"Users' Perspectives on Multimodal Menstrual Tracking Using Consumer Health Devices</f>
        <v xml:space="preserve">Users' Perspectives on Multimodal Menstrual Tracking Using Consumer Health Devices</v>
      </c>
      <c r="B30" s="7">
        <f t="shared" si="51"/>
        <v>116</v>
      </c>
      <c r="C30" s="8" t="s">
        <v>2124</v>
      </c>
      <c r="D30" s="6" t="s">
        <v>2125</v>
      </c>
      <c r="E30" s="9">
        <v>45993</v>
      </c>
      <c r="F30" s="7">
        <v>2024</v>
      </c>
      <c r="G30" s="7" t="s">
        <v>575</v>
      </c>
      <c r="H30" s="6" t="str">
        <f t="shared" si="48"/>
        <v>2024_Sep_116</v>
      </c>
      <c r="I30" s="12" t="str">
        <f t="shared" si="49"/>
        <v>https://doi.org/10.1145/3678575</v>
      </c>
      <c r="J30" s="7">
        <f>IF(D30:D61&lt;&gt;"", VALUE(REGEXEXTRACT(D30:D61, "(\d+)\s+pages")), )
</f>
        <v>24</v>
      </c>
      <c r="K30" s="6" t="s">
        <v>42</v>
      </c>
      <c r="L30" s="7" t="str">
        <f t="shared" si="53"/>
        <v>No</v>
      </c>
      <c r="M30" s="7" t="s">
        <v>34</v>
      </c>
      <c r="N30" s="7" t="s">
        <v>34</v>
      </c>
      <c r="O30" s="7" t="s">
        <v>35</v>
      </c>
      <c r="P30" s="6"/>
      <c r="Q30" s="6"/>
      <c r="R30" s="7" t="s">
        <v>34</v>
      </c>
      <c r="S30" s="7" t="s">
        <v>35</v>
      </c>
      <c r="T30" s="6"/>
      <c r="U30" s="6"/>
      <c r="V30" s="7" t="s">
        <v>35</v>
      </c>
      <c r="W30" s="6"/>
      <c r="X30" s="7" t="s">
        <v>35</v>
      </c>
      <c r="Y30" s="13"/>
      <c r="Z30" s="7" t="s">
        <v>35</v>
      </c>
      <c r="AA30" s="6"/>
      <c r="AB30" s="6"/>
      <c r="AC30" s="6" t="s">
        <v>39</v>
      </c>
    </row>
    <row r="31" ht="22.5" customHeight="1">
      <c r="A31" s="14" t="str">
        <f>REGEXEXTRACT(D31, "\d{4}\.\s(.*?)\.\sProc\. ACM")"),"View-agnostic Human Exercise Cataloging with Single MmWave Radar</f>
        <v xml:space="preserve">View-agnostic Human Exercise Cataloging with Single MmWave Radar</v>
      </c>
      <c r="B31" s="15">
        <f t="shared" si="51"/>
        <v>117</v>
      </c>
      <c r="C31" s="16" t="s">
        <v>2126</v>
      </c>
      <c r="D31" s="17" t="s">
        <v>2127</v>
      </c>
      <c r="E31" s="18">
        <v>45993</v>
      </c>
      <c r="F31" s="15">
        <v>2024</v>
      </c>
      <c r="G31" s="15" t="s">
        <v>575</v>
      </c>
      <c r="H31" s="17" t="str">
        <f t="shared" si="48"/>
        <v>2024_Sep_117</v>
      </c>
      <c r="I31" s="19" t="str">
        <f t="shared" si="49"/>
        <v>https://doi.org/10.1145/3678512</v>
      </c>
      <c r="J31" s="15">
        <f>IF(D31:D61&lt;&gt;"", VALUE(REGEXEXTRACT(D31:D61, "(\d+)\s+pages")), )
</f>
        <v>23</v>
      </c>
      <c r="K31" s="17" t="s">
        <v>243</v>
      </c>
      <c r="L31" s="15" t="str">
        <f t="shared" si="53"/>
        <v>No</v>
      </c>
      <c r="M31" s="15" t="s">
        <v>33</v>
      </c>
      <c r="N31" s="15" t="s">
        <v>33</v>
      </c>
      <c r="O31" s="15" t="s">
        <v>33</v>
      </c>
      <c r="P31" s="22" t="s">
        <v>2128</v>
      </c>
      <c r="Q31" s="17"/>
      <c r="R31" s="15" t="s">
        <v>33</v>
      </c>
      <c r="S31" s="15" t="s">
        <v>33</v>
      </c>
      <c r="T31" s="22" t="s">
        <v>2129</v>
      </c>
      <c r="U31" s="17" t="s">
        <v>2130</v>
      </c>
      <c r="V31" s="15" t="s">
        <v>33</v>
      </c>
      <c r="W31" s="17" t="s">
        <v>2131</v>
      </c>
      <c r="X31" s="15" t="s">
        <v>34</v>
      </c>
      <c r="Y31" s="20"/>
      <c r="Z31" s="15" t="s">
        <v>33</v>
      </c>
      <c r="AA31" s="17" t="s">
        <v>2132</v>
      </c>
      <c r="AB31" s="17" t="s">
        <v>2133</v>
      </c>
      <c r="AC31" s="17" t="s">
        <v>39</v>
      </c>
    </row>
    <row r="32" ht="22.5" customHeight="1">
      <c r="A32" s="11" t="str">
        <f>REGEXEXTRACT(D32, "\d{4}\.\s(.*?)\.\sProc\. ACM")"),"SmartDampener: An Open Source Platform for Sport Analytics in Tennis</f>
        <v xml:space="preserve">SmartDampener: An Open Source Platform for Sport Analytics in Tennis</v>
      </c>
      <c r="B32" s="7">
        <f t="shared" si="51"/>
        <v>118</v>
      </c>
      <c r="C32" s="8" t="s">
        <v>2134</v>
      </c>
      <c r="D32" s="6" t="s">
        <v>2135</v>
      </c>
      <c r="E32" s="9">
        <v>46020</v>
      </c>
      <c r="F32" s="7">
        <v>2024</v>
      </c>
      <c r="G32" s="7" t="s">
        <v>575</v>
      </c>
      <c r="H32" s="6" t="str">
        <f t="shared" si="48"/>
        <v>2024_Sep_118</v>
      </c>
      <c r="I32" s="12" t="str">
        <f t="shared" si="49"/>
        <v>https://doi.org/10.1145/3678507</v>
      </c>
      <c r="J32" s="7">
        <f>IF(D32:D61&lt;&gt;"", VALUE(REGEXEXTRACT(D32:D61, "(\d+)\s+pages")), )
</f>
        <v>30</v>
      </c>
      <c r="K32" s="6" t="s">
        <v>348</v>
      </c>
      <c r="L32" s="7" t="str">
        <f t="shared" si="53"/>
        <v>No</v>
      </c>
      <c r="M32" s="7" t="s">
        <v>34</v>
      </c>
      <c r="N32" s="7" t="s">
        <v>33</v>
      </c>
      <c r="O32" s="7" t="s">
        <v>34</v>
      </c>
      <c r="P32" s="6"/>
      <c r="Q32" s="6"/>
      <c r="R32" s="7" t="s">
        <v>33</v>
      </c>
      <c r="S32" s="7" t="s">
        <v>34</v>
      </c>
      <c r="T32" s="6"/>
      <c r="U32" s="6"/>
      <c r="V32" s="7" t="s">
        <v>33</v>
      </c>
      <c r="W32" s="6" t="s">
        <v>2136</v>
      </c>
      <c r="X32" s="7" t="s">
        <v>34</v>
      </c>
      <c r="Y32" s="13"/>
      <c r="Z32" s="7" t="s">
        <v>34</v>
      </c>
      <c r="AA32" s="6"/>
      <c r="AB32" s="6" t="s">
        <v>2137</v>
      </c>
      <c r="AC32" s="6" t="s">
        <v>39</v>
      </c>
    </row>
    <row r="33" ht="22.5" customHeight="1">
      <c r="A33" s="11" t="str">
        <f>REGEXEXTRACT(D33, "\d{4}\.\s(.*?)\.\sProc\. ACM")"),"Hide-and-seek: Detecting Workers' Emotional Workload in Emotional Labor Contexts Using Multimodal Sensing</f>
        <v xml:space="preserve">Hide-and-seek: Detecting Workers' Emotional Workload in Emotional Labor Contexts Using Multimodal Sensing</v>
      </c>
      <c r="B33" s="7">
        <f t="shared" si="51"/>
        <v>119</v>
      </c>
      <c r="C33" s="8" t="s">
        <v>2138</v>
      </c>
      <c r="D33" s="6" t="s">
        <v>2139</v>
      </c>
      <c r="E33" s="9">
        <v>46020</v>
      </c>
      <c r="F33" s="7">
        <v>2024</v>
      </c>
      <c r="G33" s="7" t="s">
        <v>575</v>
      </c>
      <c r="H33" s="6" t="str">
        <f t="shared" si="48"/>
        <v>2024_Sep_119</v>
      </c>
      <c r="I33" s="12" t="str">
        <f t="shared" si="49"/>
        <v>https://doi.org/10.1145/3678593</v>
      </c>
      <c r="J33" s="7">
        <f>IF(D33:D61&lt;&gt;"", VALUE(REGEXEXTRACT(D33:D61, "(\d+)\s+pages")), )
</f>
        <v>28</v>
      </c>
      <c r="K33" s="6" t="s">
        <v>32</v>
      </c>
      <c r="L33" s="7" t="str">
        <f t="shared" si="53"/>
        <v>No</v>
      </c>
      <c r="M33" s="7" t="s">
        <v>33</v>
      </c>
      <c r="N33" s="7" t="s">
        <v>33</v>
      </c>
      <c r="O33" s="7" t="s">
        <v>34</v>
      </c>
      <c r="P33" s="6"/>
      <c r="Q33" s="6"/>
      <c r="R33" s="7" t="s">
        <v>33</v>
      </c>
      <c r="S33" s="7" t="s">
        <v>34</v>
      </c>
      <c r="T33" s="6"/>
      <c r="U33" s="6"/>
      <c r="V33" s="7" t="s">
        <v>34</v>
      </c>
      <c r="W33" s="6"/>
      <c r="X33" s="7" t="s">
        <v>34</v>
      </c>
      <c r="Y33" s="13"/>
      <c r="Z33" s="7" t="s">
        <v>34</v>
      </c>
      <c r="AA33" s="6"/>
      <c r="AB33" s="6" t="s">
        <v>2140</v>
      </c>
      <c r="AC33" s="6" t="s">
        <v>39</v>
      </c>
    </row>
    <row r="34" ht="22.5" customHeight="1">
      <c r="A34" s="11" t="str">
        <f>REGEXEXTRACT(D34, "\d{4}\.\s(.*?)\.\sProc\. ACM")"),"Parent and Educator Concerns on the Pedagogical Use of AI-Equipped Social Robots</f>
        <v xml:space="preserve">Parent and Educator Concerns on the Pedagogical Use of AI-Equipped Social Robots</v>
      </c>
      <c r="B34" s="7">
        <f t="shared" si="51"/>
        <v>120</v>
      </c>
      <c r="C34" s="8" t="s">
        <v>2141</v>
      </c>
      <c r="D34" s="6" t="s">
        <v>2142</v>
      </c>
      <c r="E34" s="9">
        <v>46020</v>
      </c>
      <c r="F34" s="7">
        <v>2024</v>
      </c>
      <c r="G34" s="7" t="s">
        <v>575</v>
      </c>
      <c r="H34" s="6" t="str">
        <f t="shared" si="48"/>
        <v>2024_Sep_120</v>
      </c>
      <c r="I34" s="12" t="str">
        <f t="shared" si="49"/>
        <v>https://doi.org/10.1145/3678556</v>
      </c>
      <c r="J34" s="7">
        <f>IF(D34:D61&lt;&gt;"", VALUE(REGEXEXTRACT(D34:D61, "(\d+)\s+pages")), )
</f>
        <v>34</v>
      </c>
      <c r="K34" s="6" t="s">
        <v>42</v>
      </c>
      <c r="L34" s="7" t="str">
        <f t="shared" si="53"/>
        <v>No</v>
      </c>
      <c r="M34" s="7" t="s">
        <v>34</v>
      </c>
      <c r="N34" s="7" t="s">
        <v>34</v>
      </c>
      <c r="O34" s="7" t="s">
        <v>35</v>
      </c>
      <c r="P34" s="6"/>
      <c r="Q34" s="6"/>
      <c r="R34" s="7" t="s">
        <v>34</v>
      </c>
      <c r="S34" s="7" t="s">
        <v>35</v>
      </c>
      <c r="T34" s="6"/>
      <c r="U34" s="6"/>
      <c r="V34" s="7" t="s">
        <v>35</v>
      </c>
      <c r="W34" s="6"/>
      <c r="X34" s="7" t="s">
        <v>35</v>
      </c>
      <c r="Y34" s="13"/>
      <c r="Z34" s="7" t="s">
        <v>35</v>
      </c>
      <c r="AA34" s="6"/>
      <c r="AB34" s="6"/>
      <c r="AC34" s="6" t="s">
        <v>39</v>
      </c>
    </row>
    <row r="35" ht="22.5" customHeight="1">
      <c r="A35" s="11" t="str">
        <f>REGEXEXTRACT(D35, "\d{4}\.\s(.*?)\.\sProc\. ACM")"),"Environment Texture Optimization for Augmented Reality</f>
        <v xml:space="preserve">Environment Texture Optimization for Augmented Reality</v>
      </c>
      <c r="B35" s="7">
        <f t="shared" si="51"/>
        <v>121</v>
      </c>
      <c r="C35" s="8" t="s">
        <v>2143</v>
      </c>
      <c r="D35" s="6" t="s">
        <v>2144</v>
      </c>
      <c r="E35" s="9">
        <v>46020</v>
      </c>
      <c r="F35" s="7">
        <v>2024</v>
      </c>
      <c r="G35" s="7" t="s">
        <v>575</v>
      </c>
      <c r="H35" s="6" t="str">
        <f t="shared" si="48"/>
        <v>2024_Sep_121</v>
      </c>
      <c r="I35" s="12" t="str">
        <f t="shared" si="49"/>
        <v>https://doi.org/10.1145/3678510</v>
      </c>
      <c r="J35" s="7">
        <f>IF(D35:D61&lt;&gt;"", VALUE(REGEXEXTRACT(D35:D61, "(\d+)\s+pages")), )
</f>
        <v>26</v>
      </c>
      <c r="K35" s="6" t="s">
        <v>133</v>
      </c>
      <c r="L35" s="7" t="str">
        <f t="shared" si="53"/>
        <v>No</v>
      </c>
      <c r="M35" s="7" t="s">
        <v>33</v>
      </c>
      <c r="N35" s="7" t="s">
        <v>33</v>
      </c>
      <c r="O35" s="7" t="s">
        <v>33</v>
      </c>
      <c r="P35" s="10" t="s">
        <v>2145</v>
      </c>
      <c r="Q35" s="6"/>
      <c r="R35" s="7" t="s">
        <v>34</v>
      </c>
      <c r="S35" s="7" t="s">
        <v>35</v>
      </c>
      <c r="T35" s="6"/>
      <c r="U35" s="6"/>
      <c r="V35" s="7" t="s">
        <v>33</v>
      </c>
      <c r="W35" s="6" t="s">
        <v>2146</v>
      </c>
      <c r="X35" s="7" t="s">
        <v>34</v>
      </c>
      <c r="Y35" s="13"/>
      <c r="Z35" s="7" t="s">
        <v>33</v>
      </c>
      <c r="AA35" s="6" t="s">
        <v>2147</v>
      </c>
      <c r="AB35" s="6" t="s">
        <v>2148</v>
      </c>
      <c r="AC35" s="6" t="s">
        <v>39</v>
      </c>
    </row>
    <row r="36" ht="22.5" customHeight="1">
      <c r="A36" s="11" t="str">
        <f>REGEXEXTRACT(D36, "\d{4}\.\s(.*?)\.\sProc\. ACM")"),"NeuroCamTags: Long-Range, Battery-free, Wireless Sensing with Neuromorphic Cameras</f>
        <v xml:space="preserve">NeuroCamTags: Long-Range, Battery-free, Wireless Sensing with Neuromorphic Cameras</v>
      </c>
      <c r="B36" s="7">
        <f t="shared" si="51"/>
        <v>122</v>
      </c>
      <c r="C36" s="8" t="s">
        <v>2149</v>
      </c>
      <c r="D36" s="6" t="s">
        <v>2150</v>
      </c>
      <c r="E36" s="9">
        <v>46024</v>
      </c>
      <c r="F36" s="7">
        <v>2024</v>
      </c>
      <c r="G36" s="7" t="s">
        <v>575</v>
      </c>
      <c r="H36" s="6" t="str">
        <f t="shared" si="48"/>
        <v>2024_Sep_122</v>
      </c>
      <c r="I36" s="12" t="str">
        <f t="shared" si="49"/>
        <v>https://doi.org/10.1145/3678529</v>
      </c>
      <c r="J36" s="7">
        <f>IF(D36:D61&lt;&gt;"", VALUE(REGEXEXTRACT(D36:D61, "(\d+)\s+pages")), )
</f>
        <v>25</v>
      </c>
      <c r="K36" s="6" t="s">
        <v>348</v>
      </c>
      <c r="L36" s="7" t="str">
        <f t="shared" si="53"/>
        <v>No</v>
      </c>
      <c r="M36" s="7" t="s">
        <v>33</v>
      </c>
      <c r="N36" s="7" t="s">
        <v>33</v>
      </c>
      <c r="O36" s="7" t="s">
        <v>34</v>
      </c>
      <c r="P36" s="6"/>
      <c r="Q36" s="6"/>
      <c r="R36" s="7" t="s">
        <v>34</v>
      </c>
      <c r="S36" s="7" t="s">
        <v>35</v>
      </c>
      <c r="T36" s="6"/>
      <c r="U36" s="6"/>
      <c r="V36" s="7" t="s">
        <v>33</v>
      </c>
      <c r="W36" s="6" t="s">
        <v>2151</v>
      </c>
      <c r="X36" s="7" t="s">
        <v>34</v>
      </c>
      <c r="Y36" s="13"/>
      <c r="Z36" s="7" t="s">
        <v>34</v>
      </c>
      <c r="AA36" s="6"/>
      <c r="AB36" s="6" t="s">
        <v>2152</v>
      </c>
      <c r="AC36" s="6" t="s">
        <v>39</v>
      </c>
    </row>
    <row r="37" ht="22.5" customHeight="1">
      <c r="A37" s="11" t="str">
        <f>REGEXEXTRACT(D37, "\d{4}\.\s(.*?)\.\sProc\. ACM")"),"StethoSpeech: Speech Generation Through a Clinical Stethoscope Attached to the Skin</f>
        <v xml:space="preserve">StethoSpeech: Speech Generation Through a Clinical Stethoscope Attached to the Skin</v>
      </c>
      <c r="B37" s="7">
        <f t="shared" si="51"/>
        <v>123</v>
      </c>
      <c r="C37" s="8" t="s">
        <v>2153</v>
      </c>
      <c r="D37" s="6" t="s">
        <v>2154</v>
      </c>
      <c r="E37" s="9">
        <v>46030</v>
      </c>
      <c r="F37" s="7">
        <v>2024</v>
      </c>
      <c r="G37" s="7" t="s">
        <v>575</v>
      </c>
      <c r="H37" s="6" t="str">
        <f t="shared" si="48"/>
        <v>2024_Sep_123</v>
      </c>
      <c r="I37" s="12" t="str">
        <f t="shared" si="49"/>
        <v>https://doi.org/10.1145/3678515</v>
      </c>
      <c r="J37" s="7">
        <f>IF(D37:D61&lt;&gt;"", VALUE(REGEXEXTRACT(D37:D61, "(\d+)\s+pages")), )
</f>
        <v>21</v>
      </c>
      <c r="K37" s="6" t="s">
        <v>209</v>
      </c>
      <c r="L37" s="7" t="str">
        <f t="shared" si="53"/>
        <v>No</v>
      </c>
      <c r="M37" s="7" t="s">
        <v>34</v>
      </c>
      <c r="N37" s="7" t="s">
        <v>33</v>
      </c>
      <c r="O37" s="7" t="s">
        <v>33</v>
      </c>
      <c r="P37" s="10" t="s">
        <v>2155</v>
      </c>
      <c r="Q37" s="6" t="s">
        <v>2156</v>
      </c>
      <c r="R37" s="7" t="s">
        <v>33</v>
      </c>
      <c r="S37" s="7" t="s">
        <v>33</v>
      </c>
      <c r="T37" s="10" t="s">
        <v>2155</v>
      </c>
      <c r="U37" s="6" t="s">
        <v>2157</v>
      </c>
      <c r="V37" s="7" t="s">
        <v>33</v>
      </c>
      <c r="W37" s="6" t="s">
        <v>2158</v>
      </c>
      <c r="X37" s="7" t="s">
        <v>34</v>
      </c>
      <c r="Y37" s="13"/>
      <c r="Z37" s="7" t="s">
        <v>33</v>
      </c>
      <c r="AA37" s="6" t="s">
        <v>2159</v>
      </c>
      <c r="AB37" s="6" t="s">
        <v>2160</v>
      </c>
      <c r="AC37" s="6" t="s">
        <v>39</v>
      </c>
    </row>
    <row r="38" ht="22.5" customHeight="1">
      <c r="A38" s="11" t="str">
        <f>REGEXEXTRACT(D38, "\d{4}\.\s(.*?)\.\sProc\. ACM")"),"Self-Supervised Representation Learning and Temporal-Spectral Feature Fusion for Bed Occupancy Detection</f>
        <v xml:space="preserve">Self-Supervised Representation Learning and Temporal-Spectral Feature Fusion for Bed Occupancy Detection</v>
      </c>
      <c r="B38" s="7">
        <f t="shared" si="51"/>
        <v>124</v>
      </c>
      <c r="C38" s="8" t="s">
        <v>2161</v>
      </c>
      <c r="D38" s="6" t="s">
        <v>2162</v>
      </c>
      <c r="E38" s="9">
        <v>46031</v>
      </c>
      <c r="F38" s="7">
        <v>2024</v>
      </c>
      <c r="G38" s="7" t="s">
        <v>575</v>
      </c>
      <c r="H38" s="6" t="str">
        <f t="shared" si="48"/>
        <v>2024_Sep_124</v>
      </c>
      <c r="I38" s="12" t="str">
        <f t="shared" si="49"/>
        <v>https://doi.org/10.1145/3678514</v>
      </c>
      <c r="J38" s="7">
        <f>IF(D38:D61&lt;&gt;"", VALUE(REGEXEXTRACT(D38:D61, "(\d+)\s+pages")), )
</f>
        <v>25</v>
      </c>
      <c r="K38" s="6" t="s">
        <v>45</v>
      </c>
      <c r="L38" s="7" t="str">
        <f t="shared" si="53"/>
        <v>No</v>
      </c>
      <c r="M38" s="7" t="s">
        <v>33</v>
      </c>
      <c r="N38" s="7" t="s">
        <v>33</v>
      </c>
      <c r="O38" s="7" t="s">
        <v>34</v>
      </c>
      <c r="P38" s="6"/>
      <c r="Q38" s="6"/>
      <c r="R38" s="7" t="s">
        <v>33</v>
      </c>
      <c r="S38" s="7" t="s">
        <v>34</v>
      </c>
      <c r="T38" s="6"/>
      <c r="U38" s="6"/>
      <c r="V38" s="7" t="s">
        <v>33</v>
      </c>
      <c r="W38" s="6" t="s">
        <v>2163</v>
      </c>
      <c r="X38" s="7" t="s">
        <v>34</v>
      </c>
      <c r="Y38" s="13"/>
      <c r="Z38" s="7" t="s">
        <v>34</v>
      </c>
      <c r="AA38" s="6"/>
      <c r="AB38" s="6" t="s">
        <v>2164</v>
      </c>
      <c r="AC38" s="6" t="s">
        <v>39</v>
      </c>
    </row>
    <row r="39" ht="22.5" customHeight="1">
      <c r="A39" s="11" t="str">
        <f>REGEXEXTRACT(D39, "\d{4}\.\s(.*?)\.\sProc\. ACM")"),"PuppetMouse: Practical and Contactless Mouse Manipulation Attack via Intentional Electromagnetic Interference Injection</f>
        <v xml:space="preserve">PuppetMouse: Practical and Contactless Mouse Manipulation Attack via Intentional Electromagnetic Interference Injection</v>
      </c>
      <c r="B39" s="7">
        <f t="shared" si="51"/>
        <v>125</v>
      </c>
      <c r="C39" s="8" t="s">
        <v>2165</v>
      </c>
      <c r="D39" s="6" t="s">
        <v>2166</v>
      </c>
      <c r="E39" s="9">
        <v>46031</v>
      </c>
      <c r="F39" s="7">
        <v>2024</v>
      </c>
      <c r="G39" s="7" t="s">
        <v>575</v>
      </c>
      <c r="H39" s="6" t="str">
        <f t="shared" si="48"/>
        <v>2024_Sep_125</v>
      </c>
      <c r="I39" s="12" t="str">
        <f t="shared" si="49"/>
        <v>https://doi.org/10.1145/3678570</v>
      </c>
      <c r="J39" s="7">
        <f>IF(D39:D61&lt;&gt;"", VALUE(REGEXEXTRACT(D39:D61, "(\d+)\s+pages")), )
</f>
        <v>30</v>
      </c>
      <c r="K39" s="6" t="s">
        <v>348</v>
      </c>
      <c r="L39" s="7" t="str">
        <f t="shared" si="53"/>
        <v>No</v>
      </c>
      <c r="M39" s="7" t="s">
        <v>34</v>
      </c>
      <c r="N39" s="7" t="s">
        <v>33</v>
      </c>
      <c r="O39" s="7" t="s">
        <v>34</v>
      </c>
      <c r="P39" s="6"/>
      <c r="Q39" s="6"/>
      <c r="R39" s="7" t="s">
        <v>34</v>
      </c>
      <c r="S39" s="7" t="s">
        <v>35</v>
      </c>
      <c r="T39" s="6"/>
      <c r="U39" s="6"/>
      <c r="V39" s="7" t="s">
        <v>33</v>
      </c>
      <c r="W39" s="6" t="s">
        <v>2167</v>
      </c>
      <c r="X39" s="7" t="s">
        <v>34</v>
      </c>
      <c r="Y39" s="13"/>
      <c r="Z39" s="7" t="s">
        <v>34</v>
      </c>
      <c r="AA39" s="6"/>
      <c r="AB39" s="6" t="s">
        <v>2168</v>
      </c>
      <c r="AC39" s="6" t="s">
        <v>39</v>
      </c>
    </row>
    <row r="40" ht="22.5" customHeight="1">
      <c r="A40" s="11" t="str">
        <f>REGEXEXTRACT(D40, "\d{4}\.\s(.*?)\.\sProc\. ACM")"),"Examining Psychological Conflict-Handling Strategies for Highly Automated Vehicles to Resolve Legal User-Vehicle Conflicts</f>
        <v xml:space="preserve">Examining Psychological Conflict-Handling Strategies for Highly Automated Vehicles to Resolve Legal User-Vehicle Conflicts</v>
      </c>
      <c r="B40" s="7">
        <f t="shared" si="51"/>
        <v>126</v>
      </c>
      <c r="C40" s="8" t="s">
        <v>2169</v>
      </c>
      <c r="D40" s="6" t="s">
        <v>2170</v>
      </c>
      <c r="E40" s="9">
        <v>46031</v>
      </c>
      <c r="F40" s="7">
        <v>2024</v>
      </c>
      <c r="G40" s="7" t="s">
        <v>575</v>
      </c>
      <c r="H40" s="6" t="str">
        <f t="shared" si="48"/>
        <v>2024_Sep_126</v>
      </c>
      <c r="I40" s="12" t="str">
        <f t="shared" si="49"/>
        <v>https://doi.org/10.1145/3678511</v>
      </c>
      <c r="J40" s="7">
        <f>IF(D40:D61&lt;&gt;"", VALUE(REGEXEXTRACT(D40:D61, "(\d+)\s+pages")), )
</f>
        <v>25</v>
      </c>
      <c r="K40" s="6" t="s">
        <v>42</v>
      </c>
      <c r="L40" s="7" t="str">
        <f t="shared" si="53"/>
        <v>No</v>
      </c>
      <c r="M40" s="7" t="s">
        <v>33</v>
      </c>
      <c r="N40" s="7" t="s">
        <v>34</v>
      </c>
      <c r="O40" s="7" t="s">
        <v>35</v>
      </c>
      <c r="P40" s="6"/>
      <c r="Q40" s="6"/>
      <c r="R40" s="7" t="s">
        <v>34</v>
      </c>
      <c r="S40" s="7" t="s">
        <v>35</v>
      </c>
      <c r="T40" s="10" t="s">
        <v>2171</v>
      </c>
      <c r="U40" s="6" t="s">
        <v>2172</v>
      </c>
      <c r="V40" s="7" t="s">
        <v>35</v>
      </c>
      <c r="W40" s="6"/>
      <c r="X40" s="7" t="s">
        <v>35</v>
      </c>
      <c r="Y40" s="13"/>
      <c r="Z40" s="7" t="s">
        <v>35</v>
      </c>
      <c r="AA40" s="6"/>
      <c r="AB40" s="6"/>
      <c r="AC40" s="6" t="s">
        <v>39</v>
      </c>
    </row>
    <row r="41" ht="22.5" customHeight="1">
      <c r="A41" s="14" t="str">
        <f>REGEXEXTRACT(D41, "\d{4}\.\s(.*?)\.\sProc\. ACM")"),"Move, Connect, Interact: Introducing a Design Space for Cross-Traffic Interaction</f>
        <v xml:space="preserve">Move, Connect, Interact: Introducing a Design Space for Cross-Traffic Interaction</v>
      </c>
      <c r="B41" s="15">
        <f t="shared" si="51"/>
        <v>127</v>
      </c>
      <c r="C41" s="16" t="s">
        <v>2173</v>
      </c>
      <c r="D41" s="17" t="s">
        <v>2174</v>
      </c>
      <c r="E41" s="18">
        <v>46031</v>
      </c>
      <c r="F41" s="15">
        <v>2024</v>
      </c>
      <c r="G41" s="15" t="s">
        <v>575</v>
      </c>
      <c r="H41" s="17" t="str">
        <f t="shared" si="48"/>
        <v>2024_Sep_127</v>
      </c>
      <c r="I41" s="19" t="str">
        <f t="shared" si="49"/>
        <v>https://doi.org/10.1145/3678580</v>
      </c>
      <c r="J41" s="15">
        <f>IF(D41:D61&lt;&gt;"", VALUE(REGEXEXTRACT(D41:D61, "(\d+)\s+pages")), )
</f>
        <v>40</v>
      </c>
      <c r="K41" s="17" t="s">
        <v>2175</v>
      </c>
      <c r="L41" s="15" t="str">
        <f t="shared" si="53"/>
        <v>No</v>
      </c>
      <c r="M41" s="15" t="s">
        <v>33</v>
      </c>
      <c r="N41" s="15" t="s">
        <v>34</v>
      </c>
      <c r="O41" s="15" t="s">
        <v>35</v>
      </c>
      <c r="P41" s="17"/>
      <c r="Q41" s="17"/>
      <c r="R41" s="15" t="s">
        <v>34</v>
      </c>
      <c r="S41" s="15" t="s">
        <v>35</v>
      </c>
      <c r="T41" s="17"/>
      <c r="U41" s="17"/>
      <c r="V41" s="15" t="s">
        <v>35</v>
      </c>
      <c r="W41" s="17"/>
      <c r="X41" s="15" t="s">
        <v>35</v>
      </c>
      <c r="Y41" s="20"/>
      <c r="Z41" s="15" t="s">
        <v>35</v>
      </c>
      <c r="AA41" s="17"/>
      <c r="AB41" s="17"/>
      <c r="AC41" s="17" t="s">
        <v>39</v>
      </c>
    </row>
    <row r="42" ht="22.5" customHeight="1">
      <c r="A42" s="11" t="str">
        <f>REGEXEXTRACT(D42, "\d{4}\.\s(.*?)\.\sProc\. ACM")"),"EyeGesener: Eye Gesture Listener for Smart Glasses Interaction Using Acoustic Sensing</f>
        <v xml:space="preserve">EyeGesener: Eye Gesture Listener for Smart Glasses Interaction Using Acoustic Sensing</v>
      </c>
      <c r="B42" s="7">
        <f t="shared" si="51"/>
        <v>128</v>
      </c>
      <c r="C42" s="8" t="s">
        <v>2176</v>
      </c>
      <c r="D42" s="6" t="s">
        <v>2177</v>
      </c>
      <c r="E42" s="9">
        <v>46036</v>
      </c>
      <c r="F42" s="7">
        <v>2024</v>
      </c>
      <c r="G42" s="7" t="s">
        <v>575</v>
      </c>
      <c r="H42" s="6" t="str">
        <f t="shared" si="48"/>
        <v>2024_Sep_128</v>
      </c>
      <c r="I42" s="12" t="str">
        <f t="shared" si="49"/>
        <v>https://doi.org/10.1145/3678541</v>
      </c>
      <c r="J42" s="7">
        <f>IF(D42:D61&lt;&gt;"", VALUE(REGEXEXTRACT(D42:D61, "(\d+)\s+pages")), )
</f>
        <v>28</v>
      </c>
      <c r="K42" s="6" t="s">
        <v>133</v>
      </c>
      <c r="L42" s="7" t="str">
        <f t="shared" si="53"/>
        <v>No</v>
      </c>
      <c r="M42" s="7" t="s">
        <v>34</v>
      </c>
      <c r="N42" s="7" t="s">
        <v>33</v>
      </c>
      <c r="O42" s="7" t="s">
        <v>34</v>
      </c>
      <c r="P42" s="6"/>
      <c r="Q42" s="6"/>
      <c r="R42" s="7" t="s">
        <v>33</v>
      </c>
      <c r="S42" s="7" t="s">
        <v>34</v>
      </c>
      <c r="T42" s="6"/>
      <c r="U42" s="6"/>
      <c r="V42" s="7" t="s">
        <v>33</v>
      </c>
      <c r="W42" s="6" t="s">
        <v>2178</v>
      </c>
      <c r="X42" s="7" t="s">
        <v>33</v>
      </c>
      <c r="Y42" s="6" t="s">
        <v>2179</v>
      </c>
      <c r="Z42" s="7" t="s">
        <v>34</v>
      </c>
      <c r="AA42" s="6"/>
      <c r="AB42" s="6" t="s">
        <v>2180</v>
      </c>
      <c r="AC42" s="6" t="s">
        <v>181</v>
      </c>
    </row>
    <row r="43" ht="22.5" customHeight="1">
      <c r="A43" s="11" t="str">
        <f>REGEXEXTRACT(D43, "\d{4}\.\s(.*?)\.\sProc\. ACM")"),"Beyond "Taming Electric Scooters": Disentangling Understandings of Micromobility Naturalistic Riding</f>
        <v xml:space="preserve">Beyond "Taming Electric Scooters": Disentangling Understandings of Micromobility Naturalistic Riding</v>
      </c>
      <c r="B43" s="7">
        <f t="shared" si="51"/>
        <v>129</v>
      </c>
      <c r="C43" s="8" t="s">
        <v>2181</v>
      </c>
      <c r="D43" s="6" t="s">
        <v>2182</v>
      </c>
      <c r="E43" s="9">
        <v>46036</v>
      </c>
      <c r="F43" s="7">
        <v>2024</v>
      </c>
      <c r="G43" s="7" t="s">
        <v>575</v>
      </c>
      <c r="H43" s="6" t="str">
        <f t="shared" si="48"/>
        <v>2024_Sep_129</v>
      </c>
      <c r="I43" s="12" t="str">
        <f t="shared" si="49"/>
        <v>https://doi.org/10.1145/3678513</v>
      </c>
      <c r="J43" s="7">
        <f>IF(D43:D61&lt;&gt;"", VALUE(REGEXEXTRACT(D43:D61, "(\d+)\s+pages")), )
</f>
        <v>24</v>
      </c>
      <c r="K43" s="6" t="s">
        <v>133</v>
      </c>
      <c r="L43" s="7" t="str">
        <f t="shared" si="53"/>
        <v>No</v>
      </c>
      <c r="M43" s="7" t="s">
        <v>34</v>
      </c>
      <c r="N43" s="7" t="s">
        <v>33</v>
      </c>
      <c r="O43" s="7" t="s">
        <v>34</v>
      </c>
      <c r="P43" s="6"/>
      <c r="Q43" s="6"/>
      <c r="R43" s="7" t="s">
        <v>33</v>
      </c>
      <c r="S43" s="7" t="s">
        <v>34</v>
      </c>
      <c r="T43" s="6"/>
      <c r="U43" s="6"/>
      <c r="V43" s="7" t="s">
        <v>33</v>
      </c>
      <c r="W43" s="6" t="s">
        <v>2183</v>
      </c>
      <c r="X43" s="7" t="s">
        <v>33</v>
      </c>
      <c r="Y43" s="6" t="s">
        <v>2184</v>
      </c>
      <c r="Z43" s="7" t="s">
        <v>34</v>
      </c>
      <c r="AA43" s="6"/>
      <c r="AB43" s="6" t="s">
        <v>2185</v>
      </c>
      <c r="AC43" s="3">
        <v>2</v>
      </c>
    </row>
    <row r="44" ht="22.5" customHeight="1">
      <c r="A44" s="11" t="str">
        <f>REGEXEXTRACT(D44, "\d{4}\.\s(.*?)\.\sProc\. ACM")"),"Evaluating Autonomous Vehicle External Communication Using a Multi-Pedestrian VR Simulator</f>
        <v xml:space="preserve">Evaluating Autonomous Vehicle External Communication Using a Multi-Pedestrian VR Simulator</v>
      </c>
      <c r="B44" s="7">
        <f t="shared" si="51"/>
        <v>130</v>
      </c>
      <c r="C44" s="8" t="s">
        <v>2186</v>
      </c>
      <c r="D44" s="6" t="s">
        <v>2187</v>
      </c>
      <c r="E44" s="9">
        <v>46036</v>
      </c>
      <c r="F44" s="7">
        <v>2024</v>
      </c>
      <c r="G44" s="7" t="s">
        <v>575</v>
      </c>
      <c r="H44" s="6" t="str">
        <f t="shared" si="48"/>
        <v>2024_Sep_130</v>
      </c>
      <c r="I44" s="12" t="str">
        <f t="shared" si="49"/>
        <v>https://doi.org/10.1145/3678506</v>
      </c>
      <c r="J44" s="7">
        <f>IF(D44:D61&lt;&gt;"", VALUE(REGEXEXTRACT(D44:D61, "(\d+)\s+pages")), )
</f>
        <v>26</v>
      </c>
      <c r="K44" s="6" t="s">
        <v>2188</v>
      </c>
      <c r="L44" s="7" t="str">
        <f t="shared" si="53"/>
        <v>No</v>
      </c>
      <c r="M44" s="7" t="s">
        <v>33</v>
      </c>
      <c r="N44" s="7" t="s">
        <v>33</v>
      </c>
      <c r="O44" s="7" t="s">
        <v>144</v>
      </c>
      <c r="P44" s="10" t="s">
        <v>2189</v>
      </c>
      <c r="Q44" s="6" t="s">
        <v>2190</v>
      </c>
      <c r="R44" s="7" t="s">
        <v>33</v>
      </c>
      <c r="S44" s="7" t="s">
        <v>34</v>
      </c>
      <c r="T44" s="6"/>
      <c r="U44" s="6"/>
      <c r="V44" s="7" t="s">
        <v>33</v>
      </c>
      <c r="W44" s="6" t="s">
        <v>2191</v>
      </c>
      <c r="X44" s="7" t="s">
        <v>33</v>
      </c>
      <c r="Y44" s="10" t="s">
        <v>2192</v>
      </c>
      <c r="Z44" s="7" t="s">
        <v>34</v>
      </c>
      <c r="AA44" s="6"/>
      <c r="AB44" s="6" t="s">
        <v>2193</v>
      </c>
      <c r="AC44" s="6" t="s">
        <v>181</v>
      </c>
    </row>
    <row r="45" ht="22.5" customHeight="1">
      <c r="A45" s="11" t="str">
        <f>REGEXEXTRACT(D45, "\d{4}\.\s(.*?)\.\sProc\. ACM")"),"EStatiG: Wearable Haptic Feedback with Multi-Phalanx Electrostatic Brake for Enhanced Object Perception in VR</f>
        <v xml:space="preserve">EStatiG: Wearable Haptic Feedback with Multi-Phalanx Electrostatic Brake for Enhanced Object Perception in VR</v>
      </c>
      <c r="B45" s="7">
        <f t="shared" si="51"/>
        <v>131</v>
      </c>
      <c r="C45" s="8" t="s">
        <v>2194</v>
      </c>
      <c r="D45" s="6" t="s">
        <v>2195</v>
      </c>
      <c r="E45" s="9">
        <v>46036</v>
      </c>
      <c r="F45" s="7">
        <v>2024</v>
      </c>
      <c r="G45" s="7" t="s">
        <v>575</v>
      </c>
      <c r="H45" s="6" t="str">
        <f t="shared" si="48"/>
        <v>2024_Sep_131</v>
      </c>
      <c r="I45" s="12" t="str">
        <f t="shared" si="49"/>
        <v>https://doi.org/10.1145/3678567</v>
      </c>
      <c r="J45" s="7">
        <f>IF(D45:D61&lt;&gt;"", VALUE(REGEXEXTRACT(D45:D61, "(\d+)\s+pages")), )
</f>
        <v>29</v>
      </c>
      <c r="K45" s="6" t="s">
        <v>348</v>
      </c>
      <c r="L45" s="7" t="str">
        <f t="shared" si="53"/>
        <v>No</v>
      </c>
      <c r="M45" s="7" t="s">
        <v>33</v>
      </c>
      <c r="N45" s="7" t="s">
        <v>34</v>
      </c>
      <c r="O45" s="7" t="s">
        <v>35</v>
      </c>
      <c r="P45" s="6"/>
      <c r="Q45" s="6"/>
      <c r="R45" s="7" t="s">
        <v>33</v>
      </c>
      <c r="S45" s="7" t="s">
        <v>34</v>
      </c>
      <c r="T45" s="6"/>
      <c r="U45" s="6" t="s">
        <v>2196</v>
      </c>
      <c r="V45" s="7" t="s">
        <v>33</v>
      </c>
      <c r="W45" s="6" t="s">
        <v>2197</v>
      </c>
      <c r="X45" s="7" t="s">
        <v>34</v>
      </c>
      <c r="Y45" s="6"/>
      <c r="Z45" s="7" t="s">
        <v>34</v>
      </c>
      <c r="AA45" s="6"/>
      <c r="AB45" s="6" t="s">
        <v>2198</v>
      </c>
      <c r="AC45" s="6" t="s">
        <v>181</v>
      </c>
    </row>
    <row r="46" ht="22.5" customHeight="1">
      <c r="A46" s="11" t="str">
        <f>REGEXEXTRACT(D46, "\d{4}\.\s(.*?)\.\sProc\. ACM")"),"ChromaFlash: Snapshot Hyperspectral Imaging Using Rolling Shutter Cameras</f>
        <v xml:space="preserve">ChromaFlash: Snapshot Hyperspectral Imaging Using Rolling Shutter Cameras</v>
      </c>
      <c r="B46" s="7">
        <f t="shared" si="51"/>
        <v>132</v>
      </c>
      <c r="C46" s="8" t="s">
        <v>2199</v>
      </c>
      <c r="D46" s="6" t="s">
        <v>2200</v>
      </c>
      <c r="E46" s="9">
        <v>46092</v>
      </c>
      <c r="F46" s="7">
        <v>2024</v>
      </c>
      <c r="G46" s="7" t="s">
        <v>575</v>
      </c>
      <c r="H46" s="6" t="str">
        <f t="shared" si="48"/>
        <v>2024_Sep_132</v>
      </c>
      <c r="I46" s="12" t="str">
        <f t="shared" si="49"/>
        <v>https://doi.org/10.1145/3678582</v>
      </c>
      <c r="J46" s="7">
        <f>IF(D46:D61&lt;&gt;"", VALUE(REGEXEXTRACT(D46:D61, "(\d+)\s+pages")), )
</f>
        <v>31</v>
      </c>
      <c r="K46" s="6" t="s">
        <v>64</v>
      </c>
      <c r="L46" s="7" t="str">
        <f t="shared" si="53"/>
        <v>No</v>
      </c>
      <c r="M46" s="7" t="s">
        <v>34</v>
      </c>
      <c r="N46" s="7" t="s">
        <v>33</v>
      </c>
      <c r="O46" s="7" t="s">
        <v>34</v>
      </c>
      <c r="P46" s="10" t="s">
        <v>2201</v>
      </c>
      <c r="Q46" s="6" t="s">
        <v>2202</v>
      </c>
      <c r="R46" s="7" t="s">
        <v>33</v>
      </c>
      <c r="S46" s="7" t="s">
        <v>144</v>
      </c>
      <c r="T46" s="10" t="s">
        <v>2203</v>
      </c>
      <c r="U46" s="10" t="s">
        <v>2204</v>
      </c>
      <c r="V46" s="7" t="s">
        <v>33</v>
      </c>
      <c r="W46" s="6" t="s">
        <v>2205</v>
      </c>
      <c r="X46" s="7" t="s">
        <v>33</v>
      </c>
      <c r="Y46" s="6" t="s">
        <v>2206</v>
      </c>
      <c r="Z46" s="7" t="s">
        <v>34</v>
      </c>
      <c r="AA46" s="6"/>
      <c r="AB46" s="6" t="s">
        <v>2207</v>
      </c>
      <c r="AC46" s="6" t="s">
        <v>181</v>
      </c>
    </row>
    <row r="47" ht="22.5" customHeight="1">
      <c r="A47" s="11" t="str">
        <f>REGEXEXTRACT(D47, "\d{4}\.\s(.*?)\.\sProc\. ACM")"),"MRehab: A Mixed Reality Rehabilitation System Supporting Integrated Speech and Hand Training</f>
        <v xml:space="preserve">MRehab: A Mixed Reality Rehabilitation System Supporting Integrated Speech and Hand Training</v>
      </c>
      <c r="B47" s="7">
        <f t="shared" si="51"/>
        <v>133</v>
      </c>
      <c r="C47" s="8" t="s">
        <v>2208</v>
      </c>
      <c r="D47" s="6" t="s">
        <v>2209</v>
      </c>
      <c r="E47" s="9">
        <v>46092</v>
      </c>
      <c r="F47" s="7">
        <v>2024</v>
      </c>
      <c r="G47" s="7" t="s">
        <v>575</v>
      </c>
      <c r="H47" s="6" t="str">
        <f t="shared" si="48"/>
        <v>2024_Sep_133</v>
      </c>
      <c r="I47" s="12" t="str">
        <f t="shared" si="49"/>
        <v>https://doi.org/10.1145/3678532</v>
      </c>
      <c r="J47" s="7">
        <f>IF(D47:D61&lt;&gt;"", VALUE(REGEXEXTRACT(D47:D61, "(\d+)\s+pages")), )
</f>
        <v>23</v>
      </c>
      <c r="K47" s="6" t="s">
        <v>652</v>
      </c>
      <c r="L47" s="7" t="str">
        <f t="shared" si="53"/>
        <v>No</v>
      </c>
      <c r="M47" s="7" t="s">
        <v>34</v>
      </c>
      <c r="N47" s="7" t="s">
        <v>33</v>
      </c>
      <c r="O47" s="7" t="s">
        <v>34</v>
      </c>
      <c r="P47" s="6"/>
      <c r="Q47" s="6" t="s">
        <v>2210</v>
      </c>
      <c r="R47" s="7" t="s">
        <v>34</v>
      </c>
      <c r="S47" s="7" t="s">
        <v>35</v>
      </c>
      <c r="T47" s="6"/>
      <c r="U47" s="6"/>
      <c r="V47" s="7" t="s">
        <v>33</v>
      </c>
      <c r="W47" s="6" t="s">
        <v>2211</v>
      </c>
      <c r="X47" s="7" t="s">
        <v>33</v>
      </c>
      <c r="Y47" s="6" t="s">
        <v>2212</v>
      </c>
      <c r="Z47" s="7" t="s">
        <v>34</v>
      </c>
      <c r="AA47" s="6"/>
      <c r="AB47" s="6" t="s">
        <v>2213</v>
      </c>
      <c r="AC47" s="6" t="s">
        <v>181</v>
      </c>
    </row>
    <row r="48" ht="22.5" customHeight="1">
      <c r="A48" s="11" t="str">
        <f>REGEXEXTRACT(D48, "\d{4}\.\s(.*?)\.\sProc\. ACM")"),"RDGait: A mmWave Based Gait User Recognition System for Complex Indoor Environments Using Single-chip Radar</f>
        <v xml:space="preserve">RDGait: A mmWave Based Gait User Recognition System for Complex Indoor Environments Using Single-chip Radar</v>
      </c>
      <c r="B48" s="7">
        <f t="shared" si="51"/>
        <v>134</v>
      </c>
      <c r="C48" s="8" t="s">
        <v>2214</v>
      </c>
      <c r="D48" s="6" t="s">
        <v>2215</v>
      </c>
      <c r="E48" s="9">
        <v>46092</v>
      </c>
      <c r="F48" s="7">
        <v>2024</v>
      </c>
      <c r="G48" s="7" t="s">
        <v>575</v>
      </c>
      <c r="H48" s="6" t="str">
        <f t="shared" si="48"/>
        <v>2024_Sep_134</v>
      </c>
      <c r="I48" s="12" t="str">
        <f t="shared" si="49"/>
        <v>https://doi.org/10.1145/3678552</v>
      </c>
      <c r="J48" s="7">
        <f>IF(D48:D61&lt;&gt;"", VALUE(REGEXEXTRACT(D48:D61, "(\d+)\s+pages")), )
</f>
        <v>31</v>
      </c>
      <c r="K48" s="6" t="s">
        <v>64</v>
      </c>
      <c r="L48" s="7" t="str">
        <f t="shared" si="53"/>
        <v>No</v>
      </c>
      <c r="M48" s="7" t="s">
        <v>34</v>
      </c>
      <c r="N48" s="7" t="s">
        <v>33</v>
      </c>
      <c r="O48" s="7" t="s">
        <v>34</v>
      </c>
      <c r="P48" s="6"/>
      <c r="Q48" s="6" t="s">
        <v>2216</v>
      </c>
      <c r="R48" s="7" t="s">
        <v>33</v>
      </c>
      <c r="S48" s="7" t="s">
        <v>33</v>
      </c>
      <c r="T48" s="10" t="s">
        <v>2217</v>
      </c>
      <c r="U48" s="6"/>
      <c r="V48" s="7" t="s">
        <v>33</v>
      </c>
      <c r="W48" s="6" t="s">
        <v>2218</v>
      </c>
      <c r="X48" s="7" t="s">
        <v>33</v>
      </c>
      <c r="Y48" s="6" t="s">
        <v>2219</v>
      </c>
      <c r="Z48" s="7" t="s">
        <v>34</v>
      </c>
      <c r="AA48" s="6"/>
      <c r="AB48" s="6" t="s">
        <v>2220</v>
      </c>
      <c r="AC48" s="6" t="s">
        <v>181</v>
      </c>
    </row>
    <row r="49" ht="22.5" customHeight="1">
      <c r="A49" s="11" t="str">
        <f>REGEXEXTRACT(D49, "\d{4}\.\s(.*?)\.\sProc\. ACM")"),"RF-GymCare: Introducing Respiratory Prior for RF Sensing in Gym Environments</f>
        <v xml:space="preserve">RF-GymCare: Introducing Respiratory Prior for RF Sensing in Gym Environments</v>
      </c>
      <c r="B49" s="7">
        <f t="shared" si="51"/>
        <v>135</v>
      </c>
      <c r="C49" s="8" t="s">
        <v>2221</v>
      </c>
      <c r="D49" s="6" t="s">
        <v>2222</v>
      </c>
      <c r="E49" s="9">
        <v>46092</v>
      </c>
      <c r="F49" s="7">
        <v>2024</v>
      </c>
      <c r="G49" s="7" t="s">
        <v>575</v>
      </c>
      <c r="H49" s="6" t="str">
        <f t="shared" si="48"/>
        <v>2024_Sep_135</v>
      </c>
      <c r="I49" s="12" t="str">
        <f t="shared" si="49"/>
        <v>https://doi.org/10.1145/3678568</v>
      </c>
      <c r="J49" s="7">
        <f>IF(D49:D61&lt;&gt;"", VALUE(REGEXEXTRACT(D49:D61, "(\d+)\s+pages")), )
</f>
        <v>28</v>
      </c>
      <c r="K49" s="6" t="s">
        <v>637</v>
      </c>
      <c r="L49" s="7" t="str">
        <f t="shared" si="53"/>
        <v>No</v>
      </c>
      <c r="M49" s="7" t="s">
        <v>34</v>
      </c>
      <c r="N49" s="7" t="s">
        <v>33</v>
      </c>
      <c r="O49" s="7" t="s">
        <v>34</v>
      </c>
      <c r="P49" s="6"/>
      <c r="Q49" s="6" t="s">
        <v>2223</v>
      </c>
      <c r="R49" s="7" t="s">
        <v>33</v>
      </c>
      <c r="S49" s="7" t="s">
        <v>34</v>
      </c>
      <c r="T49" s="6"/>
      <c r="U49" s="6" t="s">
        <v>2224</v>
      </c>
      <c r="V49" s="7" t="s">
        <v>33</v>
      </c>
      <c r="W49" s="6" t="s">
        <v>2225</v>
      </c>
      <c r="X49" s="7" t="s">
        <v>33</v>
      </c>
      <c r="Y49" s="6" t="s">
        <v>2226</v>
      </c>
      <c r="Z49" s="7" t="s">
        <v>34</v>
      </c>
      <c r="AA49" s="6"/>
      <c r="AB49" s="6" t="s">
        <v>2227</v>
      </c>
      <c r="AC49" s="6" t="s">
        <v>181</v>
      </c>
    </row>
    <row r="50" ht="22.5" customHeight="1">
      <c r="A50" s="11" t="str">
        <f>REGEXEXTRACT(D50, "\d{4}\.\s(.*?)\.\sProc\. ACM")"),"GrainSense: A Wireless Grain Moisture Sensing System Based on Wi-Fi Signals</f>
        <v xml:space="preserve">GrainSense: A Wireless Grain Moisture Sensing System Based on Wi-Fi Signals</v>
      </c>
      <c r="B50" s="7">
        <f t="shared" si="51"/>
        <v>136</v>
      </c>
      <c r="C50" s="8" t="s">
        <v>2228</v>
      </c>
      <c r="D50" s="6" t="s">
        <v>2229</v>
      </c>
      <c r="E50" s="9">
        <v>46093</v>
      </c>
      <c r="F50" s="7">
        <v>2024</v>
      </c>
      <c r="G50" s="7" t="s">
        <v>575</v>
      </c>
      <c r="H50" s="6" t="str">
        <f t="shared" si="48"/>
        <v>2024_Sep_136</v>
      </c>
      <c r="I50" s="12" t="str">
        <f t="shared" si="49"/>
        <v>https://doi.org/10.1145/3678589</v>
      </c>
      <c r="J50" s="7">
        <f>IF(D50:D61&lt;&gt;"", VALUE(REGEXEXTRACT(D50:D61, "(\d+)\s+pages")), )
</f>
        <v>25</v>
      </c>
      <c r="K50" s="6" t="s">
        <v>64</v>
      </c>
      <c r="L50" s="7" t="str">
        <f t="shared" si="53"/>
        <v>No</v>
      </c>
      <c r="M50" s="7" t="s">
        <v>34</v>
      </c>
      <c r="N50" s="7" t="s">
        <v>33</v>
      </c>
      <c r="O50" s="7" t="s">
        <v>34</v>
      </c>
      <c r="P50" s="6"/>
      <c r="Q50" s="6"/>
      <c r="R50" s="7" t="s">
        <v>34</v>
      </c>
      <c r="S50" s="7" t="s">
        <v>35</v>
      </c>
      <c r="T50" s="6"/>
      <c r="U50" s="6"/>
      <c r="V50" s="7" t="s">
        <v>33</v>
      </c>
      <c r="W50" s="6" t="s">
        <v>2230</v>
      </c>
      <c r="X50" s="7" t="s">
        <v>33</v>
      </c>
      <c r="Y50" s="6" t="s">
        <v>2231</v>
      </c>
      <c r="Z50" s="7" t="s">
        <v>34</v>
      </c>
      <c r="AA50" s="6"/>
      <c r="AB50" s="6" t="s">
        <v>2232</v>
      </c>
      <c r="AC50" s="6" t="s">
        <v>181</v>
      </c>
    </row>
    <row r="51" ht="22.5" customHeight="1">
      <c r="A51" s="14" t="str">
        <f>REGEXEXTRACT(D51, "\d{4}\.\s(.*?)\.\sProc\. ACM")"),"DeepBreath: Breathing Exercise Assessment with a Depth Camera</f>
        <v xml:space="preserve">DeepBreath: Breathing Exercise Assessment with a Depth Camera</v>
      </c>
      <c r="B51" s="15">
        <f t="shared" si="51"/>
        <v>137</v>
      </c>
      <c r="C51" s="16" t="s">
        <v>2233</v>
      </c>
      <c r="D51" s="17" t="s">
        <v>2234</v>
      </c>
      <c r="E51" s="18">
        <v>46093</v>
      </c>
      <c r="F51" s="15">
        <v>2024</v>
      </c>
      <c r="G51" s="15" t="s">
        <v>575</v>
      </c>
      <c r="H51" s="17" t="str">
        <f t="shared" si="48"/>
        <v>2024_Sep_137</v>
      </c>
      <c r="I51" s="19" t="str">
        <f t="shared" si="49"/>
        <v>https://doi.org/10.1145/3678519</v>
      </c>
      <c r="J51" s="15">
        <f>IF(D51:D61&lt;&gt;"", VALUE(REGEXEXTRACT(D51:D61, "(\d+)\s+pages")), )
</f>
        <v>26</v>
      </c>
      <c r="K51" s="17" t="s">
        <v>652</v>
      </c>
      <c r="L51" s="15" t="str">
        <f t="shared" si="53"/>
        <v>No</v>
      </c>
      <c r="M51" s="15" t="s">
        <v>34</v>
      </c>
      <c r="N51" s="15" t="s">
        <v>33</v>
      </c>
      <c r="O51" s="15" t="s">
        <v>34</v>
      </c>
      <c r="P51" s="17"/>
      <c r="Q51" s="17"/>
      <c r="R51" s="15" t="s">
        <v>33</v>
      </c>
      <c r="S51" s="15" t="s">
        <v>34</v>
      </c>
      <c r="T51" s="17"/>
      <c r="U51" s="17"/>
      <c r="V51" s="15" t="s">
        <v>33</v>
      </c>
      <c r="W51" s="17" t="s">
        <v>2235</v>
      </c>
      <c r="X51" s="15" t="s">
        <v>33</v>
      </c>
      <c r="Y51" s="17" t="s">
        <v>2236</v>
      </c>
      <c r="Z51" s="15" t="s">
        <v>34</v>
      </c>
      <c r="AA51" s="17"/>
      <c r="AB51" s="17" t="s">
        <v>2237</v>
      </c>
      <c r="AC51" s="17" t="s">
        <v>181</v>
      </c>
    </row>
    <row r="52" ht="22.5" customHeight="1">
      <c r="A52" s="11" t="str">
        <f>REGEXEXTRACT(D52, "\d{4}\.\s(.*?)\.\sProc\. ACM")"),"IrOnTex: Using Ironable 3D Printed Objects to Fabricate and Prototype Customizable Interactive Textiles</f>
        <v xml:space="preserve">IrOnTex: Using Ironable 3D Printed Objects to Fabricate and Prototype Customizable Interactive Textiles</v>
      </c>
      <c r="B52" s="7">
        <f t="shared" si="51"/>
        <v>138</v>
      </c>
      <c r="C52" s="8" t="s">
        <v>2238</v>
      </c>
      <c r="D52" s="6" t="s">
        <v>2239</v>
      </c>
      <c r="E52" s="9">
        <v>45976</v>
      </c>
      <c r="F52" s="7">
        <v>2024</v>
      </c>
      <c r="G52" s="7" t="s">
        <v>575</v>
      </c>
      <c r="H52" s="6" t="str">
        <f t="shared" si="48"/>
        <v>2024_Sep_138</v>
      </c>
      <c r="I52" s="12" t="str">
        <f t="shared" si="49"/>
        <v>https://doi.org/10.1145/3678543</v>
      </c>
      <c r="J52" s="7">
        <f>IF(D52:D61&lt;&gt;"", VALUE(REGEXEXTRACT(D52:D61, "(\d+)\s+pages")), )
</f>
        <v>26</v>
      </c>
      <c r="K52" s="6" t="s">
        <v>1093</v>
      </c>
      <c r="L52" s="7" t="str">
        <f t="shared" si="53"/>
        <v>No</v>
      </c>
      <c r="M52" s="7" t="s">
        <v>33</v>
      </c>
      <c r="N52" s="7" t="s">
        <v>33</v>
      </c>
      <c r="O52" s="7" t="s">
        <v>33</v>
      </c>
      <c r="P52" s="10" t="s">
        <v>2240</v>
      </c>
      <c r="Q52" s="6" t="s">
        <v>2241</v>
      </c>
      <c r="R52" s="7" t="s">
        <v>34</v>
      </c>
      <c r="S52" s="7" t="s">
        <v>35</v>
      </c>
      <c r="T52" s="6"/>
      <c r="U52" s="6"/>
      <c r="V52" s="7" t="s">
        <v>33</v>
      </c>
      <c r="W52" s="6" t="s">
        <v>2242</v>
      </c>
      <c r="X52" s="7" t="s">
        <v>33</v>
      </c>
      <c r="Y52" s="6" t="s">
        <v>2243</v>
      </c>
      <c r="Z52" s="7" t="s">
        <v>144</v>
      </c>
      <c r="AA52" s="6" t="s">
        <v>1351</v>
      </c>
      <c r="AB52" s="6" t="s">
        <v>2244</v>
      </c>
      <c r="AC52" s="6" t="s">
        <v>355</v>
      </c>
    </row>
    <row r="53" ht="22.5" customHeight="1">
      <c r="A53" s="11" t="str">
        <f>REGEXEXTRACT(D53, "\d{4}\.\s(.*?)\.\sProc\. ACM")"),"ToMoBrush: Exploring Dental Health Sensing Using a Sonic Toothbrush</f>
        <v xml:space="preserve">ToMoBrush: Exploring Dental Health Sensing Using a Sonic Toothbrush</v>
      </c>
      <c r="B53" s="7">
        <f t="shared" si="51"/>
        <v>139</v>
      </c>
      <c r="C53" s="8" t="s">
        <v>2245</v>
      </c>
      <c r="D53" s="6" t="s">
        <v>2246</v>
      </c>
      <c r="E53" s="9">
        <v>45976</v>
      </c>
      <c r="F53" s="7">
        <v>2024</v>
      </c>
      <c r="G53" s="7" t="s">
        <v>575</v>
      </c>
      <c r="H53" s="6" t="str">
        <f t="shared" si="48"/>
        <v>2024_Sep_139</v>
      </c>
      <c r="I53" s="12" t="str">
        <f t="shared" si="49"/>
        <v>https://doi.org/10.1145/3678505</v>
      </c>
      <c r="J53" s="7">
        <f>IF(D53:D61&lt;&gt;"", VALUE(REGEXEXTRACT(D53:D61, "(\d+)\s+pages")), )
</f>
        <v>27</v>
      </c>
      <c r="K53" s="6" t="s">
        <v>348</v>
      </c>
      <c r="L53" s="7" t="str">
        <f t="shared" si="53"/>
        <v>No</v>
      </c>
      <c r="M53" s="7" t="s">
        <v>33</v>
      </c>
      <c r="N53" s="7" t="s">
        <v>33</v>
      </c>
      <c r="O53" s="7" t="s">
        <v>34</v>
      </c>
      <c r="P53" s="6"/>
      <c r="Q53" s="6"/>
      <c r="R53" s="7" t="s">
        <v>33</v>
      </c>
      <c r="S53" s="7" t="s">
        <v>34</v>
      </c>
      <c r="T53" s="6"/>
      <c r="U53" s="6" t="s">
        <v>2247</v>
      </c>
      <c r="V53" s="7" t="s">
        <v>33</v>
      </c>
      <c r="W53" s="6" t="s">
        <v>2248</v>
      </c>
      <c r="X53" s="7" t="s">
        <v>34</v>
      </c>
      <c r="Y53" s="13"/>
      <c r="Z53" s="7" t="s">
        <v>34</v>
      </c>
      <c r="AA53" s="6" t="s">
        <v>2249</v>
      </c>
      <c r="AB53" s="6" t="s">
        <v>2250</v>
      </c>
      <c r="AC53" s="6" t="s">
        <v>355</v>
      </c>
    </row>
    <row r="54" ht="22.5" customHeight="1">
      <c r="A54" s="11" t="str">
        <f>REGEXEXTRACT(D54, "\d{4}\.\s(.*?)\.\sProc\. ACM")"),"AirTac: A Contactless Digital Tactile Receptor for Detecting Material and Roughness via Terahertz Sensing</f>
        <v xml:space="preserve">AirTac: A Contactless Digital Tactile Receptor for Detecting Material and Roughness via Terahertz Sensing</v>
      </c>
      <c r="B54" s="7">
        <f t="shared" si="51"/>
        <v>141</v>
      </c>
      <c r="C54" s="8" t="s">
        <v>2251</v>
      </c>
      <c r="D54" s="6" t="s">
        <v>2252</v>
      </c>
      <c r="E54" s="9">
        <v>45976</v>
      </c>
      <c r="F54" s="7">
        <v>2024</v>
      </c>
      <c r="G54" s="7" t="s">
        <v>575</v>
      </c>
      <c r="H54" s="6" t="str">
        <f t="shared" si="48"/>
        <v>2024_Sep_141</v>
      </c>
      <c r="I54" s="12" t="str">
        <f t="shared" si="49"/>
        <v>https://doi.org/10.1145/3678586</v>
      </c>
      <c r="J54" s="7">
        <f>IF(D54:D61&lt;&gt;"", VALUE(REGEXEXTRACT(D54:D61, "(\d+)\s+pages")), )
</f>
        <v>37</v>
      </c>
      <c r="K54" s="6" t="s">
        <v>217</v>
      </c>
      <c r="L54" s="7" t="str">
        <f t="shared" si="53"/>
        <v>No</v>
      </c>
      <c r="M54" s="7" t="s">
        <v>34</v>
      </c>
      <c r="N54" s="7" t="s">
        <v>33</v>
      </c>
      <c r="O54" s="7" t="s">
        <v>34</v>
      </c>
      <c r="P54" s="6"/>
      <c r="Q54" s="6"/>
      <c r="R54" s="7" t="s">
        <v>33</v>
      </c>
      <c r="S54" s="7" t="s">
        <v>34</v>
      </c>
      <c r="T54" s="6"/>
      <c r="U54" s="6" t="s">
        <v>2253</v>
      </c>
      <c r="V54" s="7" t="s">
        <v>33</v>
      </c>
      <c r="W54" s="6" t="s">
        <v>2254</v>
      </c>
      <c r="X54" s="7" t="s">
        <v>34</v>
      </c>
      <c r="Y54" s="6" t="s">
        <v>2255</v>
      </c>
      <c r="Z54" s="7" t="s">
        <v>34</v>
      </c>
      <c r="AA54" s="6" t="s">
        <v>2256</v>
      </c>
      <c r="AB54" s="6" t="s">
        <v>2257</v>
      </c>
      <c r="AC54" s="6" t="s">
        <v>355</v>
      </c>
    </row>
    <row r="55" ht="22.5" customHeight="1">
      <c r="A55" s="11" t="str">
        <f>REGEXEXTRACT(D55, "\d{4}\.\s(.*?)\.\sProc\. ACM")"),"MP-Gait: Fine-grained Parkinson's Disease Gait Impairment Assessment with Robust Feature Analysis</f>
        <v xml:space="preserve">MP-Gait: Fine-grained Parkinson's Disease Gait Impairment Assessment with Robust Feature Analysis</v>
      </c>
      <c r="B55" s="7">
        <f t="shared" si="51"/>
        <v>142</v>
      </c>
      <c r="C55" s="8" t="s">
        <v>2258</v>
      </c>
      <c r="D55" s="6" t="s">
        <v>2259</v>
      </c>
      <c r="E55" s="9">
        <v>45976</v>
      </c>
      <c r="F55" s="7">
        <v>2024</v>
      </c>
      <c r="G55" s="7" t="s">
        <v>575</v>
      </c>
      <c r="H55" s="6" t="str">
        <f t="shared" si="48"/>
        <v>2024_Sep_142</v>
      </c>
      <c r="I55" s="12" t="str">
        <f t="shared" si="49"/>
        <v>https://doi.org/10.1145/3678577</v>
      </c>
      <c r="J55" s="7">
        <f>IF(D55:D61&lt;&gt;"", VALUE(REGEXEXTRACT(D55:D61, "(\d+)\s+pages")), )
</f>
        <v>31</v>
      </c>
      <c r="K55" s="6" t="s">
        <v>133</v>
      </c>
      <c r="L55" s="7" t="str">
        <f t="shared" si="53"/>
        <v>No</v>
      </c>
      <c r="M55" s="7" t="s">
        <v>34</v>
      </c>
      <c r="N55" s="7" t="s">
        <v>33</v>
      </c>
      <c r="O55" s="7" t="s">
        <v>34</v>
      </c>
      <c r="P55" s="6"/>
      <c r="Q55" s="6"/>
      <c r="R55" s="7" t="s">
        <v>33</v>
      </c>
      <c r="S55" s="7" t="s">
        <v>34</v>
      </c>
      <c r="T55" s="6"/>
      <c r="U55" s="6" t="s">
        <v>2260</v>
      </c>
      <c r="V55" s="7" t="s">
        <v>33</v>
      </c>
      <c r="W55" s="6" t="s">
        <v>2261</v>
      </c>
      <c r="X55" s="7" t="s">
        <v>34</v>
      </c>
      <c r="Y55" s="6" t="s">
        <v>2262</v>
      </c>
      <c r="Z55" s="7" t="s">
        <v>34</v>
      </c>
      <c r="AA55" s="6" t="s">
        <v>2263</v>
      </c>
      <c r="AB55" s="6" t="s">
        <v>2264</v>
      </c>
      <c r="AC55" s="6" t="s">
        <v>355</v>
      </c>
    </row>
    <row r="56" ht="22.5" customHeight="1">
      <c r="A56" s="11" t="str">
        <f>REGEXEXTRACT(D56, "\d{4}\.\s(.*?)\.\sProc\. ACM")"),"A Reproducible Stress Prediction Pipeline with Mobile Sensor Data</f>
        <v xml:space="preserve">A Reproducible Stress Prediction Pipeline with Mobile Sensor Data</v>
      </c>
      <c r="B56" s="7">
        <f t="shared" si="51"/>
        <v>143</v>
      </c>
      <c r="C56" s="8" t="s">
        <v>2265</v>
      </c>
      <c r="D56" s="6" t="s">
        <v>2266</v>
      </c>
      <c r="E56" s="9">
        <v>45976</v>
      </c>
      <c r="F56" s="7">
        <v>2024</v>
      </c>
      <c r="G56" s="7" t="s">
        <v>575</v>
      </c>
      <c r="H56" s="6" t="str">
        <f t="shared" si="48"/>
        <v>2024_Sep_143</v>
      </c>
      <c r="I56" s="12" t="str">
        <f t="shared" si="49"/>
        <v>https://doi.org/10.1145/3678578</v>
      </c>
      <c r="J56" s="7">
        <f>IF(D56:D61&lt;&gt;"", VALUE(REGEXEXTRACT(D56:D61, "(\d+)\s+pages")), )
</f>
        <v>35</v>
      </c>
      <c r="K56" s="6" t="s">
        <v>64</v>
      </c>
      <c r="L56" s="7" t="str">
        <f t="shared" si="53"/>
        <v>No</v>
      </c>
      <c r="M56" s="7" t="s">
        <v>33</v>
      </c>
      <c r="N56" s="7" t="s">
        <v>33</v>
      </c>
      <c r="O56" s="7" t="s">
        <v>33</v>
      </c>
      <c r="P56" s="10" t="s">
        <v>2267</v>
      </c>
      <c r="Q56" s="6" t="s">
        <v>2268</v>
      </c>
      <c r="R56" s="7" t="s">
        <v>33</v>
      </c>
      <c r="S56" s="7" t="s">
        <v>33</v>
      </c>
      <c r="T56" s="10" t="s">
        <v>2269</v>
      </c>
      <c r="U56" s="6" t="s">
        <v>2270</v>
      </c>
      <c r="V56" s="7" t="s">
        <v>34</v>
      </c>
      <c r="W56" s="6"/>
      <c r="X56" s="7" t="s">
        <v>34</v>
      </c>
      <c r="Y56" s="6" t="s">
        <v>2271</v>
      </c>
      <c r="Z56" s="7" t="s">
        <v>144</v>
      </c>
      <c r="AA56" s="6" t="s">
        <v>2272</v>
      </c>
      <c r="AB56" s="6" t="s">
        <v>2273</v>
      </c>
      <c r="AC56" s="6" t="s">
        <v>355</v>
      </c>
    </row>
    <row r="57" ht="22.5" customHeight="1">
      <c r="A57" s="11" t="str">
        <f>REGEXEXTRACT(D57, "\d{4}\.\s(.*?)\.\sProc\. ACM")"),"AirECG: Contactless Electrocardiogram for Cardiac Disease Monitoring via mmWave Sensing and Cross-domain Diffusion Model</f>
        <v xml:space="preserve">AirECG: Contactless Electrocardiogram for Cardiac Disease Monitoring via mmWave Sensing and Cross-domain Diffusion Model</v>
      </c>
      <c r="B57" s="7">
        <f t="shared" si="51"/>
        <v>144</v>
      </c>
      <c r="C57" s="8" t="s">
        <v>2274</v>
      </c>
      <c r="D57" s="6" t="s">
        <v>2275</v>
      </c>
      <c r="E57" s="9">
        <v>45977</v>
      </c>
      <c r="F57" s="7">
        <v>2024</v>
      </c>
      <c r="G57" s="7" t="s">
        <v>575</v>
      </c>
      <c r="H57" s="6" t="str">
        <f t="shared" si="48"/>
        <v>2024_Sep_144</v>
      </c>
      <c r="I57" s="12" t="str">
        <f t="shared" si="49"/>
        <v>https://doi.org/10.1145/3678550</v>
      </c>
      <c r="J57" s="7">
        <f>IF(D57:D61&lt;&gt;"", VALUE(REGEXEXTRACT(D57:D61, "(\d+)\s+pages")), )
</f>
        <v>27</v>
      </c>
      <c r="K57" s="6" t="s">
        <v>217</v>
      </c>
      <c r="L57" s="7" t="str">
        <f t="shared" si="53"/>
        <v>No</v>
      </c>
      <c r="M57" s="7" t="s">
        <v>34</v>
      </c>
      <c r="N57" s="7" t="s">
        <v>33</v>
      </c>
      <c r="O57" s="7" t="s">
        <v>33</v>
      </c>
      <c r="P57" s="12" t="s">
        <v>2276</v>
      </c>
      <c r="Q57" s="6" t="s">
        <v>2277</v>
      </c>
      <c r="R57" s="7" t="s">
        <v>33</v>
      </c>
      <c r="S57" s="7" t="s">
        <v>144</v>
      </c>
      <c r="T57" s="10" t="s">
        <v>2276</v>
      </c>
      <c r="U57" s="6" t="s">
        <v>2278</v>
      </c>
      <c r="V57" s="7" t="s">
        <v>33</v>
      </c>
      <c r="W57" s="6" t="s">
        <v>2279</v>
      </c>
      <c r="X57" s="7" t="s">
        <v>33</v>
      </c>
      <c r="Y57" s="6" t="s">
        <v>2280</v>
      </c>
      <c r="Z57" s="7" t="s">
        <v>33</v>
      </c>
      <c r="AA57" s="6" t="s">
        <v>2281</v>
      </c>
      <c r="AB57" s="6" t="s">
        <v>2282</v>
      </c>
      <c r="AC57" s="6" t="s">
        <v>355</v>
      </c>
    </row>
    <row r="58" ht="22.5" customHeight="1">
      <c r="A58" s="11" t="str">
        <f>REGEXEXTRACT(D58, "\d{4}\.\s(.*?)\.\sProc\. ACM")"),"AI-Vision: A Three-Layer Accessible Image Exploration System for People with Visual Impairments in China</f>
        <v xml:space="preserve">AI-Vision: A Three-Layer Accessible Image Exploration System for People with Visual Impairments in China</v>
      </c>
      <c r="B58" s="7">
        <f t="shared" si="51"/>
        <v>145</v>
      </c>
      <c r="C58" s="8" t="s">
        <v>2283</v>
      </c>
      <c r="D58" s="6" t="s">
        <v>2284</v>
      </c>
      <c r="E58" s="9">
        <v>45977</v>
      </c>
      <c r="F58" s="7">
        <v>2024</v>
      </c>
      <c r="G58" s="7" t="s">
        <v>575</v>
      </c>
      <c r="H58" s="6" t="str">
        <f t="shared" si="48"/>
        <v>2024_Sep_145</v>
      </c>
      <c r="I58" s="12" t="str">
        <f t="shared" si="49"/>
        <v>https://doi.org/10.1145/3678537</v>
      </c>
      <c r="J58" s="7">
        <f>IF(D58:D61&lt;&gt;"", VALUE(REGEXEXTRACT(D58:D61, "(\d+)\s+pages")), )
</f>
        <v>27</v>
      </c>
      <c r="K58" s="6" t="s">
        <v>652</v>
      </c>
      <c r="L58" s="7" t="str">
        <f t="shared" si="53"/>
        <v>No</v>
      </c>
      <c r="M58" s="7" t="s">
        <v>34</v>
      </c>
      <c r="N58" s="7" t="s">
        <v>33</v>
      </c>
      <c r="O58" s="7" t="s">
        <v>34</v>
      </c>
      <c r="P58" s="6"/>
      <c r="Q58" s="6" t="s">
        <v>2285</v>
      </c>
      <c r="R58" s="7" t="s">
        <v>34</v>
      </c>
      <c r="S58" s="7" t="s">
        <v>35</v>
      </c>
      <c r="T58" s="6"/>
      <c r="U58" s="6"/>
      <c r="V58" s="7" t="s">
        <v>33</v>
      </c>
      <c r="W58" s="6" t="s">
        <v>2286</v>
      </c>
      <c r="X58" s="7" t="s">
        <v>33</v>
      </c>
      <c r="Y58" s="6" t="s">
        <v>2287</v>
      </c>
      <c r="Z58" s="7" t="s">
        <v>34</v>
      </c>
      <c r="AA58" s="6" t="s">
        <v>2288</v>
      </c>
      <c r="AB58" s="6" t="s">
        <v>2289</v>
      </c>
      <c r="AC58" s="6" t="s">
        <v>355</v>
      </c>
    </row>
    <row r="59" ht="22.5" customHeight="1">
      <c r="A59" s="11" t="str">
        <f>REGEXEXTRACT(D59, "\d{4}\.\s(.*?)\.\sProc\. ACM")"),"Crowdsourced Geospatial Intelligence: Constructing 3D Urban Maps with Satellitic Radiance Fields</f>
        <v xml:space="preserve">Crowdsourced Geospatial Intelligence: Constructing 3D Urban Maps with Satellitic Radiance Fields</v>
      </c>
      <c r="B59" s="7">
        <f t="shared" si="51"/>
        <v>146</v>
      </c>
      <c r="C59" s="8" t="s">
        <v>2290</v>
      </c>
      <c r="D59" s="6" t="s">
        <v>2291</v>
      </c>
      <c r="E59" s="9">
        <v>45977</v>
      </c>
      <c r="F59" s="7">
        <v>2024</v>
      </c>
      <c r="G59" s="7" t="s">
        <v>575</v>
      </c>
      <c r="H59" s="6" t="str">
        <f t="shared" si="48"/>
        <v>2024_Sep_146</v>
      </c>
      <c r="I59" s="12" t="str">
        <f t="shared" si="49"/>
        <v>https://doi.org/10.1145/3678572</v>
      </c>
      <c r="J59" s="7">
        <f>IF(D59:D61&lt;&gt;"", VALUE(REGEXEXTRACT(D59:D61, "(\d+)\s+pages")), )
</f>
        <v>24</v>
      </c>
      <c r="K59" s="6" t="s">
        <v>64</v>
      </c>
      <c r="L59" s="7" t="str">
        <f t="shared" si="53"/>
        <v>No</v>
      </c>
      <c r="M59" s="7" t="s">
        <v>33</v>
      </c>
      <c r="N59" s="7" t="s">
        <v>33</v>
      </c>
      <c r="O59" s="7" t="s">
        <v>34</v>
      </c>
      <c r="P59" s="6"/>
      <c r="Q59" s="6"/>
      <c r="R59" s="7" t="s">
        <v>33</v>
      </c>
      <c r="S59" s="7" t="s">
        <v>144</v>
      </c>
      <c r="T59" s="10" t="s">
        <v>2292</v>
      </c>
      <c r="U59" s="6" t="s">
        <v>2293</v>
      </c>
      <c r="V59" s="7" t="s">
        <v>33</v>
      </c>
      <c r="W59" s="6" t="s">
        <v>2294</v>
      </c>
      <c r="X59" s="7" t="s">
        <v>34</v>
      </c>
      <c r="Y59" s="6" t="s">
        <v>2295</v>
      </c>
      <c r="Z59" s="7" t="s">
        <v>34</v>
      </c>
      <c r="AA59" s="6" t="s">
        <v>2296</v>
      </c>
      <c r="AB59" s="6" t="s">
        <v>2297</v>
      </c>
      <c r="AC59" s="6" t="s">
        <v>355</v>
      </c>
    </row>
    <row r="60" ht="22.5" customHeight="1">
      <c r="A60" s="11" t="str">
        <f>REGEXEXTRACT(D60, "\d{4}\.\s(.*?)\.\sProc\. ACM")"),"Visar: Projecting Virtual Sound Spots for Acoustic Augmented Reality Using Air Nonlinearity</f>
        <v xml:space="preserve">Visar: Projecting Virtual Sound Spots for Acoustic Augmented Reality Using Air Nonlinearity</v>
      </c>
      <c r="B60" s="7">
        <f t="shared" si="51"/>
        <v>147</v>
      </c>
      <c r="C60" s="8" t="s">
        <v>2298</v>
      </c>
      <c r="D60" s="6" t="s">
        <v>2299</v>
      </c>
      <c r="E60" s="9">
        <v>45977</v>
      </c>
      <c r="F60" s="7">
        <v>2024</v>
      </c>
      <c r="G60" s="7" t="s">
        <v>575</v>
      </c>
      <c r="H60" s="6" t="str">
        <f t="shared" si="48"/>
        <v>2024_Sep_147</v>
      </c>
      <c r="I60" s="12" t="str">
        <f t="shared" si="49"/>
        <v>https://doi.org/10.1145/3678546</v>
      </c>
      <c r="J60" s="7">
        <f>IF(D60:D61&lt;&gt;"", VALUE(REGEXEXTRACT(D60:D61, "(\d+)\s+pages")), )
</f>
        <v>30</v>
      </c>
      <c r="K60" s="6" t="s">
        <v>348</v>
      </c>
      <c r="L60" s="7" t="str">
        <f t="shared" si="53"/>
        <v>No</v>
      </c>
      <c r="M60" s="7" t="s">
        <v>34</v>
      </c>
      <c r="N60" s="7" t="s">
        <v>33</v>
      </c>
      <c r="O60" s="7" t="s">
        <v>34</v>
      </c>
      <c r="P60" s="6"/>
      <c r="Q60" s="6"/>
      <c r="R60" s="7" t="s">
        <v>34</v>
      </c>
      <c r="S60" s="7" t="s">
        <v>35</v>
      </c>
      <c r="T60" s="6"/>
      <c r="U60" s="6" t="s">
        <v>2300</v>
      </c>
      <c r="V60" s="7" t="s">
        <v>33</v>
      </c>
      <c r="W60" s="6" t="s">
        <v>2301</v>
      </c>
      <c r="X60" s="7" t="s">
        <v>34</v>
      </c>
      <c r="Y60" s="13"/>
      <c r="Z60" s="7" t="s">
        <v>34</v>
      </c>
      <c r="AA60" s="6" t="s">
        <v>2302</v>
      </c>
      <c r="AB60" s="6" t="s">
        <v>2303</v>
      </c>
      <c r="AC60" s="6" t="s">
        <v>355</v>
      </c>
    </row>
    <row r="61" ht="22.5" customHeight="1">
      <c r="A61" s="11" t="str">
        <f>REGEXEXTRACT(D61, "\d{4}\.\s(.*?)\.\sProc\. ACM")"),"CoplayingVR: Understanding User Experience in Shared Control in Virtual Reality</f>
        <v xml:space="preserve">CoplayingVR: Understanding User Experience in Shared Control in Virtual Reality</v>
      </c>
      <c r="B61" s="7">
        <f t="shared" si="51"/>
        <v>148</v>
      </c>
      <c r="C61" s="8" t="s">
        <v>2304</v>
      </c>
      <c r="D61" s="6" t="s">
        <v>2305</v>
      </c>
      <c r="E61" s="9">
        <v>45977</v>
      </c>
      <c r="F61" s="7">
        <v>2024</v>
      </c>
      <c r="G61" s="7" t="s">
        <v>575</v>
      </c>
      <c r="H61" s="6" t="str">
        <f t="shared" si="48"/>
        <v>2024_Sep_148</v>
      </c>
      <c r="I61" s="12" t="str">
        <f t="shared" si="49"/>
        <v>https://doi.org/10.1145/3678508</v>
      </c>
      <c r="J61" s="7">
        <f>IF(D61&lt;&gt;"", VALUE(REGEXEXTRACT(D61, "(\d+)\s+pages")), )
</f>
        <v>25</v>
      </c>
      <c r="K61" s="6" t="s">
        <v>652</v>
      </c>
      <c r="L61" s="7" t="str">
        <f t="shared" si="53"/>
        <v>No</v>
      </c>
      <c r="M61" s="7" t="s">
        <v>33</v>
      </c>
      <c r="N61" s="7" t="s">
        <v>33</v>
      </c>
      <c r="O61" s="7" t="s">
        <v>34</v>
      </c>
      <c r="P61" s="6"/>
      <c r="Q61" s="6" t="s">
        <v>2306</v>
      </c>
      <c r="R61" s="7" t="s">
        <v>34</v>
      </c>
      <c r="S61" s="7" t="s">
        <v>35</v>
      </c>
      <c r="T61" s="6"/>
      <c r="U61" s="6"/>
      <c r="V61" s="7" t="s">
        <v>33</v>
      </c>
      <c r="W61" s="6" t="s">
        <v>2307</v>
      </c>
      <c r="X61" s="7" t="s">
        <v>33</v>
      </c>
      <c r="Y61" s="6" t="s">
        <v>2308</v>
      </c>
      <c r="Z61" s="7" t="s">
        <v>34</v>
      </c>
      <c r="AA61" s="6" t="s">
        <v>2309</v>
      </c>
      <c r="AB61" s="6" t="s">
        <v>2310</v>
      </c>
      <c r="AC61" s="6" t="s">
        <v>355</v>
      </c>
    </row>
  </sheetData>
  <conditionalFormatting sqref="P1:P61 T3:U3 T37">
    <cfRule type="colorScale" priority="1">
      <colorScale>
        <cfvo type="min"/>
        <cfvo type="max"/>
        <color indexed="65"/>
        <color rgb="FF57BB8A"/>
      </colorScale>
    </cfRule>
  </conditionalFormatting>
  <dataValidations count="2" disablePrompts="0">
    <dataValidation sqref="A2:A61 H2:I61 K2:K61 P2:Q61 T2:U61 W2:W61 Y2:Y61 AA2:AB61" type="none" allowBlank="1" errorStyle="stop" imeMode="noControl" operator="between" showDropDown="1" showErrorMessage="0" showInputMessage="0"/>
    <dataValidation sqref="D2:D61" type="none" allowBlank="1" errorStyle="stop" imeMode="noControl" operator="between" showDropDown="1" showErrorMessage="0" showInputMessage="0"/>
  </dataValidations>
  <hyperlinks>
    <hyperlink r:id="rId1" ref="C2"/>
    <hyperlink r:id="rId2" ref="C3"/>
    <hyperlink r:id="rId3" ref="P3"/>
    <hyperlink r:id="rId3" ref="T3"/>
    <hyperlink r:id="rId4" ref="C4"/>
    <hyperlink r:id="rId5" ref="P4"/>
    <hyperlink r:id="rId6" ref="C5"/>
    <hyperlink r:id="rId7" ref="D5"/>
    <hyperlink r:id="rId8" ref="C6"/>
    <hyperlink r:id="rId9" ref="C7"/>
    <hyperlink r:id="rId10" ref="C8"/>
    <hyperlink r:id="rId11" ref="C9"/>
    <hyperlink r:id="rId12" ref="C10"/>
    <hyperlink r:id="rId13" ref="P10"/>
    <hyperlink r:id="rId14" ref="T10"/>
    <hyperlink r:id="rId15" ref="C11"/>
    <hyperlink r:id="rId16" ref="P11"/>
    <hyperlink r:id="rId17" ref="C12"/>
    <hyperlink r:id="rId18" ref="C13"/>
    <hyperlink r:id="rId19" ref="P13"/>
    <hyperlink r:id="rId20" ref="C14"/>
    <hyperlink r:id="rId21" ref="C15"/>
    <hyperlink r:id="rId22" ref="P15"/>
    <hyperlink r:id="rId23" ref="C16"/>
    <hyperlink r:id="rId24" ref="C17"/>
    <hyperlink r:id="rId25" ref="C18"/>
    <hyperlink r:id="rId26" ref="P18"/>
    <hyperlink r:id="rId27" ref="T18"/>
    <hyperlink r:id="rId28" ref="C19"/>
    <hyperlink r:id="rId29" ref="C20"/>
    <hyperlink r:id="rId30" ref="P20"/>
    <hyperlink r:id="rId31" ref="C21"/>
    <hyperlink r:id="rId32" ref="P21"/>
    <hyperlink r:id="rId33" ref="C22"/>
    <hyperlink r:id="rId34" ref="C23"/>
    <hyperlink r:id="rId35" ref="P23"/>
    <hyperlink r:id="rId36" ref="T23"/>
    <hyperlink r:id="rId37" ref="C24"/>
    <hyperlink r:id="rId38" ref="C25"/>
    <hyperlink r:id="rId39" ref="C26"/>
    <hyperlink r:id="rId40" ref="C27"/>
    <hyperlink r:id="rId41" ref="C28"/>
    <hyperlink r:id="rId42" ref="C29"/>
    <hyperlink r:id="rId43" ref="C30"/>
    <hyperlink r:id="rId44" ref="C31"/>
    <hyperlink r:id="rId45" ref="P31"/>
    <hyperlink r:id="rId46" ref="T31"/>
    <hyperlink r:id="rId47" ref="C32"/>
    <hyperlink r:id="rId48" ref="C33"/>
    <hyperlink r:id="rId49" ref="C34"/>
    <hyperlink r:id="rId50" ref="C35"/>
    <hyperlink r:id="rId51" ref="P35"/>
    <hyperlink r:id="rId52" ref="C36"/>
    <hyperlink r:id="rId53" ref="C37"/>
    <hyperlink r:id="rId54" ref="P37"/>
    <hyperlink r:id="rId54" ref="T37"/>
    <hyperlink r:id="rId55" ref="C38"/>
    <hyperlink r:id="rId56" ref="C39"/>
    <hyperlink r:id="rId57" ref="C40"/>
    <hyperlink r:id="rId58" ref="T40"/>
    <hyperlink r:id="rId59" ref="C41"/>
    <hyperlink r:id="rId60" ref="C42"/>
    <hyperlink r:id="rId61" ref="C43"/>
    <hyperlink r:id="rId62" ref="C44"/>
    <hyperlink r:id="rId63" ref="P44"/>
    <hyperlink r:id="rId64" ref="Y44"/>
    <hyperlink r:id="rId65" ref="C45"/>
    <hyperlink r:id="rId66" ref="C46"/>
    <hyperlink r:id="rId67" ref="P46"/>
    <hyperlink r:id="rId68" ref="T46"/>
    <hyperlink r:id="rId69" ref="U46"/>
    <hyperlink r:id="rId70" ref="C47"/>
    <hyperlink r:id="rId71" ref="C48"/>
    <hyperlink r:id="rId72" ref="T48"/>
    <hyperlink r:id="rId73" ref="C49"/>
    <hyperlink r:id="rId74" ref="C50"/>
    <hyperlink r:id="rId75" ref="C51"/>
    <hyperlink r:id="rId76" ref="C52"/>
    <hyperlink r:id="rId77" ref="P52"/>
    <hyperlink r:id="rId78" ref="C53"/>
    <hyperlink r:id="rId79" ref="C54"/>
    <hyperlink r:id="rId80" ref="C55"/>
    <hyperlink r:id="rId81" ref="C56"/>
    <hyperlink r:id="rId82" ref="P56"/>
    <hyperlink r:id="rId83" ref="T56"/>
    <hyperlink r:id="rId84" ref="C57"/>
    <hyperlink r:id="rId85" ref="P57"/>
    <hyperlink r:id="rId85" ref="T57"/>
    <hyperlink r:id="rId86" ref="C58"/>
    <hyperlink r:id="rId87" ref="C59"/>
    <hyperlink r:id="rId88" ref="T59"/>
    <hyperlink r:id="rId89" ref="C60"/>
    <hyperlink r:id="rId90" ref="C61"/>
  </hyperlinks>
  <printOptions headings="0" gridLines="1" horizontalCentered="1"/>
  <pageMargins left="0.25" right="0.25" top="0.75" bottom="0.75" header="0" footer="0"/>
  <pageSetup paperSize="9" scale="100" fitToWidth="1" fitToHeight="0" pageOrder="overThenDown" orientation="landscape" usePrinterDefaults="1" blackAndWhite="0" draft="0" cellComments="atEnd" useFirstPageNumber="0" errors="displayed" horizontalDpi="600" verticalDpi="600" copies="1"/>
  <headerFooter/>
  <tableParts count="1">
    <tablePart r:id="rId91"/>
  </tableParts>
  <extLst>
    <ext xmlns:x14="http://schemas.microsoft.com/office/spreadsheetml/2009/9/main" uri="{78C0D931-6437-407d-A8EE-F0AAD7539E65}">
      <x14:conditionalFormattings>
        <x14:conditionalFormatting xmlns:xm="http://schemas.microsoft.com/office/excel/2006/main">
          <x14:cfRule type="expression" priority="2" id="{7921258C-F8F2-4A3C-9717-F4007368C068}">
            <xm:f>AND(REGEXMATCH($O2,"^(Yes|Partially)$"), ISBLANK($P2))</xm:f>
            <x14:dxf>
              <font/>
              <fill>
                <patternFill patternType="solid">
                  <fgColor rgb="FFE68282"/>
                  <bgColor rgb="FFE68282"/>
                </patternFill>
              </fill>
              <border>
                <left/>
                <right/>
                <top/>
                <bottom/>
                <diagonal/>
              </border>
            </x14:dxf>
          </x14:cfRule>
          <xm:sqref>P2:P61 T3:U3 T37</xm:sqref>
        </x14:conditionalFormatting>
        <x14:conditionalFormatting xmlns:xm="http://schemas.microsoft.com/office/excel/2006/main">
          <x14:cfRule type="expression" priority="3" id="{248109FA-AE2C-40B2-8214-50EFC791C3D7}">
            <xm:f>AND(REGEXMATCH($S2,"^(Yes|Partially)$"), ISBLANK($T2))</xm:f>
            <x14:dxf>
              <font/>
              <fill>
                <patternFill patternType="solid">
                  <fgColor rgb="FFE68282"/>
                  <bgColor rgb="FFE68282"/>
                </patternFill>
              </fill>
              <border>
                <left/>
                <right/>
                <top/>
                <bottom/>
                <diagonal/>
              </border>
            </x14:dxf>
          </x14:cfRule>
          <xm:sqref>T2:T61</xm:sqref>
        </x14:conditionalFormatting>
        <x14:conditionalFormatting xmlns:xm="http://schemas.microsoft.com/office/excel/2006/main">
          <x14:cfRule type="expression" priority="4" id="{57FBE72B-F1A2-42C5-9237-05573B36C19B}">
            <xm:f>AND($V2="Yes", ISBLANK($W2))</xm:f>
            <x14:dxf>
              <font/>
              <fill>
                <patternFill patternType="solid">
                  <fgColor rgb="FFE68282"/>
                  <bgColor rgb="FFE68282"/>
                </patternFill>
              </fill>
              <border>
                <left/>
                <right/>
                <top/>
                <bottom/>
                <diagonal/>
              </border>
            </x14:dxf>
          </x14:cfRule>
          <xm:sqref>W2:W61</xm:sqref>
        </x14:conditionalFormatting>
        <x14:conditionalFormatting xmlns:xm="http://schemas.microsoft.com/office/excel/2006/main">
          <x14:cfRule type="expression" priority="5" id="{1AC1F6C4-F398-42DB-85EA-BC092DE6699E}">
            <xm:f>AND($X2="Yes", ISBLANK($Y2))</xm:f>
            <x14:dxf>
              <font/>
              <fill>
                <patternFill patternType="solid">
                  <fgColor rgb="FFE68282"/>
                  <bgColor rgb="FFE68282"/>
                </patternFill>
              </fill>
              <border>
                <left/>
                <right/>
                <top/>
                <bottom/>
                <diagonal/>
              </border>
            </x14:dxf>
          </x14:cfRule>
          <xm:sqref>Y2:Y61</xm:sqref>
        </x14:conditionalFormatting>
      </x14:conditionalFormattings>
    </ext>
    <ext xmlns:x14="http://schemas.microsoft.com/office/spreadsheetml/2009/9/main" uri="{CCE6A557-97BC-4b89-ADB6-D9C93CAAB3DF}">
      <x14:dataValidations xmlns:xm="http://schemas.microsoft.com/office/excel/2006/main" count="10" disablePrompts="0">
        <x14:dataValidation xr:uid="{9513EF1F-E35B-4DBF-B936-528B34DBC3D0}" type="list" allowBlank="1" errorStyle="stop" imeMode="noControl" operator="between" showDropDown="0" showErrorMessage="0" showInputMessage="0">
          <x14:formula1>
            <xm:f>"Yes,No"</xm:f>
          </x14:formula1>
          <xm:sqref>L2:L61</xm:sqref>
        </x14:dataValidation>
        <x14:dataValidation xr:uid="{19419295-6723-49BD-8C00-4C6CB02225BD}" type="list" allowBlank="1" errorStyle="stop" imeMode="noControl" operator="between" showDropDown="0" showErrorMessage="0" showInputMessage="0">
          <x14:formula1>
            <xm:f>"Yes,No,Unknown"</xm:f>
          </x14:formula1>
          <xm:sqref>R2:R61</xm:sqref>
        </x14:dataValidation>
        <x14:dataValidation xr:uid="{18EFEA84-C59E-47F1-AEB8-4CAB580E35F8}" type="list" allowBlank="1" errorStyle="stop" imeMode="noControl" operator="between" showDropDown="0" showErrorMessage="0" showInputMessage="0">
          <x14:formula1>
            <xm:f>"Yes,No,Unknown"</xm:f>
          </x14:formula1>
          <xm:sqref>N2:N61</xm:sqref>
        </x14:dataValidation>
        <x14:dataValidation xr:uid="{B236FE53-A269-4F14-888F-85D6485B4009}" type="list" allowBlank="1" errorStyle="stop" imeMode="noControl" operator="between" showDropDown="0" showErrorMessage="0" showInputMessage="0">
          <x14:formula1>
            <xm:f>"Yes,No,Partially,Unknown,N/A"</xm:f>
          </x14:formula1>
          <xm:sqref>Z2:Z61</xm:sqref>
        </x14:dataValidation>
        <x14:dataValidation xr:uid="{FA933A21-C18A-4188-8577-97D27BFB4164}" type="custom" allowBlank="1" errorStyle="stop" imeMode="noControl" operator="between" showDropDown="1" showErrorMessage="0" showInputMessage="0">
          <x14:formula1>
            <xm:f>AND(ISNUMBER(B2),(NOT(OR(NOT(ISERROR(DATEVALUE(B2))), AND(ISNUMBER(B2), LEFT(CELL("format", B2))="D")))))</xm:f>
          </x14:formula1>
          <xm:sqref>B2:B61 F2:F61 J2:J61</xm:sqref>
        </x14:dataValidation>
        <x14:dataValidation xr:uid="{56529E7A-985C-4DED-878F-58BFB361B8CC}" type="custom" allowBlank="1" errorStyle="stop" imeMode="noControl" operator="between" showDropDown="1" showErrorMessage="0" showInputMessage="0">
          <x14:formula1>
            <xm:f>OR(NOT(ISERROR(DATEVALUE(E2))), AND(ISNUMBER(E2), LEFT(CELL("format", E2))="D"))</xm:f>
          </x14:formula1>
          <xm:sqref>E2:E61</xm:sqref>
        </x14:dataValidation>
        <x14:dataValidation xr:uid="{082699E2-168C-4886-9237-B6992FA8D377}" type="list" allowBlank="1" errorStyle="stop" imeMode="noControl" operator="between" showDropDown="0" showErrorMessage="0" showInputMessage="0">
          <x14:formula1>
            <xm:f>"Yes,No,Unknown"</xm:f>
          </x14:formula1>
          <xm:sqref>M2:M61</xm:sqref>
        </x14:dataValidation>
        <x14:dataValidation xr:uid="{A5D5A267-AC99-4B88-9D91-7AEBA2C3C68A}" type="list" allowBlank="1" errorStyle="stop" imeMode="noControl" operator="between" showDropDown="0" showErrorMessage="0" showInputMessage="0">
          <x14:formula1>
            <xm:f>"Yes,No,Unknown,N/A"</xm:f>
          </x14:formula1>
          <xm:sqref>V2:V61 X2:X61</xm:sqref>
        </x14:dataValidation>
        <x14:dataValidation xr:uid="{C0FAB7B1-7E6A-4E13-92E4-2E62BD23BFA2}" type="list" allowBlank="1" errorStyle="stop" imeMode="noControl" operator="between" showDropDown="0" showErrorMessage="0" showInputMessage="0">
          <x14:formula1>
            <xm:f>"Yes,No,Partially,Unknown,N/A,Upon_request"</xm:f>
          </x14:formula1>
          <xm:sqref>O2:O61 S2:S61</xm:sqref>
        </x14:dataValidation>
        <x14:dataValidation xr:uid="{3E2896D4-3F5C-4909-9DE6-2C96AC46DB8A}" type="list" allowBlank="1" errorStyle="stop" imeMode="noControl" operator="between" showDropDown="0" showErrorMessage="0" showInputMessage="0">
          <x14:formula1>
            <xm:f>"Mar,Jun,Sep,Dec"</xm:f>
          </x14:formula1>
          <xm:sqref>G2:G61</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1"/>
  </sheetPr>
  <sheetViews>
    <sheetView zoomScale="100" workbookViewId="0">
      <pane xSplit="2" ySplit="1" topLeftCell="C2" activePane="bottomRight" state="frozen"/>
      <selection activeCell="C2" activeCellId="0" sqref="C2"/>
    </sheetView>
  </sheetViews>
  <sheetFormatPr defaultColWidth="12.630000000000001" defaultRowHeight="15.75" customHeight="1"/>
  <cols>
    <col customWidth="1" min="1" max="1" width="24.25"/>
    <col customWidth="1" min="2" max="2" width="20.129999999999999"/>
    <col customWidth="1" min="3" max="3" width="21"/>
    <col customWidth="1" min="4" max="4" width="14.75"/>
    <col customWidth="1" min="6" max="6" width="11.880000000000001"/>
    <col customWidth="1" min="7" max="7" width="12.630000000000001"/>
    <col customWidth="1" min="8" max="8" width="15.130000000000001"/>
    <col customWidth="1" min="9" max="9" width="28"/>
    <col customWidth="1" min="10" max="10" width="18.879999999999999"/>
    <col customWidth="1" min="11" max="11" width="36.75"/>
    <col customWidth="1" min="12" max="12" width="21.379999999999999"/>
    <col customWidth="1" min="13" max="13" width="18.879999999999999"/>
    <col customWidth="1" min="14" max="14" width="19.879999999999999"/>
    <col customWidth="1" min="15" max="16" width="19.75"/>
    <col customWidth="1" min="17" max="17" width="34.5"/>
    <col customWidth="1" min="18" max="18" width="19"/>
    <col customWidth="1" min="19" max="19" width="19.379999999999999"/>
    <col customWidth="1" min="20" max="21" width="19.75"/>
    <col customWidth="1" min="22" max="22" width="22.629999999999999"/>
    <col customWidth="1" min="23" max="23" width="32.630000000000003"/>
    <col customWidth="1" min="24" max="24" width="22.629999999999999"/>
    <col customWidth="1" min="25" max="25" width="25.5"/>
    <col customWidth="1" min="26" max="26" width="27.25"/>
    <col customWidth="1" min="27" max="27" width="39.25"/>
    <col customWidth="1" min="28" max="29" width="34.130000000000003"/>
  </cols>
  <sheetData>
    <row r="1" ht="22.5" customHeight="1">
      <c r="A1" s="1" t="s">
        <v>0</v>
      </c>
      <c r="B1" s="2" t="s">
        <v>1</v>
      </c>
      <c r="C1" s="3" t="s">
        <v>2</v>
      </c>
      <c r="D1" s="3" t="s">
        <v>3</v>
      </c>
      <c r="E1" s="3" t="s">
        <v>4</v>
      </c>
      <c r="F1" s="2" t="s">
        <v>5</v>
      </c>
      <c r="G1" s="2" t="s">
        <v>6</v>
      </c>
      <c r="H1" s="2" t="s">
        <v>7</v>
      </c>
      <c r="I1" s="2" t="s">
        <v>8</v>
      </c>
      <c r="J1" s="2" t="s">
        <v>9</v>
      </c>
      <c r="K1" s="2" t="s">
        <v>10</v>
      </c>
      <c r="L1" s="2" t="s">
        <v>11</v>
      </c>
      <c r="M1" s="2" t="s">
        <v>12</v>
      </c>
      <c r="N1" s="4" t="s">
        <v>13</v>
      </c>
      <c r="O1" s="4" t="s">
        <v>14</v>
      </c>
      <c r="P1" s="4" t="s">
        <v>15</v>
      </c>
      <c r="Q1" s="4" t="s">
        <v>16</v>
      </c>
      <c r="R1" s="5" t="s">
        <v>17</v>
      </c>
      <c r="S1" s="5" t="s">
        <v>18</v>
      </c>
      <c r="T1" s="5" t="s">
        <v>19</v>
      </c>
      <c r="U1" s="5" t="s">
        <v>20</v>
      </c>
      <c r="V1" s="2" t="s">
        <v>21</v>
      </c>
      <c r="W1" s="3" t="s">
        <v>22</v>
      </c>
      <c r="X1" s="2" t="s">
        <v>23</v>
      </c>
      <c r="Y1" s="3" t="s">
        <v>24</v>
      </c>
      <c r="Z1" s="2" t="s">
        <v>25</v>
      </c>
      <c r="AA1" s="3" t="s">
        <v>26</v>
      </c>
      <c r="AB1" s="3" t="s">
        <v>27</v>
      </c>
      <c r="AC1" s="3" t="s">
        <v>28</v>
      </c>
    </row>
    <row r="2" ht="22.5" customHeight="1">
      <c r="A2" s="11" t="str">
        <f>REGEXEXTRACT(D2, "\d{4}\.\s(.*?)\.\sProc\. ACM")"),"PRECYSE: Predicting Cybersickness using Transformer for Multimodal Time-Series Sensor Data</f>
        <v xml:space="preserve">PRECYSE: Predicting Cybersickness using Transformer for Multimodal Time-Series Sensor Data</v>
      </c>
      <c r="B2" s="7">
        <f t="shared" ref="B2:B9" si="54">IFERROR(VALUE(REGEXEXTRACT(D2,"Article\s+(\d+)")),"")
</f>
        <v>42</v>
      </c>
      <c r="C2" s="8" t="s">
        <v>2311</v>
      </c>
      <c r="D2" s="6" t="s">
        <v>2312</v>
      </c>
      <c r="E2" s="9">
        <v>46032</v>
      </c>
      <c r="F2" s="7">
        <v>2024</v>
      </c>
      <c r="G2" s="7" t="s">
        <v>1145</v>
      </c>
      <c r="H2" s="6" t="str">
        <f t="shared" ref="H2:H47" si="55">TEXT($F2,"0000") &amp; "_" &amp; $G2 &amp; "_" &amp; TEXT($B2,"000")</f>
        <v>2024_Jun_042</v>
      </c>
      <c r="I2" s="12" t="str">
        <f t="shared" ref="I2:I47" si="56">CONCATENATE("https",RIGHT(D2,LEN(D2) - (FIND("://",D2) - 1)))</f>
        <v>https://doi.org/10.1145/3659594</v>
      </c>
      <c r="J2" s="7">
        <f>IF(D2:D47&lt;&gt;"", VALUE(REGEXEXTRACT(D2:D47, "(\d+)\s+pages")), )
</f>
        <v>24</v>
      </c>
      <c r="K2" s="6" t="s">
        <v>53</v>
      </c>
      <c r="L2" s="7" t="str">
        <f t="shared" ref="L2:L9" si="57">IF(REGEXMATCH(LOWER($A2),"(^|[^a-z])dataset(s)?([^a-z]|$)"),"Yes","No")"),"No</f>
        <v>No</v>
      </c>
      <c r="M2" s="7" t="s">
        <v>33</v>
      </c>
      <c r="N2" s="7" t="s">
        <v>33</v>
      </c>
      <c r="O2" s="7" t="s">
        <v>33</v>
      </c>
      <c r="P2" s="10" t="s">
        <v>2313</v>
      </c>
      <c r="Q2" s="6" t="s">
        <v>2314</v>
      </c>
      <c r="R2" s="7" t="s">
        <v>33</v>
      </c>
      <c r="S2" s="7" t="s">
        <v>33</v>
      </c>
      <c r="T2" s="10" t="s">
        <v>2313</v>
      </c>
      <c r="U2" s="6"/>
      <c r="V2" s="7" t="s">
        <v>33</v>
      </c>
      <c r="W2" s="6" t="s">
        <v>2315</v>
      </c>
      <c r="X2" s="7" t="s">
        <v>34</v>
      </c>
      <c r="Y2" s="13"/>
      <c r="Z2" s="7" t="s">
        <v>144</v>
      </c>
      <c r="AA2" s="6" t="s">
        <v>2316</v>
      </c>
      <c r="AB2" s="6" t="s">
        <v>2317</v>
      </c>
      <c r="AC2" s="6" t="s">
        <v>39</v>
      </c>
    </row>
    <row r="3" ht="22.5" customHeight="1">
      <c r="A3" s="11" t="str">
        <f>REGEXEXTRACT(D3, "\d{4}\.\s(.*?)\.\sProc\. ACM")"),"EarSleep: In-ear Acoustic-based Physical and Physiological Activity Recognition for Sleep Stage Detection</f>
        <v xml:space="preserve">EarSleep: In-ear Acoustic-based Physical and Physiological Activity Recognition for Sleep Stage Detection</v>
      </c>
      <c r="B3" s="7">
        <f t="shared" si="54"/>
        <v>43</v>
      </c>
      <c r="C3" s="8" t="s">
        <v>2318</v>
      </c>
      <c r="D3" s="6" t="s">
        <v>2319</v>
      </c>
      <c r="E3" s="9">
        <v>46032</v>
      </c>
      <c r="F3" s="7">
        <v>2024</v>
      </c>
      <c r="G3" s="7" t="s">
        <v>1145</v>
      </c>
      <c r="H3" s="6" t="str">
        <f t="shared" si="55"/>
        <v>2024_Jun_043</v>
      </c>
      <c r="I3" s="12" t="str">
        <f t="shared" si="56"/>
        <v>https://doi.org/10.1145/3659595</v>
      </c>
      <c r="J3" s="7">
        <f>IF(D3:D47&lt;&gt;"", VALUE(REGEXEXTRACT(D3:D47, "(\d+)\s+pages")), )
</f>
        <v>31</v>
      </c>
      <c r="K3" s="6" t="s">
        <v>348</v>
      </c>
      <c r="L3" s="7" t="str">
        <f t="shared" si="57"/>
        <v>No</v>
      </c>
      <c r="M3" s="7" t="s">
        <v>34</v>
      </c>
      <c r="N3" s="7" t="s">
        <v>33</v>
      </c>
      <c r="O3" s="7" t="s">
        <v>34</v>
      </c>
      <c r="P3" s="6"/>
      <c r="Q3" s="13"/>
      <c r="R3" s="7" t="s">
        <v>33</v>
      </c>
      <c r="S3" s="7" t="s">
        <v>34</v>
      </c>
      <c r="T3" s="6"/>
      <c r="U3" s="6"/>
      <c r="V3" s="7" t="s">
        <v>33</v>
      </c>
      <c r="W3" s="6" t="s">
        <v>2320</v>
      </c>
      <c r="X3" s="7" t="s">
        <v>33</v>
      </c>
      <c r="Y3" s="6" t="s">
        <v>2321</v>
      </c>
      <c r="Z3" s="7" t="s">
        <v>34</v>
      </c>
      <c r="AA3" s="6"/>
      <c r="AB3" s="6" t="s">
        <v>2322</v>
      </c>
      <c r="AC3" s="6" t="s">
        <v>39</v>
      </c>
    </row>
    <row r="4" ht="22.5" customHeight="1">
      <c r="A4" s="11" t="str">
        <f>REGEXEXTRACT(D4, "\d{4}\.\s(.*?)\.\sProc\. ACM")"),"User-directed Assembly Code Transformations Enabling Efficient Batteryless Arduino Applications</f>
        <v xml:space="preserve">User-directed Assembly Code Transformations Enabling Efficient Batteryless Arduino Applications</v>
      </c>
      <c r="B4" s="7">
        <f t="shared" si="54"/>
        <v>44</v>
      </c>
      <c r="C4" s="8" t="s">
        <v>2323</v>
      </c>
      <c r="D4" s="6" t="s">
        <v>2324</v>
      </c>
      <c r="E4" s="9">
        <v>46032</v>
      </c>
      <c r="F4" s="7">
        <v>2024</v>
      </c>
      <c r="G4" s="7" t="s">
        <v>1145</v>
      </c>
      <c r="H4" s="6" t="str">
        <f t="shared" si="55"/>
        <v>2024_Jun_044</v>
      </c>
      <c r="I4" s="12" t="str">
        <f t="shared" si="56"/>
        <v>https://doi.org/10.1145/3659590</v>
      </c>
      <c r="J4" s="7">
        <f>IF(D4:D47&lt;&gt;"", VALUE(REGEXEXTRACT(D4:D47, "(\d+)\s+pages")), )
</f>
        <v>32</v>
      </c>
      <c r="K4" s="6" t="s">
        <v>133</v>
      </c>
      <c r="L4" s="7" t="str">
        <f t="shared" si="57"/>
        <v>No</v>
      </c>
      <c r="M4" s="7" t="s">
        <v>33</v>
      </c>
      <c r="N4" s="7" t="s">
        <v>33</v>
      </c>
      <c r="O4" s="7" t="s">
        <v>34</v>
      </c>
      <c r="P4" s="6"/>
      <c r="Q4" s="6" t="s">
        <v>2325</v>
      </c>
      <c r="R4" s="7" t="s">
        <v>34</v>
      </c>
      <c r="S4" s="7" t="s">
        <v>35</v>
      </c>
      <c r="T4" s="6"/>
      <c r="U4" s="6"/>
      <c r="V4" s="7" t="s">
        <v>33</v>
      </c>
      <c r="W4" s="6" t="s">
        <v>2326</v>
      </c>
      <c r="X4" s="7" t="s">
        <v>34</v>
      </c>
      <c r="Y4" s="6" t="s">
        <v>2327</v>
      </c>
      <c r="Z4" s="7" t="s">
        <v>34</v>
      </c>
      <c r="AA4" s="6"/>
      <c r="AB4" s="6" t="s">
        <v>2328</v>
      </c>
      <c r="AC4" s="6" t="s">
        <v>39</v>
      </c>
    </row>
    <row r="5" ht="22.5" customHeight="1">
      <c r="A5" s="11" t="str">
        <f>REGEXEXTRACT(D5, "\d{4}\.\s(.*?)\.\sProc\. ACM")"),"Design and Fabrication of Multifunctional E-Textiles by Upcycling Waste Cotton Fabrics through Carbonization</f>
        <v xml:space="preserve">Design and Fabrication of Multifunctional E-Textiles by Upcycling Waste Cotton Fabrics through Carbonization</v>
      </c>
      <c r="B5" s="7">
        <f t="shared" si="54"/>
        <v>45</v>
      </c>
      <c r="C5" s="8" t="s">
        <v>2329</v>
      </c>
      <c r="D5" s="6" t="s">
        <v>2330</v>
      </c>
      <c r="E5" s="9">
        <v>46034</v>
      </c>
      <c r="F5" s="7">
        <v>2024</v>
      </c>
      <c r="G5" s="7" t="s">
        <v>1145</v>
      </c>
      <c r="H5" s="6" t="str">
        <f t="shared" si="55"/>
        <v>2024_Jun_045</v>
      </c>
      <c r="I5" s="12" t="str">
        <f t="shared" si="56"/>
        <v>https://doi.org/10.1145/3659588</v>
      </c>
      <c r="J5" s="7">
        <f>IF(D5:D47&lt;&gt;"", VALUE(REGEXEXTRACT(D5:D47, "(\d+)\s+pages")), )
</f>
        <v>31</v>
      </c>
      <c r="K5" s="6" t="s">
        <v>164</v>
      </c>
      <c r="L5" s="7" t="str">
        <f t="shared" si="57"/>
        <v>No</v>
      </c>
      <c r="M5" s="7" t="s">
        <v>34</v>
      </c>
      <c r="N5" s="7" t="s">
        <v>34</v>
      </c>
      <c r="O5" s="7" t="s">
        <v>35</v>
      </c>
      <c r="P5" s="6"/>
      <c r="Q5" s="6"/>
      <c r="R5" s="7" t="s">
        <v>34</v>
      </c>
      <c r="S5" s="7" t="s">
        <v>35</v>
      </c>
      <c r="T5" s="6"/>
      <c r="U5" s="6"/>
      <c r="V5" s="7" t="s">
        <v>33</v>
      </c>
      <c r="W5" s="6" t="s">
        <v>2331</v>
      </c>
      <c r="X5" s="7" t="s">
        <v>34</v>
      </c>
      <c r="Y5" s="13"/>
      <c r="Z5" s="7" t="s">
        <v>35</v>
      </c>
      <c r="AA5" s="6"/>
      <c r="AB5" s="6" t="s">
        <v>2332</v>
      </c>
      <c r="AC5" s="6" t="s">
        <v>39</v>
      </c>
    </row>
    <row r="6" ht="22.5" customHeight="1">
      <c r="A6" s="11" t="str">
        <f>REGEXEXTRACT(D6, "\d{4}\.\s(.*?)\.\sProc\. ACM")"),"M3BAT: Unsupervised Domain Adaptation for Multimodal Mobile Sensing with Multi-Branch Adversarial Training</f>
        <v xml:space="preserve">M3BAT: Unsupervised Domain Adaptation for Multimodal Mobile Sensing with Multi-Branch Adversarial Training</v>
      </c>
      <c r="B6" s="7">
        <f t="shared" si="54"/>
        <v>46</v>
      </c>
      <c r="C6" s="8" t="s">
        <v>2333</v>
      </c>
      <c r="D6" s="6" t="s">
        <v>2334</v>
      </c>
      <c r="E6" s="9">
        <v>46034</v>
      </c>
      <c r="F6" s="7">
        <v>2024</v>
      </c>
      <c r="G6" s="7" t="s">
        <v>1145</v>
      </c>
      <c r="H6" s="6" t="str">
        <f t="shared" si="55"/>
        <v>2024_Jun_046</v>
      </c>
      <c r="I6" s="12" t="str">
        <f t="shared" si="56"/>
        <v>https://doi.org/10.1145/3659591</v>
      </c>
      <c r="J6" s="7">
        <f>IF(D6:D47&lt;&gt;"", VALUE(REGEXEXTRACT(D6:D47, "(\d+)\s+pages")), )
</f>
        <v>30</v>
      </c>
      <c r="K6" s="6" t="s">
        <v>64</v>
      </c>
      <c r="L6" s="7" t="str">
        <f t="shared" si="57"/>
        <v>No</v>
      </c>
      <c r="M6" s="7" t="s">
        <v>34</v>
      </c>
      <c r="N6" s="7" t="s">
        <v>33</v>
      </c>
      <c r="O6" s="7" t="s">
        <v>34</v>
      </c>
      <c r="P6" s="6"/>
      <c r="Q6" s="6"/>
      <c r="R6" s="7" t="s">
        <v>33</v>
      </c>
      <c r="S6" s="7" t="s">
        <v>33</v>
      </c>
      <c r="T6" s="6"/>
      <c r="U6" s="6" t="s">
        <v>2335</v>
      </c>
      <c r="V6" s="7" t="s">
        <v>34</v>
      </c>
      <c r="W6" s="6"/>
      <c r="X6" s="7" t="s">
        <v>34</v>
      </c>
      <c r="Y6" s="13"/>
      <c r="Z6" s="7" t="s">
        <v>34</v>
      </c>
      <c r="AA6" s="6"/>
      <c r="AB6" s="6" t="s">
        <v>2336</v>
      </c>
      <c r="AC6" s="6" t="s">
        <v>39</v>
      </c>
    </row>
    <row r="7" ht="22.5" customHeight="1">
      <c r="A7" s="11" t="str">
        <f>REGEXEXTRACT(D7, "\d{4}\.\s(.*?)\.\sProc\. ACM")"),"WatchCap: Improving Scanning Efficiency in People with Low Vision through Compensatory Head Movement Stimulation</f>
        <v xml:space="preserve">WatchCap: Improving Scanning Efficiency in People with Low Vision through Compensatory Head Movement Stimulation</v>
      </c>
      <c r="B7" s="7">
        <f t="shared" si="54"/>
        <v>47</v>
      </c>
      <c r="C7" s="8" t="s">
        <v>2337</v>
      </c>
      <c r="D7" s="6" t="s">
        <v>2338</v>
      </c>
      <c r="E7" s="9">
        <v>46034</v>
      </c>
      <c r="F7" s="7">
        <v>2024</v>
      </c>
      <c r="G7" s="7" t="s">
        <v>1145</v>
      </c>
      <c r="H7" s="6" t="str">
        <f t="shared" si="55"/>
        <v>2024_Jun_047</v>
      </c>
      <c r="I7" s="12" t="str">
        <f t="shared" si="56"/>
        <v>https://doi.org/10.1145/3659592</v>
      </c>
      <c r="J7" s="7">
        <f>IF(D7:D47&lt;&gt;"", VALUE(REGEXEXTRACT(D7:D47, "(\d+)\s+pages")), )
</f>
        <v>32</v>
      </c>
      <c r="K7" s="6" t="s">
        <v>348</v>
      </c>
      <c r="L7" s="7" t="str">
        <f t="shared" si="57"/>
        <v>No</v>
      </c>
      <c r="M7" s="7" t="s">
        <v>33</v>
      </c>
      <c r="N7" s="7" t="s">
        <v>33</v>
      </c>
      <c r="O7" s="7" t="s">
        <v>34</v>
      </c>
      <c r="P7" s="6"/>
      <c r="Q7" s="6" t="s">
        <v>1441</v>
      </c>
      <c r="R7" s="7" t="s">
        <v>33</v>
      </c>
      <c r="S7" s="7" t="s">
        <v>34</v>
      </c>
      <c r="T7" s="6"/>
      <c r="U7" s="6"/>
      <c r="V7" s="7" t="s">
        <v>33</v>
      </c>
      <c r="W7" s="6" t="s">
        <v>36</v>
      </c>
      <c r="X7" s="7" t="s">
        <v>34</v>
      </c>
      <c r="Y7" s="13"/>
      <c r="Z7" s="7" t="s">
        <v>34</v>
      </c>
      <c r="AA7" s="6"/>
      <c r="AB7" s="6" t="s">
        <v>2339</v>
      </c>
      <c r="AC7" s="6" t="s">
        <v>39</v>
      </c>
    </row>
    <row r="8" ht="22.5" customHeight="1">
      <c r="A8" s="11" t="str">
        <f>REGEXEXTRACT(D8, "\d{4}\.\s(.*?)\.\sProc\. ACM")"),"AutoAugHAR: Automated Data Augmentation for Sensor-based Human Activity Recognition</f>
        <v xml:space="preserve">AutoAugHAR: Automated Data Augmentation for Sensor-based Human Activity Recognition</v>
      </c>
      <c r="B8" s="7">
        <f t="shared" si="54"/>
        <v>48</v>
      </c>
      <c r="C8" s="8" t="s">
        <v>2340</v>
      </c>
      <c r="D8" s="6" t="s">
        <v>2341</v>
      </c>
      <c r="E8" s="9">
        <v>46034</v>
      </c>
      <c r="F8" s="7">
        <v>2024</v>
      </c>
      <c r="G8" s="7" t="s">
        <v>1145</v>
      </c>
      <c r="H8" s="6" t="str">
        <f t="shared" si="55"/>
        <v>2024_Jun_048</v>
      </c>
      <c r="I8" s="12" t="str">
        <f t="shared" si="56"/>
        <v>https://doi.org/10.1145/3659589</v>
      </c>
      <c r="J8" s="7">
        <f>IF(D8:D47&lt;&gt;"", VALUE(REGEXEXTRACT(D8:D47, "(\d+)\s+pages")), )
</f>
        <v>27</v>
      </c>
      <c r="K8" s="6" t="s">
        <v>64</v>
      </c>
      <c r="L8" s="7" t="str">
        <f t="shared" si="57"/>
        <v>No</v>
      </c>
      <c r="M8" s="7" t="s">
        <v>33</v>
      </c>
      <c r="N8" s="7" t="s">
        <v>33</v>
      </c>
      <c r="O8" s="7" t="s">
        <v>34</v>
      </c>
      <c r="P8" s="10" t="s">
        <v>2342</v>
      </c>
      <c r="Q8" s="6" t="s">
        <v>2343</v>
      </c>
      <c r="R8" s="7" t="s">
        <v>33</v>
      </c>
      <c r="S8" s="7" t="s">
        <v>33</v>
      </c>
      <c r="T8" s="6"/>
      <c r="U8" s="6" t="s">
        <v>2344</v>
      </c>
      <c r="V8" s="7" t="s">
        <v>34</v>
      </c>
      <c r="W8" s="6"/>
      <c r="X8" s="7" t="s">
        <v>34</v>
      </c>
      <c r="Y8" s="13"/>
      <c r="Z8" s="7" t="s">
        <v>34</v>
      </c>
      <c r="AA8" s="6"/>
      <c r="AB8" s="6" t="s">
        <v>2345</v>
      </c>
      <c r="AC8" s="6" t="s">
        <v>39</v>
      </c>
    </row>
    <row r="9" ht="22.5" customHeight="1">
      <c r="A9" s="11" t="str">
        <f>REGEXEXTRACT(D9, "\d{4}\.\s(.*?)\.\sProc\. ACM")"),"AeroSense: Sensing Aerosol Emissions from Indoor Human Activities</f>
        <v xml:space="preserve">AeroSense: Sensing Aerosol Emissions from Indoor Human Activities</v>
      </c>
      <c r="B9" s="7">
        <f t="shared" si="54"/>
        <v>49</v>
      </c>
      <c r="C9" s="8" t="s">
        <v>2346</v>
      </c>
      <c r="D9" s="6" t="s">
        <v>2347</v>
      </c>
      <c r="E9" s="9">
        <v>46034</v>
      </c>
      <c r="F9" s="7">
        <v>2024</v>
      </c>
      <c r="G9" s="7" t="s">
        <v>1145</v>
      </c>
      <c r="H9" s="6" t="str">
        <f t="shared" si="55"/>
        <v>2024_Jun_049</v>
      </c>
      <c r="I9" s="12" t="str">
        <f t="shared" si="56"/>
        <v>https://doi.org/10.1145/3659593</v>
      </c>
      <c r="J9" s="7">
        <f>IF(D9:D47&lt;&gt;"", VALUE(REGEXEXTRACT(D9:D47, "(\d+)\s+pages")), )
</f>
        <v>30</v>
      </c>
      <c r="K9" s="6" t="s">
        <v>217</v>
      </c>
      <c r="L9" s="7" t="str">
        <f t="shared" si="57"/>
        <v>No</v>
      </c>
      <c r="M9" s="7" t="s">
        <v>33</v>
      </c>
      <c r="N9" s="7" t="s">
        <v>33</v>
      </c>
      <c r="O9" s="7" t="s">
        <v>33</v>
      </c>
      <c r="P9" s="10" t="s">
        <v>2348</v>
      </c>
      <c r="Q9" s="6"/>
      <c r="R9" s="7" t="s">
        <v>33</v>
      </c>
      <c r="S9" s="7" t="s">
        <v>33</v>
      </c>
      <c r="T9" s="10" t="s">
        <v>2348</v>
      </c>
      <c r="U9" s="49" t="s">
        <v>2349</v>
      </c>
      <c r="V9" s="7" t="s">
        <v>33</v>
      </c>
      <c r="W9" s="6" t="s">
        <v>2350</v>
      </c>
      <c r="X9" s="7" t="s">
        <v>34</v>
      </c>
      <c r="Y9" s="13"/>
      <c r="Z9" s="7" t="s">
        <v>34</v>
      </c>
      <c r="AA9" s="6" t="s">
        <v>2351</v>
      </c>
      <c r="AB9" s="6" t="s">
        <v>2352</v>
      </c>
      <c r="AC9" s="6" t="s">
        <v>39</v>
      </c>
    </row>
    <row r="10" ht="22.5" customHeight="1">
      <c r="A10" s="11" t="str">
        <f>REGEXEXTRACT(D10, "\d{4}\.\s(.*?)\.\sProc\. ACM")"),"SmallMap: Low-cost Community Road Map Sensing with Uncertain Delivery Behavior</f>
        <v xml:space="preserve">SmallMap: Low-cost Community Road Map Sensing with Uncertain Delivery Behavior</v>
      </c>
      <c r="B10" s="7">
        <f t="shared" ref="B10:B47" si="58">IFERROR(VALUE(REGEXEXTRACT(D10,"Article\s+(\d+)")),"")
</f>
        <v>50</v>
      </c>
      <c r="C10" s="8" t="s">
        <v>2353</v>
      </c>
      <c r="D10" s="6" t="s">
        <v>2354</v>
      </c>
      <c r="E10" s="9">
        <v>46034</v>
      </c>
      <c r="F10" s="7">
        <v>2024</v>
      </c>
      <c r="G10" s="7" t="s">
        <v>1145</v>
      </c>
      <c r="H10" s="6" t="str">
        <f t="shared" si="55"/>
        <v>2024_Jun_050</v>
      </c>
      <c r="I10" s="12" t="str">
        <f t="shared" si="56"/>
        <v>https://doi.org/10.1145/3659596</v>
      </c>
      <c r="J10" s="7">
        <f>IF(D10:D47&lt;&gt;"", VALUE(REGEXEXTRACT(D10:D47, "(\d+)\s+pages")), )
</f>
        <v>26</v>
      </c>
      <c r="K10" s="6" t="s">
        <v>133</v>
      </c>
      <c r="L10" s="7" t="str">
        <f t="shared" ref="L10:L42" si="59">IF(REGEXMATCH(LOWER($A10),"(^|[^a-z])dataset(s)?([^a-z]|$)"),"Yes","No")"),"No</f>
        <v>No</v>
      </c>
      <c r="M10" s="7" t="s">
        <v>33</v>
      </c>
      <c r="N10" s="7" t="s">
        <v>33</v>
      </c>
      <c r="O10" s="7" t="s">
        <v>34</v>
      </c>
      <c r="P10" s="6"/>
      <c r="Q10" s="6"/>
      <c r="R10" s="7" t="s">
        <v>33</v>
      </c>
      <c r="S10" s="7" t="s">
        <v>34</v>
      </c>
      <c r="T10" s="6"/>
      <c r="U10" s="6"/>
      <c r="V10" s="7" t="s">
        <v>34</v>
      </c>
      <c r="W10" s="6"/>
      <c r="X10" s="7" t="s">
        <v>34</v>
      </c>
      <c r="Y10" s="13"/>
      <c r="Z10" s="7" t="s">
        <v>34</v>
      </c>
      <c r="AA10" s="6"/>
      <c r="AB10" s="6" t="s">
        <v>2355</v>
      </c>
      <c r="AC10" s="6" t="s">
        <v>39</v>
      </c>
    </row>
    <row r="11" ht="22.5" customHeight="1">
      <c r="A11" s="11" t="str">
        <f>REGEXEXTRACT(D11, "\d{4}\.\s(.*?)\.\sProc\. ACM")"),"Identify, Adapt, Persist: The Journey of Blind Individuals with Personal Health Technologies</f>
        <v xml:space="preserve">Identify, Adapt, Persist: The Journey of Blind Individuals with Personal Health Technologies</v>
      </c>
      <c r="B11" s="7">
        <f t="shared" si="58"/>
        <v>51</v>
      </c>
      <c r="C11" s="8" t="s">
        <v>2356</v>
      </c>
      <c r="D11" s="6" t="s">
        <v>2357</v>
      </c>
      <c r="E11" s="9">
        <v>46034</v>
      </c>
      <c r="F11" s="7">
        <v>2024</v>
      </c>
      <c r="G11" s="7" t="s">
        <v>1145</v>
      </c>
      <c r="H11" s="6" t="str">
        <f t="shared" si="55"/>
        <v>2024_Jun_051</v>
      </c>
      <c r="I11" s="12" t="str">
        <f t="shared" si="56"/>
        <v>https://doi.org/10.1145/3659585</v>
      </c>
      <c r="J11" s="7">
        <f>IF(D11:D47&lt;&gt;"", VALUE(REGEXEXTRACT(D11:D47, "(\d+)\s+pages")), )
</f>
        <v>21</v>
      </c>
      <c r="K11" s="6" t="s">
        <v>42</v>
      </c>
      <c r="L11" s="7" t="str">
        <f t="shared" si="59"/>
        <v>No</v>
      </c>
      <c r="M11" s="7" t="s">
        <v>33</v>
      </c>
      <c r="N11" s="7" t="s">
        <v>34</v>
      </c>
      <c r="O11" s="7" t="s">
        <v>35</v>
      </c>
      <c r="P11" s="6"/>
      <c r="Q11" s="6"/>
      <c r="R11" s="7" t="s">
        <v>34</v>
      </c>
      <c r="S11" s="7" t="s">
        <v>35</v>
      </c>
      <c r="T11" s="6"/>
      <c r="U11" s="6"/>
      <c r="V11" s="7" t="s">
        <v>35</v>
      </c>
      <c r="W11" s="6"/>
      <c r="X11" s="7" t="s">
        <v>35</v>
      </c>
      <c r="Y11" s="13"/>
      <c r="Z11" s="7" t="s">
        <v>35</v>
      </c>
      <c r="AA11" s="6"/>
      <c r="AB11" s="6"/>
      <c r="AC11" s="6" t="s">
        <v>39</v>
      </c>
    </row>
    <row r="12" ht="22.5" customHeight="1">
      <c r="A12" s="11" t="str">
        <f>REGEXEXTRACT(D12, "\d{4}\.\s(.*?)\.\sProc\. ACM")"),"Pushing the Limits of Acoustic Spatial Perception via Incident Angle Encoding</f>
        <v xml:space="preserve">Pushing the Limits of Acoustic Spatial Perception via Incident Angle Encoding</v>
      </c>
      <c r="B12" s="7">
        <f t="shared" si="58"/>
        <v>52</v>
      </c>
      <c r="C12" s="8" t="s">
        <v>2358</v>
      </c>
      <c r="D12" s="6" t="s">
        <v>2359</v>
      </c>
      <c r="E12" s="9">
        <v>46034</v>
      </c>
      <c r="F12" s="7">
        <v>2024</v>
      </c>
      <c r="G12" s="7" t="s">
        <v>1145</v>
      </c>
      <c r="H12" s="6" t="str">
        <f t="shared" si="55"/>
        <v>2024_Jun_052</v>
      </c>
      <c r="I12" s="12" t="str">
        <f t="shared" si="56"/>
        <v>https://doi.org/10.1145/3659583</v>
      </c>
      <c r="J12" s="7">
        <f>IF(D12:D47&lt;&gt;"", VALUE(REGEXEXTRACT(D12:D47, "(\d+)\s+pages")), )
</f>
        <v>28</v>
      </c>
      <c r="K12" s="6" t="s">
        <v>45</v>
      </c>
      <c r="L12" s="7" t="str">
        <f t="shared" si="59"/>
        <v>No</v>
      </c>
      <c r="M12" s="7" t="s">
        <v>34</v>
      </c>
      <c r="N12" s="7" t="s">
        <v>33</v>
      </c>
      <c r="O12" s="7" t="s">
        <v>34</v>
      </c>
      <c r="P12" s="6"/>
      <c r="Q12" s="6"/>
      <c r="R12" s="7" t="s">
        <v>33</v>
      </c>
      <c r="S12" s="7" t="s">
        <v>34</v>
      </c>
      <c r="T12" s="6"/>
      <c r="U12" s="6"/>
      <c r="V12" s="7" t="s">
        <v>33</v>
      </c>
      <c r="W12" s="6" t="s">
        <v>2360</v>
      </c>
      <c r="X12" s="7" t="s">
        <v>34</v>
      </c>
      <c r="Y12" s="13"/>
      <c r="Z12" s="7" t="s">
        <v>34</v>
      </c>
      <c r="AA12" s="6"/>
      <c r="AB12" s="6" t="s">
        <v>2361</v>
      </c>
      <c r="AC12" s="6" t="s">
        <v>39</v>
      </c>
    </row>
    <row r="13" ht="22.5" customHeight="1">
      <c r="A13" s="11" t="str">
        <f>REGEXEXTRACT(D13, "\d{4}\.\s(.*?)\.\sProc\. ACM")"),"SwivelTouch: Boosting Touchscreen Input with 3D Finger Rotation Gesture</f>
        <v xml:space="preserve">SwivelTouch: Boosting Touchscreen Input with 3D Finger Rotation Gesture</v>
      </c>
      <c r="B13" s="7">
        <f t="shared" si="58"/>
        <v>53</v>
      </c>
      <c r="C13" s="8" t="s">
        <v>2362</v>
      </c>
      <c r="D13" s="6" t="s">
        <v>2363</v>
      </c>
      <c r="E13" s="9">
        <v>46035</v>
      </c>
      <c r="F13" s="7">
        <v>2024</v>
      </c>
      <c r="G13" s="7" t="s">
        <v>1145</v>
      </c>
      <c r="H13" s="6" t="str">
        <f t="shared" si="55"/>
        <v>2024_Jun_053</v>
      </c>
      <c r="I13" s="12" t="str">
        <f t="shared" si="56"/>
        <v>https://doi.org/10.1145/3659584</v>
      </c>
      <c r="J13" s="7">
        <f>IF(D13:D47&lt;&gt;"", VALUE(REGEXEXTRACT(D13:D47, "(\d+)\s+pages")), )
</f>
        <v>30</v>
      </c>
      <c r="K13" s="6" t="s">
        <v>133</v>
      </c>
      <c r="L13" s="7" t="str">
        <f t="shared" si="59"/>
        <v>No</v>
      </c>
      <c r="M13" s="7" t="s">
        <v>33</v>
      </c>
      <c r="N13" s="7" t="s">
        <v>33</v>
      </c>
      <c r="O13" s="7" t="s">
        <v>34</v>
      </c>
      <c r="P13" s="6"/>
      <c r="Q13" s="6"/>
      <c r="R13" s="7" t="s">
        <v>33</v>
      </c>
      <c r="S13" s="7" t="s">
        <v>34</v>
      </c>
      <c r="T13" s="6"/>
      <c r="U13" s="6"/>
      <c r="V13" s="7" t="s">
        <v>34</v>
      </c>
      <c r="W13" s="6" t="s">
        <v>1230</v>
      </c>
      <c r="X13" s="7" t="s">
        <v>34</v>
      </c>
      <c r="Y13" s="6" t="s">
        <v>2364</v>
      </c>
      <c r="Z13" s="7" t="s">
        <v>34</v>
      </c>
      <c r="AA13" s="6"/>
      <c r="AB13" s="6" t="s">
        <v>2365</v>
      </c>
      <c r="AC13" s="6" t="s">
        <v>39</v>
      </c>
    </row>
    <row r="14" ht="22.5" customHeight="1">
      <c r="A14" s="11" t="str">
        <f>REGEXEXTRACT(D14, "\d{4}\.\s(.*?)\.\sProc\. ACM")"),"Let It Snow: Designing Snowfall Experience in VR</f>
        <v xml:space="preserve">Let It Snow: Designing Snowfall Experience in VR</v>
      </c>
      <c r="B14" s="7">
        <f t="shared" si="58"/>
        <v>54</v>
      </c>
      <c r="C14" s="8" t="s">
        <v>2366</v>
      </c>
      <c r="D14" s="6" t="s">
        <v>2367</v>
      </c>
      <c r="E14" s="9">
        <v>46035</v>
      </c>
      <c r="F14" s="7">
        <v>2024</v>
      </c>
      <c r="G14" s="7" t="s">
        <v>1145</v>
      </c>
      <c r="H14" s="6" t="str">
        <f t="shared" si="55"/>
        <v>2024_Jun_054</v>
      </c>
      <c r="I14" s="12" t="str">
        <f t="shared" si="56"/>
        <v>https://doi.org/10.1145/3659587</v>
      </c>
      <c r="J14" s="7">
        <f>IF(D14:D47&lt;&gt;"", VALUE(REGEXEXTRACT(D14:D47, "(\d+)\s+pages")), )
</f>
        <v>24</v>
      </c>
      <c r="K14" s="6" t="s">
        <v>348</v>
      </c>
      <c r="L14" s="7" t="str">
        <f t="shared" si="59"/>
        <v>No</v>
      </c>
      <c r="M14" s="7" t="s">
        <v>33</v>
      </c>
      <c r="N14" s="7" t="s">
        <v>33</v>
      </c>
      <c r="O14" s="7" t="s">
        <v>34</v>
      </c>
      <c r="P14" s="6"/>
      <c r="Q14" s="6"/>
      <c r="R14" s="7" t="s">
        <v>34</v>
      </c>
      <c r="S14" s="7" t="s">
        <v>34</v>
      </c>
      <c r="T14" s="6"/>
      <c r="U14" s="6"/>
      <c r="V14" s="7" t="s">
        <v>33</v>
      </c>
      <c r="W14" s="6" t="s">
        <v>2368</v>
      </c>
      <c r="X14" s="7" t="s">
        <v>34</v>
      </c>
      <c r="Y14" s="13"/>
      <c r="Z14" s="7" t="s">
        <v>34</v>
      </c>
      <c r="AA14" s="6"/>
      <c r="AB14" s="6" t="s">
        <v>2369</v>
      </c>
      <c r="AC14" s="6" t="s">
        <v>39</v>
      </c>
    </row>
    <row r="15" ht="22.5" customHeight="1">
      <c r="A15" s="11" t="str">
        <f>REGEXEXTRACT(D15, "\d{4}\.\s(.*?)\.\sProc\. ACM")"),"ClassID: Enabling Student Behavior Attribution from Ambient Classroom Sensing Systems</f>
        <v xml:space="preserve">ClassID: Enabling Student Behavior Attribution from Ambient Classroom Sensing Systems</v>
      </c>
      <c r="B15" s="7">
        <f t="shared" si="58"/>
        <v>55</v>
      </c>
      <c r="C15" s="8" t="s">
        <v>2370</v>
      </c>
      <c r="D15" s="6" t="s">
        <v>2371</v>
      </c>
      <c r="E15" s="9">
        <v>46035</v>
      </c>
      <c r="F15" s="7">
        <v>2024</v>
      </c>
      <c r="G15" s="7" t="s">
        <v>1145</v>
      </c>
      <c r="H15" s="6" t="str">
        <f t="shared" si="55"/>
        <v>2024_Jun_055</v>
      </c>
      <c r="I15" s="12" t="str">
        <f t="shared" si="56"/>
        <v>https://doi.org/10.1145/3659586</v>
      </c>
      <c r="J15" s="7">
        <f>IF(D15:D47&lt;&gt;"", VALUE(REGEXEXTRACT(D15:D47, "(\d+)\s+pages")), )
</f>
        <v>28</v>
      </c>
      <c r="K15" s="6" t="s">
        <v>133</v>
      </c>
      <c r="L15" s="7" t="str">
        <f t="shared" si="59"/>
        <v>No</v>
      </c>
      <c r="M15" s="7" t="s">
        <v>33</v>
      </c>
      <c r="N15" s="7" t="s">
        <v>33</v>
      </c>
      <c r="O15" s="7" t="s">
        <v>33</v>
      </c>
      <c r="P15" s="10" t="s">
        <v>2372</v>
      </c>
      <c r="Q15" s="6" t="s">
        <v>2373</v>
      </c>
      <c r="R15" s="7" t="s">
        <v>33</v>
      </c>
      <c r="S15" s="7" t="s">
        <v>34</v>
      </c>
      <c r="T15" s="6"/>
      <c r="U15" s="6"/>
      <c r="V15" s="7" t="s">
        <v>33</v>
      </c>
      <c r="W15" s="6" t="s">
        <v>2374</v>
      </c>
      <c r="X15" s="7" t="s">
        <v>34</v>
      </c>
      <c r="Y15" s="13"/>
      <c r="Z15" s="7" t="s">
        <v>144</v>
      </c>
      <c r="AA15" s="6" t="s">
        <v>2375</v>
      </c>
      <c r="AB15" s="6" t="s">
        <v>2376</v>
      </c>
      <c r="AC15" s="6" t="s">
        <v>39</v>
      </c>
    </row>
    <row r="16" ht="22.5" customHeight="1">
      <c r="A16" s="14" t="str">
        <f>REGEXEXTRACT(D16, "\d{4}\.\s(.*?)\.\sProc\. ACM")"),"From Classification to Clinical Insights: Towards Analyzing and Reasoning About Mobile and Behavioral Health Data With Large Language Models</f>
        <v xml:space="preserve">From Classification to Clinical Insights: Towards Analyzing and Reasoning About Mobile and Behavioral Health Data With Large Language Models</v>
      </c>
      <c r="B16" s="15">
        <f t="shared" si="58"/>
        <v>56</v>
      </c>
      <c r="C16" s="16" t="s">
        <v>2377</v>
      </c>
      <c r="D16" s="17" t="s">
        <v>2378</v>
      </c>
      <c r="E16" s="18">
        <v>46035</v>
      </c>
      <c r="F16" s="15">
        <v>2024</v>
      </c>
      <c r="G16" s="15" t="s">
        <v>1145</v>
      </c>
      <c r="H16" s="17" t="str">
        <f t="shared" si="55"/>
        <v>2024_Jun_056</v>
      </c>
      <c r="I16" s="19" t="str">
        <f t="shared" si="56"/>
        <v>https://doi.org/10.1145/3659604</v>
      </c>
      <c r="J16" s="15">
        <f>IF(D16:D47&lt;&gt;"", VALUE(REGEXEXTRACT(D16:D47, "(\d+)\s+pages")), )
</f>
        <v>25</v>
      </c>
      <c r="K16" s="17" t="s">
        <v>64</v>
      </c>
      <c r="L16" s="15" t="str">
        <f t="shared" si="59"/>
        <v>No</v>
      </c>
      <c r="M16" s="15" t="s">
        <v>33</v>
      </c>
      <c r="N16" s="15" t="s">
        <v>33</v>
      </c>
      <c r="O16" s="15" t="s">
        <v>33</v>
      </c>
      <c r="P16" s="22" t="s">
        <v>2379</v>
      </c>
      <c r="Q16" s="17"/>
      <c r="R16" s="15" t="s">
        <v>33</v>
      </c>
      <c r="S16" s="15" t="s">
        <v>33</v>
      </c>
      <c r="T16" s="17"/>
      <c r="U16" s="17" t="s">
        <v>2380</v>
      </c>
      <c r="V16" s="15" t="s">
        <v>34</v>
      </c>
      <c r="W16" s="17"/>
      <c r="X16" s="15" t="s">
        <v>33</v>
      </c>
      <c r="Y16" s="17" t="s">
        <v>2381</v>
      </c>
      <c r="Z16" s="15" t="s">
        <v>33</v>
      </c>
      <c r="AA16" s="17" t="s">
        <v>2382</v>
      </c>
      <c r="AB16" s="17" t="s">
        <v>2383</v>
      </c>
      <c r="AC16" s="17" t="s">
        <v>39</v>
      </c>
    </row>
    <row r="17" ht="22.5" customHeight="1">
      <c r="A17" s="11" t="str">
        <f>REGEXEXTRACT(D17, "\d{4}\.\s(.*?)\.\sProc\. ACM")"),"Accurate Blood Pressure Measurement Using Smartphone's Built-in Accelerometer</f>
        <v xml:space="preserve">Accurate Blood Pressure Measurement Using Smartphone's Built-in Accelerometer</v>
      </c>
      <c r="B17" s="7">
        <f t="shared" si="58"/>
        <v>57</v>
      </c>
      <c r="C17" s="8" t="s">
        <v>2384</v>
      </c>
      <c r="D17" s="6" t="s">
        <v>2385</v>
      </c>
      <c r="E17" s="9">
        <v>46093</v>
      </c>
      <c r="F17" s="7">
        <v>2024</v>
      </c>
      <c r="G17" s="7" t="s">
        <v>1145</v>
      </c>
      <c r="H17" s="6" t="str">
        <f t="shared" si="55"/>
        <v>2024_Jun_057</v>
      </c>
      <c r="I17" s="12" t="str">
        <f t="shared" si="56"/>
        <v>https://doi.org/10.1145/3659599</v>
      </c>
      <c r="J17" s="7">
        <f>IF(D17:D47&lt;&gt;"", VALUE(REGEXEXTRACT(D17:D47, "(\d+)\s+pages")), )
</f>
        <v>28</v>
      </c>
      <c r="K17" s="6" t="s">
        <v>133</v>
      </c>
      <c r="L17" s="7" t="str">
        <f t="shared" si="59"/>
        <v>No</v>
      </c>
      <c r="M17" s="7" t="s">
        <v>34</v>
      </c>
      <c r="N17" s="7" t="s">
        <v>33</v>
      </c>
      <c r="O17" s="7" t="s">
        <v>34</v>
      </c>
      <c r="P17" s="6"/>
      <c r="Q17" s="6"/>
      <c r="R17" s="7" t="s">
        <v>33</v>
      </c>
      <c r="S17" s="7" t="s">
        <v>34</v>
      </c>
      <c r="T17" s="6"/>
      <c r="U17" s="6"/>
      <c r="V17" s="7" t="s">
        <v>33</v>
      </c>
      <c r="W17" s="6" t="s">
        <v>2386</v>
      </c>
      <c r="X17" s="7" t="s">
        <v>33</v>
      </c>
      <c r="Y17" s="6" t="s">
        <v>2387</v>
      </c>
      <c r="Z17" s="7" t="s">
        <v>34</v>
      </c>
      <c r="AA17" s="6"/>
      <c r="AB17" s="6" t="s">
        <v>2388</v>
      </c>
      <c r="AC17" s="6" t="s">
        <v>181</v>
      </c>
    </row>
    <row r="18" ht="22.5" customHeight="1">
      <c r="A18" s="11" t="str">
        <f>REGEXEXTRACT(D18, "\d{4}\.\s(.*?)\.\sProc\. ACM")"),"RFBoost: Understanding and Boosting Deep WiFi Sensing via Physical Data Augmentation</f>
        <v xml:space="preserve">RFBoost: Understanding and Boosting Deep WiFi Sensing via Physical Data Augmentation</v>
      </c>
      <c r="B18" s="7">
        <f t="shared" si="58"/>
        <v>58</v>
      </c>
      <c r="C18" s="8" t="s">
        <v>2389</v>
      </c>
      <c r="D18" s="6" t="s">
        <v>2390</v>
      </c>
      <c r="E18" s="9">
        <v>46093</v>
      </c>
      <c r="F18" s="7">
        <v>2024</v>
      </c>
      <c r="G18" s="7" t="s">
        <v>1145</v>
      </c>
      <c r="H18" s="6" t="str">
        <f t="shared" si="55"/>
        <v>2024_Jun_058</v>
      </c>
      <c r="I18" s="12" t="str">
        <f t="shared" si="56"/>
        <v>https://doi.org/10.1145/3659620</v>
      </c>
      <c r="J18" s="7">
        <f>IF(D18:D47&lt;&gt;"", VALUE(REGEXEXTRACT(D18:D47, "(\d+)\s+pages")), )
</f>
        <v>26</v>
      </c>
      <c r="K18" s="6" t="s">
        <v>64</v>
      </c>
      <c r="L18" s="7" t="str">
        <f t="shared" si="59"/>
        <v>No</v>
      </c>
      <c r="M18" s="7" t="s">
        <v>34</v>
      </c>
      <c r="N18" s="7" t="s">
        <v>33</v>
      </c>
      <c r="O18" s="7" t="s">
        <v>33</v>
      </c>
      <c r="P18" s="10" t="s">
        <v>2391</v>
      </c>
      <c r="Q18" s="6" t="s">
        <v>2392</v>
      </c>
      <c r="R18" s="7" t="s">
        <v>33</v>
      </c>
      <c r="S18" s="7" t="s">
        <v>33</v>
      </c>
      <c r="T18" s="10" t="s">
        <v>2391</v>
      </c>
      <c r="U18" s="6" t="s">
        <v>2393</v>
      </c>
      <c r="V18" s="7" t="s">
        <v>33</v>
      </c>
      <c r="W18" s="6" t="s">
        <v>2394</v>
      </c>
      <c r="X18" s="7" t="s">
        <v>33</v>
      </c>
      <c r="Y18" s="6" t="s">
        <v>2395</v>
      </c>
      <c r="Z18" s="7" t="s">
        <v>33</v>
      </c>
      <c r="AA18" s="6" t="s">
        <v>2396</v>
      </c>
      <c r="AB18" s="10" t="s">
        <v>2397</v>
      </c>
      <c r="AC18" s="6" t="s">
        <v>181</v>
      </c>
    </row>
    <row r="19" ht="22.5" customHeight="1">
      <c r="A19" s="11" t="str">
        <f>REGEXEXTRACT(D19, "\d{4}\.\s(.*?)\.\sProc\. ACM")"),"Technology which Makes You Think: The Reflection, Rumination and Thought in Technology Scale</f>
        <v xml:space="preserve">Technology which Makes You Think: The Reflection, Rumination and Thought in Technology Scale</v>
      </c>
      <c r="B19" s="7">
        <f t="shared" si="58"/>
        <v>59</v>
      </c>
      <c r="C19" s="8" t="s">
        <v>2398</v>
      </c>
      <c r="D19" s="6" t="s">
        <v>2399</v>
      </c>
      <c r="E19" s="9">
        <v>46093</v>
      </c>
      <c r="F19" s="7">
        <v>2024</v>
      </c>
      <c r="G19" s="7" t="s">
        <v>1145</v>
      </c>
      <c r="H19" s="6" t="str">
        <f t="shared" si="55"/>
        <v>2024_Jun_059</v>
      </c>
      <c r="I19" s="12" t="str">
        <f t="shared" si="56"/>
        <v>https://doi.org/10.1145/3659615</v>
      </c>
      <c r="J19" s="7">
        <f>IF(D19:D47&lt;&gt;"", VALUE(REGEXEXTRACT(D19:D47, "(\d+)\s+pages")), )
</f>
        <v>24</v>
      </c>
      <c r="K19" s="6" t="s">
        <v>110</v>
      </c>
      <c r="L19" s="7" t="str">
        <f t="shared" si="59"/>
        <v>No</v>
      </c>
      <c r="M19" s="7" t="s">
        <v>33</v>
      </c>
      <c r="N19" s="7" t="s">
        <v>34</v>
      </c>
      <c r="O19" s="7" t="s">
        <v>35</v>
      </c>
      <c r="P19" s="6"/>
      <c r="Q19" s="6"/>
      <c r="R19" s="7" t="s">
        <v>34</v>
      </c>
      <c r="S19" s="7" t="s">
        <v>35</v>
      </c>
      <c r="T19" s="6"/>
      <c r="U19" s="6"/>
      <c r="V19" s="7" t="s">
        <v>35</v>
      </c>
      <c r="W19" s="6"/>
      <c r="X19" s="7" t="s">
        <v>35</v>
      </c>
      <c r="Y19" s="13"/>
      <c r="Z19" s="7" t="s">
        <v>35</v>
      </c>
      <c r="AA19" s="6"/>
      <c r="AB19" s="6" t="s">
        <v>2400</v>
      </c>
      <c r="AC19" s="6" t="s">
        <v>181</v>
      </c>
    </row>
    <row r="20" ht="22.5" customHeight="1">
      <c r="A20" s="11" t="str">
        <f>REGEXEXTRACT(D20, "\d{4}\.\s(.*?)\.\sProc\. ACM")"),"ECSkin: Tessellating Electrochromic Films for Reconfigurable On-skin Displays</f>
        <v xml:space="preserve">ECSkin: Tessellating Electrochromic Films for Reconfigurable On-skin Displays</v>
      </c>
      <c r="B20" s="7">
        <f t="shared" si="58"/>
        <v>60</v>
      </c>
      <c r="C20" s="8" t="s">
        <v>2401</v>
      </c>
      <c r="D20" s="6" t="s">
        <v>2402</v>
      </c>
      <c r="E20" s="9">
        <v>46094</v>
      </c>
      <c r="F20" s="7">
        <v>2024</v>
      </c>
      <c r="G20" s="7" t="s">
        <v>1145</v>
      </c>
      <c r="H20" s="6" t="str">
        <f t="shared" si="55"/>
        <v>2024_Jun_060</v>
      </c>
      <c r="I20" s="12" t="str">
        <f t="shared" si="56"/>
        <v>https://doi.org/10.1145/3659613</v>
      </c>
      <c r="J20" s="7">
        <f>IF(D20:D47&lt;&gt;"", VALUE(REGEXEXTRACT(D20:D47, "(\d+)\s+pages")), )
</f>
        <v>26</v>
      </c>
      <c r="K20" s="6" t="s">
        <v>164</v>
      </c>
      <c r="L20" s="7" t="str">
        <f t="shared" si="59"/>
        <v>No</v>
      </c>
      <c r="M20" s="7" t="s">
        <v>34</v>
      </c>
      <c r="N20" s="7" t="s">
        <v>33</v>
      </c>
      <c r="O20" s="7" t="s">
        <v>34</v>
      </c>
      <c r="P20" s="6"/>
      <c r="Q20" s="6" t="s">
        <v>2403</v>
      </c>
      <c r="R20" s="7" t="s">
        <v>34</v>
      </c>
      <c r="S20" s="7" t="s">
        <v>34</v>
      </c>
      <c r="T20" s="6"/>
      <c r="U20" s="6"/>
      <c r="V20" s="7" t="s">
        <v>33</v>
      </c>
      <c r="W20" s="6" t="s">
        <v>2404</v>
      </c>
      <c r="X20" s="7" t="s">
        <v>33</v>
      </c>
      <c r="Y20" s="6" t="s">
        <v>2405</v>
      </c>
      <c r="Z20" s="7" t="s">
        <v>34</v>
      </c>
      <c r="AA20" s="6"/>
      <c r="AB20" s="6" t="s">
        <v>2406</v>
      </c>
      <c r="AC20" s="6" t="s">
        <v>181</v>
      </c>
    </row>
    <row r="21" ht="22.5" customHeight="1">
      <c r="A21" s="11" t="str">
        <f>REGEXEXTRACT(D21, "\d{4}\.\s(.*?)\.\sProc\. ACM")"),"The Personality Dimensions GPT-3 Expresses During Human-Chatbot Interactions</f>
        <v xml:space="preserve">The Personality Dimensions GPT-3 Expresses During Human-Chatbot Interactions</v>
      </c>
      <c r="B21" s="7">
        <f t="shared" si="58"/>
        <v>61</v>
      </c>
      <c r="C21" s="8" t="s">
        <v>2407</v>
      </c>
      <c r="D21" s="6" t="s">
        <v>2408</v>
      </c>
      <c r="E21" s="9">
        <v>46094</v>
      </c>
      <c r="F21" s="7">
        <v>2024</v>
      </c>
      <c r="G21" s="7" t="s">
        <v>1145</v>
      </c>
      <c r="H21" s="6" t="str">
        <f t="shared" si="55"/>
        <v>2024_Jun_061</v>
      </c>
      <c r="I21" s="12" t="str">
        <f t="shared" si="56"/>
        <v>https://doi.org/10.1145/3659626</v>
      </c>
      <c r="J21" s="7">
        <f>IF(D21:D47&lt;&gt;"", VALUE(REGEXEXTRACT(D21:D47, "(\d+)\s+pages")), )
</f>
        <v>36</v>
      </c>
      <c r="K21" s="6" t="s">
        <v>42</v>
      </c>
      <c r="L21" s="7" t="str">
        <f t="shared" si="59"/>
        <v>No</v>
      </c>
      <c r="M21" s="7" t="s">
        <v>34</v>
      </c>
      <c r="N21" s="7" t="s">
        <v>34</v>
      </c>
      <c r="O21" s="7" t="s">
        <v>35</v>
      </c>
      <c r="P21" s="6"/>
      <c r="Q21" s="6"/>
      <c r="R21" s="7" t="s">
        <v>34</v>
      </c>
      <c r="S21" s="7" t="s">
        <v>35</v>
      </c>
      <c r="T21" s="6"/>
      <c r="U21" s="6"/>
      <c r="V21" s="7" t="s">
        <v>35</v>
      </c>
      <c r="W21" s="6"/>
      <c r="X21" s="7" t="s">
        <v>35</v>
      </c>
      <c r="Y21" s="13"/>
      <c r="Z21" s="7" t="s">
        <v>35</v>
      </c>
      <c r="AA21" s="6"/>
      <c r="AB21" s="6" t="s">
        <v>2409</v>
      </c>
      <c r="AC21" s="6" t="s">
        <v>181</v>
      </c>
    </row>
    <row r="22" ht="22.5" customHeight="1">
      <c r="A22" s="11" t="str">
        <f>REGEXEXTRACT(D22, "\d{4}\.\s(.*?)\.\sProc\. ACM")"),"Push the Limit of Highly Accurate Ranging on Commercial UWB Devices</f>
        <v xml:space="preserve">Push the Limit of Highly Accurate Ranging on Commercial UWB Devices</v>
      </c>
      <c r="B22" s="7">
        <f t="shared" si="58"/>
        <v>62</v>
      </c>
      <c r="C22" s="8" t="s">
        <v>2410</v>
      </c>
      <c r="D22" s="6" t="s">
        <v>2411</v>
      </c>
      <c r="E22" s="9">
        <v>46095</v>
      </c>
      <c r="F22" s="7">
        <v>2024</v>
      </c>
      <c r="G22" s="7" t="s">
        <v>1145</v>
      </c>
      <c r="H22" s="6" t="str">
        <f t="shared" si="55"/>
        <v>2024_Jun_062</v>
      </c>
      <c r="I22" s="12" t="str">
        <f t="shared" si="56"/>
        <v>https://doi.org/10.1145/3659602</v>
      </c>
      <c r="J22" s="7">
        <f>IF(D22:D47&lt;&gt;"", VALUE(REGEXEXTRACT(D22:D47, "(\d+)\s+pages")), )
</f>
        <v>27</v>
      </c>
      <c r="K22" s="6" t="s">
        <v>71</v>
      </c>
      <c r="L22" s="7" t="str">
        <f t="shared" si="59"/>
        <v>No</v>
      </c>
      <c r="M22" s="7" t="s">
        <v>33</v>
      </c>
      <c r="N22" s="7" t="s">
        <v>33</v>
      </c>
      <c r="O22" s="7" t="s">
        <v>34</v>
      </c>
      <c r="P22" s="6"/>
      <c r="Q22" s="6"/>
      <c r="R22" s="7" t="s">
        <v>34</v>
      </c>
      <c r="S22" s="7" t="s">
        <v>34</v>
      </c>
      <c r="T22" s="6"/>
      <c r="U22" s="6"/>
      <c r="V22" s="7" t="s">
        <v>33</v>
      </c>
      <c r="W22" s="6" t="s">
        <v>2412</v>
      </c>
      <c r="X22" s="7" t="s">
        <v>33</v>
      </c>
      <c r="Y22" s="6" t="s">
        <v>2413</v>
      </c>
      <c r="Z22" s="7" t="s">
        <v>34</v>
      </c>
      <c r="AA22" s="6"/>
      <c r="AB22" s="6" t="s">
        <v>2414</v>
      </c>
      <c r="AC22" s="6" t="s">
        <v>181</v>
      </c>
    </row>
    <row r="23" ht="22.5" customHeight="1">
      <c r="A23" s="11" t="str">
        <f>REGEXEXTRACT(D23, "\d{4}\.\s(.*?)\.\sProc\. ACM")"),"WiFi-CSI Difference Paradigm: Achieving Efficient Doppler Speed Estimation for Passive Tracking</f>
        <v xml:space="preserve">WiFi-CSI Difference Paradigm: Achieving Efficient Doppler Speed Estimation for Passive Tracking</v>
      </c>
      <c r="B23" s="7">
        <f t="shared" si="58"/>
        <v>63</v>
      </c>
      <c r="C23" s="8" t="s">
        <v>2415</v>
      </c>
      <c r="D23" s="6" t="s">
        <v>2416</v>
      </c>
      <c r="E23" s="9">
        <v>46095</v>
      </c>
      <c r="F23" s="7">
        <v>2024</v>
      </c>
      <c r="G23" s="7" t="s">
        <v>1145</v>
      </c>
      <c r="H23" s="6" t="str">
        <f t="shared" si="55"/>
        <v>2024_Jun_063</v>
      </c>
      <c r="I23" s="12" t="str">
        <f t="shared" si="56"/>
        <v>https://doi.org/10.1145/3659608</v>
      </c>
      <c r="J23" s="7">
        <f>IF(D23:D47&lt;&gt;"", VALUE(REGEXEXTRACT(D23:D47, "(\d+)\s+pages")), )
</f>
        <v>29</v>
      </c>
      <c r="K23" s="6" t="s">
        <v>71</v>
      </c>
      <c r="L23" s="7" t="str">
        <f t="shared" si="59"/>
        <v>No</v>
      </c>
      <c r="M23" s="7" t="s">
        <v>34</v>
      </c>
      <c r="N23" s="7" t="s">
        <v>33</v>
      </c>
      <c r="O23" s="7" t="s">
        <v>34</v>
      </c>
      <c r="P23" s="6"/>
      <c r="Q23" s="6"/>
      <c r="R23" s="7" t="s">
        <v>33</v>
      </c>
      <c r="S23" s="7" t="s">
        <v>34</v>
      </c>
      <c r="T23" s="6"/>
      <c r="U23" s="6" t="s">
        <v>2417</v>
      </c>
      <c r="V23" s="7" t="s">
        <v>33</v>
      </c>
      <c r="W23" s="6" t="s">
        <v>2418</v>
      </c>
      <c r="X23" s="7" t="s">
        <v>33</v>
      </c>
      <c r="Y23" s="6" t="s">
        <v>2419</v>
      </c>
      <c r="Z23" s="7" t="s">
        <v>34</v>
      </c>
      <c r="AA23" s="6"/>
      <c r="AB23" s="10" t="s">
        <v>2420</v>
      </c>
      <c r="AC23" s="6" t="s">
        <v>181</v>
      </c>
    </row>
    <row r="24" ht="22.5" customHeight="1">
      <c r="A24" s="11" t="str">
        <f>REGEXEXTRACT(D24, "\d{4}\.\s(.*?)\.\sProc\. ACM")"),"CrossHAR: Generalizing Cross-dataset Human Activity Recognition via Hierarchical Self-Supervised Pretraining</f>
        <v xml:space="preserve">CrossHAR: Generalizing Cross-dataset Human Activity Recognition via Hierarchical Self-Supervised Pretraining</v>
      </c>
      <c r="B24" s="7">
        <f t="shared" si="58"/>
        <v>64</v>
      </c>
      <c r="C24" s="8" t="s">
        <v>2421</v>
      </c>
      <c r="D24" s="6" t="s">
        <v>2422</v>
      </c>
      <c r="E24" s="9">
        <v>46095</v>
      </c>
      <c r="F24" s="7">
        <v>2024</v>
      </c>
      <c r="G24" s="7" t="s">
        <v>1145</v>
      </c>
      <c r="H24" s="6" t="str">
        <f t="shared" si="55"/>
        <v>2024_Jun_064</v>
      </c>
      <c r="I24" s="12" t="str">
        <f t="shared" si="56"/>
        <v>https://doi.org/10.1145/3659597</v>
      </c>
      <c r="J24" s="7">
        <f>IF(D24:D47&lt;&gt;"", VALUE(REGEXEXTRACT(D24:D47, "(\d+)\s+pages")), )
</f>
        <v>26</v>
      </c>
      <c r="K24" s="6" t="s">
        <v>64</v>
      </c>
      <c r="L24" s="7" t="s">
        <v>34</v>
      </c>
      <c r="M24" s="7" t="s">
        <v>33</v>
      </c>
      <c r="N24" s="7" t="s">
        <v>33</v>
      </c>
      <c r="O24" s="7" t="s">
        <v>34</v>
      </c>
      <c r="P24" s="6"/>
      <c r="Q24" s="6"/>
      <c r="R24" s="7" t="s">
        <v>33</v>
      </c>
      <c r="S24" s="7" t="s">
        <v>94</v>
      </c>
      <c r="T24" s="48"/>
      <c r="U24" s="10" t="s">
        <v>2423</v>
      </c>
      <c r="V24" s="7" t="s">
        <v>33</v>
      </c>
      <c r="W24" s="6" t="s">
        <v>2424</v>
      </c>
      <c r="X24" s="7" t="s">
        <v>33</v>
      </c>
      <c r="Y24" s="6" t="s">
        <v>2425</v>
      </c>
      <c r="Z24" s="7" t="s">
        <v>34</v>
      </c>
      <c r="AA24" s="6"/>
      <c r="AB24" s="6" t="s">
        <v>2426</v>
      </c>
      <c r="AC24" s="6" t="s">
        <v>181</v>
      </c>
    </row>
    <row r="25" ht="22.5" customHeight="1">
      <c r="A25" s="11" t="str">
        <f>REGEXEXTRACT(D25, "\d{4}\.\s(.*?)\.\sProc\. ACM")"),"UWB-enabled Sensing for Fast and Effortless Blood Pressure Monitoring</f>
        <v xml:space="preserve">UWB-enabled Sensing for Fast and Effortless Blood Pressure Monitoring</v>
      </c>
      <c r="B25" s="7">
        <f t="shared" si="58"/>
        <v>65</v>
      </c>
      <c r="C25" s="8" t="s">
        <v>2427</v>
      </c>
      <c r="D25" s="6" t="s">
        <v>2428</v>
      </c>
      <c r="E25" s="9">
        <v>46095</v>
      </c>
      <c r="F25" s="7">
        <v>2024</v>
      </c>
      <c r="G25" s="7" t="s">
        <v>1145</v>
      </c>
      <c r="H25" s="6" t="str">
        <f t="shared" si="55"/>
        <v>2024_Jun_065</v>
      </c>
      <c r="I25" s="12" t="str">
        <f t="shared" si="56"/>
        <v>https://doi.org/10.1145/3659617</v>
      </c>
      <c r="J25" s="7">
        <f>IF(D25:D47&lt;&gt;"", VALUE(REGEXEXTRACT(D25:D47, "(\d+)\s+pages")), )
</f>
        <v>26</v>
      </c>
      <c r="K25" s="6" t="s">
        <v>64</v>
      </c>
      <c r="L25" s="7" t="str">
        <f t="shared" si="59"/>
        <v>No</v>
      </c>
      <c r="M25" s="7" t="s">
        <v>33</v>
      </c>
      <c r="N25" s="7" t="s">
        <v>33</v>
      </c>
      <c r="O25" s="7" t="s">
        <v>34</v>
      </c>
      <c r="P25" s="6"/>
      <c r="Q25" s="6"/>
      <c r="R25" s="7" t="s">
        <v>33</v>
      </c>
      <c r="S25" s="7" t="s">
        <v>144</v>
      </c>
      <c r="T25" s="6"/>
      <c r="U25" s="10" t="s">
        <v>2429</v>
      </c>
      <c r="V25" s="7" t="s">
        <v>33</v>
      </c>
      <c r="W25" s="6" t="s">
        <v>2430</v>
      </c>
      <c r="X25" s="7" t="s">
        <v>33</v>
      </c>
      <c r="Y25" s="6" t="s">
        <v>2431</v>
      </c>
      <c r="Z25" s="7" t="s">
        <v>34</v>
      </c>
      <c r="AA25" s="6"/>
      <c r="AB25" s="6" t="s">
        <v>2432</v>
      </c>
      <c r="AC25" s="6" t="s">
        <v>181</v>
      </c>
    </row>
    <row r="26" ht="22.5" customHeight="1">
      <c r="A26" s="11" t="str">
        <f>REGEXEXTRACT(D26, "\d{4}\.\s(.*?)\.\sProc\. ACM")"),"A Digital Companion Architecture for Ambient Intelligence</f>
        <v xml:space="preserve">A Digital Companion Architecture for Ambient Intelligence</v>
      </c>
      <c r="B26" s="7">
        <f t="shared" si="58"/>
        <v>66</v>
      </c>
      <c r="C26" s="8" t="s">
        <v>2433</v>
      </c>
      <c r="D26" s="6" t="s">
        <v>2434</v>
      </c>
      <c r="E26" s="9">
        <v>46095</v>
      </c>
      <c r="F26" s="7">
        <v>2024</v>
      </c>
      <c r="G26" s="7" t="s">
        <v>1145</v>
      </c>
      <c r="H26" s="6" t="str">
        <f t="shared" si="55"/>
        <v>2024_Jun_066</v>
      </c>
      <c r="I26" s="12" t="str">
        <f t="shared" si="56"/>
        <v>https://doi.org/10.1145/3659610</v>
      </c>
      <c r="J26" s="7">
        <f>IF(D26:D47&lt;&gt;"", VALUE(REGEXEXTRACT(D26:D47, "(\d+)\s+pages")), )
</f>
        <v>26</v>
      </c>
      <c r="K26" s="6" t="s">
        <v>133</v>
      </c>
      <c r="L26" s="7" t="str">
        <f t="shared" si="59"/>
        <v>No</v>
      </c>
      <c r="M26" s="7" t="s">
        <v>33</v>
      </c>
      <c r="N26" s="7" t="s">
        <v>33</v>
      </c>
      <c r="O26" s="7" t="s">
        <v>34</v>
      </c>
      <c r="P26" s="6"/>
      <c r="Q26" s="6"/>
      <c r="R26" s="7" t="s">
        <v>33</v>
      </c>
      <c r="S26" s="7" t="s">
        <v>34</v>
      </c>
      <c r="T26" s="6"/>
      <c r="U26" s="6"/>
      <c r="V26" s="7" t="s">
        <v>33</v>
      </c>
      <c r="W26" s="6" t="s">
        <v>2435</v>
      </c>
      <c r="X26" s="7" t="s">
        <v>33</v>
      </c>
      <c r="Y26" s="6" t="s">
        <v>2436</v>
      </c>
      <c r="Z26" s="7" t="s">
        <v>34</v>
      </c>
      <c r="AA26" s="6"/>
      <c r="AB26" s="6" t="s">
        <v>2437</v>
      </c>
      <c r="AC26" s="6" t="s">
        <v>181</v>
      </c>
    </row>
    <row r="27" ht="22.5" customHeight="1">
      <c r="A27" s="11" t="str">
        <f>REGEXEXTRACT(D27, "\d{4}\.\s(.*?)\.\sProc\. ACM")"),"Hey, What's Going On? Conveying Traffic Information to People with Visual Impairments in Highly Automated Vehicles: Introducing OnBoard</f>
        <v xml:space="preserve">Hey, What's Going On? Conveying Traffic Information to People with Visual Impairments in Highly Automated Vehicles: Introducing OnBoard</v>
      </c>
      <c r="B27" s="7">
        <f t="shared" si="58"/>
        <v>67</v>
      </c>
      <c r="C27" s="8" t="s">
        <v>2438</v>
      </c>
      <c r="D27" s="6" t="s">
        <v>2439</v>
      </c>
      <c r="E27" s="9">
        <v>46097</v>
      </c>
      <c r="F27" s="7">
        <v>2024</v>
      </c>
      <c r="G27" s="7" t="s">
        <v>1145</v>
      </c>
      <c r="H27" s="6" t="str">
        <f t="shared" si="55"/>
        <v>2024_Jun_067</v>
      </c>
      <c r="I27" s="12" t="str">
        <f t="shared" si="56"/>
        <v>https://doi.org/10.1145/3659618</v>
      </c>
      <c r="J27" s="7">
        <f>IF(D27:D47&lt;&gt;"", VALUE(REGEXEXTRACT(D27:D47, "(\d+)\s+pages")), )
</f>
        <v>24</v>
      </c>
      <c r="K27" s="6" t="s">
        <v>164</v>
      </c>
      <c r="L27" s="7" t="str">
        <f t="shared" si="59"/>
        <v>No</v>
      </c>
      <c r="M27" s="7" t="s">
        <v>33</v>
      </c>
      <c r="N27" s="7" t="s">
        <v>33</v>
      </c>
      <c r="O27" s="7" t="s">
        <v>33</v>
      </c>
      <c r="P27" s="10" t="s">
        <v>2440</v>
      </c>
      <c r="Q27" s="6"/>
      <c r="R27" s="7" t="s">
        <v>34</v>
      </c>
      <c r="S27" s="7" t="s">
        <v>34</v>
      </c>
      <c r="T27" s="6"/>
      <c r="U27" s="6"/>
      <c r="V27" s="7" t="s">
        <v>33</v>
      </c>
      <c r="W27" s="6" t="s">
        <v>2441</v>
      </c>
      <c r="X27" s="7" t="s">
        <v>33</v>
      </c>
      <c r="Y27" s="6" t="s">
        <v>2442</v>
      </c>
      <c r="Z27" s="7" t="s">
        <v>34</v>
      </c>
      <c r="AA27" s="6"/>
      <c r="AB27" s="6" t="s">
        <v>2443</v>
      </c>
      <c r="AC27" s="6" t="s">
        <v>181</v>
      </c>
    </row>
    <row r="28" ht="22.5" customHeight="1">
      <c r="A28" s="11" t="str">
        <f>REGEXEXTRACT(D28, "\d{4}\.\s(.*?)\.\sProc\. ACM")"),"Sensing to Hear through Memory: Ultrasound Speech Enhancement without Real Ultrasound Signals</f>
        <v xml:space="preserve">Sensing to Hear through Memory: Ultrasound Speech Enhancement without Real Ultrasound Signals</v>
      </c>
      <c r="B28" s="7">
        <f t="shared" si="58"/>
        <v>68</v>
      </c>
      <c r="C28" s="8" t="s">
        <v>2444</v>
      </c>
      <c r="D28" s="6" t="s">
        <v>2445</v>
      </c>
      <c r="E28" s="9">
        <v>46098</v>
      </c>
      <c r="F28" s="7">
        <v>2024</v>
      </c>
      <c r="G28" s="7" t="s">
        <v>1145</v>
      </c>
      <c r="H28" s="6" t="str">
        <f t="shared" si="55"/>
        <v>2024_Jun_068</v>
      </c>
      <c r="I28" s="12" t="str">
        <f t="shared" si="56"/>
        <v>https://doi.org/10.1145/3659598</v>
      </c>
      <c r="J28" s="7">
        <f>IF(D28:D47&lt;&gt;"", VALUE(REGEXEXTRACT(D28:D47, "(\d+)\s+pages")), )
</f>
        <v>31</v>
      </c>
      <c r="K28" s="6" t="s">
        <v>64</v>
      </c>
      <c r="L28" s="7" t="str">
        <f t="shared" si="59"/>
        <v>No</v>
      </c>
      <c r="M28" s="7" t="s">
        <v>34</v>
      </c>
      <c r="N28" s="7" t="s">
        <v>33</v>
      </c>
      <c r="O28" s="7" t="s">
        <v>34</v>
      </c>
      <c r="P28" s="6"/>
      <c r="Q28" s="6"/>
      <c r="R28" s="7" t="s">
        <v>33</v>
      </c>
      <c r="S28" s="7" t="s">
        <v>144</v>
      </c>
      <c r="T28" s="6"/>
      <c r="U28" s="6" t="s">
        <v>2446</v>
      </c>
      <c r="V28" s="7" t="s">
        <v>33</v>
      </c>
      <c r="W28" s="6" t="s">
        <v>2447</v>
      </c>
      <c r="X28" s="7" t="s">
        <v>33</v>
      </c>
      <c r="Y28" s="6" t="s">
        <v>2448</v>
      </c>
      <c r="Z28" s="7" t="s">
        <v>34</v>
      </c>
      <c r="AA28" s="6"/>
      <c r="AB28" s="6" t="s">
        <v>2449</v>
      </c>
      <c r="AC28" s="6" t="s">
        <v>181</v>
      </c>
    </row>
    <row r="29" ht="22.5" customHeight="1">
      <c r="A29" s="11" t="str">
        <f>REGEXEXTRACT(D29, "\d{4}\.\s(.*?)\.\sProc\. ACM")"),"Waving Hand as Infrared Source for Ubiquitous Gas Sensing</f>
        <v xml:space="preserve">Waving Hand as Infrared Source for Ubiquitous Gas Sensing</v>
      </c>
      <c r="B29" s="7">
        <f t="shared" si="58"/>
        <v>69</v>
      </c>
      <c r="C29" s="8" t="s">
        <v>2450</v>
      </c>
      <c r="D29" s="6" t="s">
        <v>2451</v>
      </c>
      <c r="E29" s="9">
        <v>46098</v>
      </c>
      <c r="F29" s="7">
        <v>2024</v>
      </c>
      <c r="G29" s="7" t="s">
        <v>1145</v>
      </c>
      <c r="H29" s="6" t="str">
        <f t="shared" si="55"/>
        <v>2024_Jun_069</v>
      </c>
      <c r="I29" s="12" t="str">
        <f t="shared" si="56"/>
        <v>https://doi.org/10.1145/3659605</v>
      </c>
      <c r="J29" s="7">
        <f>IF(D29:D47&lt;&gt;"", VALUE(REGEXEXTRACT(D29:D47, "(\d+)\s+pages")), )
</f>
        <v>26</v>
      </c>
      <c r="K29" s="6" t="s">
        <v>777</v>
      </c>
      <c r="L29" s="7" t="str">
        <f t="shared" si="59"/>
        <v>No</v>
      </c>
      <c r="M29" s="7" t="s">
        <v>34</v>
      </c>
      <c r="N29" s="7" t="s">
        <v>33</v>
      </c>
      <c r="O29" s="7" t="s">
        <v>34</v>
      </c>
      <c r="P29" s="6"/>
      <c r="Q29" s="6"/>
      <c r="R29" s="7" t="s">
        <v>33</v>
      </c>
      <c r="S29" s="7" t="s">
        <v>34</v>
      </c>
      <c r="T29" s="6"/>
      <c r="U29" s="6" t="s">
        <v>2452</v>
      </c>
      <c r="V29" s="7" t="s">
        <v>33</v>
      </c>
      <c r="W29" s="6" t="s">
        <v>2453</v>
      </c>
      <c r="X29" s="7" t="s">
        <v>33</v>
      </c>
      <c r="Y29" s="6" t="s">
        <v>2454</v>
      </c>
      <c r="Z29" s="7" t="s">
        <v>34</v>
      </c>
      <c r="AA29" s="6"/>
      <c r="AB29" s="6" t="s">
        <v>2455</v>
      </c>
      <c r="AC29" s="6" t="s">
        <v>181</v>
      </c>
    </row>
    <row r="30" ht="22.5" customHeight="1">
      <c r="A30" s="11" t="str">
        <f>REGEXEXTRACT(D30, "\d{4}\.\s(.*?)\.\sProc\. ACM")"),"TeleAware Robot: Designing Awareness-augmented Telepresence Robot for Remote Collaborative Locomotion</f>
        <v xml:space="preserve">TeleAware Robot: Designing Awareness-augmented Telepresence Robot for Remote Collaborative Locomotion</v>
      </c>
      <c r="B30" s="7">
        <f t="shared" si="58"/>
        <v>70</v>
      </c>
      <c r="C30" s="8" t="s">
        <v>2456</v>
      </c>
      <c r="D30" s="6" t="s">
        <v>2457</v>
      </c>
      <c r="E30" s="9">
        <v>46098</v>
      </c>
      <c r="F30" s="7">
        <v>2024</v>
      </c>
      <c r="G30" s="7" t="s">
        <v>1145</v>
      </c>
      <c r="H30" s="6" t="str">
        <f t="shared" si="55"/>
        <v>2024_Jun_070</v>
      </c>
      <c r="I30" s="12" t="str">
        <f t="shared" si="56"/>
        <v>https://doi.org/10.1145/3659622</v>
      </c>
      <c r="J30" s="7">
        <f>IF(D30:D47&lt;&gt;"", VALUE(REGEXEXTRACT(D30:D47, "(\d+)\s+pages")), )
</f>
        <v>33</v>
      </c>
      <c r="K30" s="6" t="s">
        <v>217</v>
      </c>
      <c r="L30" s="7" t="str">
        <f t="shared" si="59"/>
        <v>No</v>
      </c>
      <c r="M30" s="7" t="s">
        <v>34</v>
      </c>
      <c r="N30" s="7" t="s">
        <v>33</v>
      </c>
      <c r="O30" s="7" t="s">
        <v>34</v>
      </c>
      <c r="P30" s="6"/>
      <c r="Q30" s="6"/>
      <c r="R30" s="7" t="s">
        <v>33</v>
      </c>
      <c r="S30" s="7" t="s">
        <v>34</v>
      </c>
      <c r="T30" s="6"/>
      <c r="U30" s="6"/>
      <c r="V30" s="7" t="s">
        <v>33</v>
      </c>
      <c r="W30" s="6" t="s">
        <v>2458</v>
      </c>
      <c r="X30" s="7" t="s">
        <v>33</v>
      </c>
      <c r="Y30" s="6" t="s">
        <v>2459</v>
      </c>
      <c r="Z30" s="7" t="s">
        <v>34</v>
      </c>
      <c r="AA30" s="6"/>
      <c r="AB30" s="6" t="s">
        <v>2460</v>
      </c>
      <c r="AC30" s="6" t="s">
        <v>181</v>
      </c>
    </row>
    <row r="31" ht="22.5" customHeight="1">
      <c r="A31" s="14" t="str">
        <f>REGEXEXTRACT(D31, "\d{4}\.\s(.*?)\.\sProc\. ACM")"),"BreathPro: Monitoring Breathing Mode during Running with Earables</f>
        <v xml:space="preserve">BreathPro: Monitoring Breathing Mode during Running with Earables</v>
      </c>
      <c r="B31" s="15">
        <f t="shared" si="58"/>
        <v>71</v>
      </c>
      <c r="C31" s="16" t="s">
        <v>2461</v>
      </c>
      <c r="D31" s="17" t="s">
        <v>2462</v>
      </c>
      <c r="E31" s="18">
        <v>46098</v>
      </c>
      <c r="F31" s="15">
        <v>2024</v>
      </c>
      <c r="G31" s="15" t="s">
        <v>1145</v>
      </c>
      <c r="H31" s="17" t="str">
        <f t="shared" si="55"/>
        <v>2024_Jun_071</v>
      </c>
      <c r="I31" s="19" t="str">
        <f t="shared" si="56"/>
        <v>https://doi.org/10.1145/3659607</v>
      </c>
      <c r="J31" s="15">
        <f>IF(D31:D47&lt;&gt;"", VALUE(REGEXEXTRACT(D31:D47, "(\d+)\s+pages")), )
</f>
        <v>25</v>
      </c>
      <c r="K31" s="17" t="s">
        <v>133</v>
      </c>
      <c r="L31" s="15" t="str">
        <f t="shared" si="59"/>
        <v>No</v>
      </c>
      <c r="M31" s="15" t="s">
        <v>33</v>
      </c>
      <c r="N31" s="15" t="s">
        <v>33</v>
      </c>
      <c r="O31" s="15" t="s">
        <v>34</v>
      </c>
      <c r="P31" s="17"/>
      <c r="Q31" s="17"/>
      <c r="R31" s="15" t="s">
        <v>33</v>
      </c>
      <c r="S31" s="15" t="s">
        <v>34</v>
      </c>
      <c r="T31" s="17"/>
      <c r="U31" s="17"/>
      <c r="V31" s="15" t="s">
        <v>33</v>
      </c>
      <c r="W31" s="17" t="s">
        <v>2463</v>
      </c>
      <c r="X31" s="15" t="s">
        <v>33</v>
      </c>
      <c r="Y31" s="17" t="s">
        <v>2464</v>
      </c>
      <c r="Z31" s="15" t="s">
        <v>34</v>
      </c>
      <c r="AA31" s="17"/>
      <c r="AB31" s="17" t="s">
        <v>2465</v>
      </c>
      <c r="AC31" s="17" t="s">
        <v>181</v>
      </c>
    </row>
    <row r="32" ht="22.5" customHeight="1">
      <c r="A32" s="11" t="str">
        <f>REGEXEXTRACT(D32, "\d{4}\.\s(.*?)\.\sProc\. ACM")"),"Digital Forms for All: A Holistic Multimodal Large Language Model Agent for Health Data Entry</f>
        <v xml:space="preserve">Digital Forms for All: A Holistic Multimodal Large Language Model Agent for Health Data Entry</v>
      </c>
      <c r="B32" s="7">
        <f t="shared" si="58"/>
        <v>72</v>
      </c>
      <c r="C32" s="8" t="s">
        <v>2466</v>
      </c>
      <c r="D32" s="6" t="s">
        <v>2467</v>
      </c>
      <c r="E32" s="9">
        <v>45981</v>
      </c>
      <c r="F32" s="7">
        <v>2024</v>
      </c>
      <c r="G32" s="7" t="s">
        <v>1145</v>
      </c>
      <c r="H32" s="6" t="str">
        <f t="shared" si="55"/>
        <v>2024_Jun_072</v>
      </c>
      <c r="I32" s="12" t="str">
        <f t="shared" si="56"/>
        <v>https://doi.org/10.1145/3659624</v>
      </c>
      <c r="J32" s="7">
        <f>IF(D32:D47&lt;&gt;"", VALUE(REGEXEXTRACT(D32:D47, "(\d+)\s+pages")), )
</f>
        <v>39</v>
      </c>
      <c r="K32" s="6" t="s">
        <v>652</v>
      </c>
      <c r="L32" s="7" t="str">
        <f t="shared" si="59"/>
        <v>No</v>
      </c>
      <c r="M32" s="7" t="s">
        <v>34</v>
      </c>
      <c r="N32" s="7" t="s">
        <v>33</v>
      </c>
      <c r="O32" s="7" t="s">
        <v>33</v>
      </c>
      <c r="P32" s="10" t="s">
        <v>2468</v>
      </c>
      <c r="Q32" s="6" t="s">
        <v>2469</v>
      </c>
      <c r="R32" s="7" t="s">
        <v>34</v>
      </c>
      <c r="S32" s="7" t="s">
        <v>35</v>
      </c>
      <c r="T32" s="6"/>
      <c r="U32" s="6" t="s">
        <v>2470</v>
      </c>
      <c r="V32" s="7" t="s">
        <v>34</v>
      </c>
      <c r="W32" s="6" t="s">
        <v>2471</v>
      </c>
      <c r="X32" s="7" t="s">
        <v>33</v>
      </c>
      <c r="Y32" s="6" t="s">
        <v>2472</v>
      </c>
      <c r="Z32" s="7" t="s">
        <v>144</v>
      </c>
      <c r="AA32" s="6" t="s">
        <v>2473</v>
      </c>
      <c r="AB32" s="6" t="s">
        <v>2474</v>
      </c>
      <c r="AC32" s="6" t="s">
        <v>355</v>
      </c>
    </row>
    <row r="33" ht="22.5" customHeight="1">
      <c r="A33" s="11" t="str">
        <f>REGEXEXTRACT(D33, "\d{4}\.\s(.*?)\.\sProc\. ACM")"),"Talk2Care: An LLM-based Voice Assistant for Communication between Healthcare Providers and Older Adults</f>
        <v xml:space="preserve">Talk2Care: An LLM-based Voice Assistant for Communication between Healthcare Providers and Older Adults</v>
      </c>
      <c r="B33" s="7">
        <f t="shared" si="58"/>
        <v>73</v>
      </c>
      <c r="C33" s="8" t="s">
        <v>2475</v>
      </c>
      <c r="D33" s="6" t="s">
        <v>2476</v>
      </c>
      <c r="E33" s="9">
        <v>45981</v>
      </c>
      <c r="F33" s="7">
        <v>2024</v>
      </c>
      <c r="G33" s="7" t="s">
        <v>1145</v>
      </c>
      <c r="H33" s="6" t="str">
        <f t="shared" si="55"/>
        <v>2024_Jun_073</v>
      </c>
      <c r="I33" s="12" t="str">
        <f t="shared" si="56"/>
        <v>https://doi.org/10.1145/3659625</v>
      </c>
      <c r="J33" s="7">
        <f>IF(D33:D47&lt;&gt;"", VALUE(REGEXEXTRACT(D33:D47, "(\d+)\s+pages")), )
</f>
        <v>35</v>
      </c>
      <c r="K33" s="6" t="s">
        <v>133</v>
      </c>
      <c r="L33" s="7" t="str">
        <f t="shared" si="59"/>
        <v>No</v>
      </c>
      <c r="M33" s="7" t="s">
        <v>33</v>
      </c>
      <c r="N33" s="7" t="s">
        <v>33</v>
      </c>
      <c r="O33" s="7" t="s">
        <v>34</v>
      </c>
      <c r="P33" s="6"/>
      <c r="Q33" s="6"/>
      <c r="R33" s="7" t="s">
        <v>34</v>
      </c>
      <c r="S33" s="7" t="s">
        <v>35</v>
      </c>
      <c r="T33" s="6"/>
      <c r="U33" s="6" t="s">
        <v>2477</v>
      </c>
      <c r="V33" s="7" t="s">
        <v>33</v>
      </c>
      <c r="W33" s="6" t="s">
        <v>2478</v>
      </c>
      <c r="X33" s="7" t="s">
        <v>33</v>
      </c>
      <c r="Y33" s="6" t="s">
        <v>2479</v>
      </c>
      <c r="Z33" s="7" t="s">
        <v>34</v>
      </c>
      <c r="AA33" s="6" t="s">
        <v>2480</v>
      </c>
      <c r="AB33" s="6" t="s">
        <v>2481</v>
      </c>
      <c r="AC33" s="6" t="s">
        <v>355</v>
      </c>
    </row>
    <row r="34" ht="22.5" customHeight="1">
      <c r="A34" s="11" t="str">
        <f>REGEXEXTRACT(D34, "\d{4}\.\s(.*?)\.\sProc\. ACM")"),"Model Touch Pointing and Detect Parkinson's Disease via a Mobile Game</f>
        <v xml:space="preserve">Model Touch Pointing and Detect Parkinson's Disease via a Mobile Game</v>
      </c>
      <c r="B34" s="7">
        <f t="shared" si="58"/>
        <v>74</v>
      </c>
      <c r="C34" s="8" t="s">
        <v>2482</v>
      </c>
      <c r="D34" s="6" t="s">
        <v>2483</v>
      </c>
      <c r="E34" s="9">
        <v>45981</v>
      </c>
      <c r="F34" s="7">
        <v>2024</v>
      </c>
      <c r="G34" s="7" t="s">
        <v>1145</v>
      </c>
      <c r="H34" s="6" t="str">
        <f t="shared" si="55"/>
        <v>2024_Jun_074</v>
      </c>
      <c r="I34" s="12" t="str">
        <f t="shared" si="56"/>
        <v>https://doi.org/10.1145/3659627</v>
      </c>
      <c r="J34" s="7">
        <f>IF(D34:D47&lt;&gt;"", VALUE(REGEXEXTRACT(D34:D47, "(\d+)\s+pages")), )
</f>
        <v>24</v>
      </c>
      <c r="K34" s="6" t="s">
        <v>133</v>
      </c>
      <c r="L34" s="7" t="str">
        <f t="shared" si="59"/>
        <v>No</v>
      </c>
      <c r="M34" s="7" t="s">
        <v>34</v>
      </c>
      <c r="N34" s="7" t="s">
        <v>33</v>
      </c>
      <c r="O34" s="7" t="s">
        <v>144</v>
      </c>
      <c r="P34" s="6"/>
      <c r="Q34" s="6" t="s">
        <v>2484</v>
      </c>
      <c r="R34" s="7" t="s">
        <v>33</v>
      </c>
      <c r="S34" s="7" t="s">
        <v>33</v>
      </c>
      <c r="T34" s="10" t="s">
        <v>2485</v>
      </c>
      <c r="U34" s="6" t="s">
        <v>2486</v>
      </c>
      <c r="V34" s="7" t="s">
        <v>33</v>
      </c>
      <c r="W34" s="6" t="s">
        <v>2487</v>
      </c>
      <c r="X34" s="7" t="s">
        <v>34</v>
      </c>
      <c r="Y34" s="13"/>
      <c r="Z34" s="7" t="s">
        <v>34</v>
      </c>
      <c r="AA34" s="6" t="s">
        <v>2488</v>
      </c>
      <c r="AB34" s="6" t="s">
        <v>2489</v>
      </c>
      <c r="AC34" s="6" t="s">
        <v>355</v>
      </c>
    </row>
    <row r="35" ht="22.5" customHeight="1">
      <c r="A35" s="11" t="str">
        <f>REGEXEXTRACT(D35, "\d{4}\.\s(.*?)\.\sProc\. ACM")"),"Beamforming for Sensing: Hybrid Beamforming based on Transmitter-Receiver Collaboration for Millimeter-Wave Sensing</f>
        <v xml:space="preserve">Beamforming for Sensing: Hybrid Beamforming based on Transmitter-Receiver Collaboration for Millimeter-Wave Sensing</v>
      </c>
      <c r="B35" s="7">
        <f t="shared" si="58"/>
        <v>75</v>
      </c>
      <c r="C35" s="8" t="s">
        <v>2490</v>
      </c>
      <c r="D35" s="6" t="s">
        <v>2491</v>
      </c>
      <c r="E35" s="9">
        <v>45981</v>
      </c>
      <c r="F35" s="7">
        <v>2024</v>
      </c>
      <c r="G35" s="7" t="s">
        <v>1145</v>
      </c>
      <c r="H35" s="6" t="str">
        <f t="shared" si="55"/>
        <v>2024_Jun_075</v>
      </c>
      <c r="I35" s="12" t="str">
        <f t="shared" si="56"/>
        <v>https://doi.org/10.1145/3659619</v>
      </c>
      <c r="J35" s="7">
        <f>IF(D35:D47&lt;&gt;"", VALUE(REGEXEXTRACT(D35:D47, "(\d+)\s+pages")), )
</f>
        <v>27</v>
      </c>
      <c r="K35" s="6" t="s">
        <v>217</v>
      </c>
      <c r="L35" s="7" t="str">
        <f t="shared" si="59"/>
        <v>No</v>
      </c>
      <c r="M35" s="7" t="s">
        <v>34</v>
      </c>
      <c r="N35" s="7" t="s">
        <v>33</v>
      </c>
      <c r="O35" s="7" t="s">
        <v>34</v>
      </c>
      <c r="P35" s="6"/>
      <c r="Q35" s="6" t="s">
        <v>2492</v>
      </c>
      <c r="R35" s="7" t="s">
        <v>33</v>
      </c>
      <c r="S35" s="7" t="s">
        <v>34</v>
      </c>
      <c r="T35" s="6"/>
      <c r="U35" s="6" t="s">
        <v>2493</v>
      </c>
      <c r="V35" s="7" t="s">
        <v>33</v>
      </c>
      <c r="W35" s="6" t="s">
        <v>2494</v>
      </c>
      <c r="X35" s="7" t="s">
        <v>33</v>
      </c>
      <c r="Y35" s="6" t="s">
        <v>2495</v>
      </c>
      <c r="Z35" s="7" t="s">
        <v>34</v>
      </c>
      <c r="AA35" s="6" t="s">
        <v>2496</v>
      </c>
      <c r="AB35" s="6" t="s">
        <v>2497</v>
      </c>
      <c r="AC35" s="6" t="s">
        <v>355</v>
      </c>
    </row>
    <row r="36" ht="22.5" customHeight="1">
      <c r="A36" s="11" t="str">
        <f>REGEXEXTRACT(D36, "\d{4}\.\s(.*?)\.\sProc\. ACM")"),"SonicVista: Towards Creating Awareness of Distant Scenes through Sonification</f>
        <v xml:space="preserve">SonicVista: Towards Creating Awareness of Distant Scenes through Sonification</v>
      </c>
      <c r="B36" s="7">
        <f t="shared" si="58"/>
        <v>76</v>
      </c>
      <c r="C36" s="8" t="s">
        <v>2498</v>
      </c>
      <c r="D36" s="6" t="s">
        <v>2499</v>
      </c>
      <c r="E36" s="9">
        <v>45981</v>
      </c>
      <c r="F36" s="7">
        <v>2024</v>
      </c>
      <c r="G36" s="7" t="s">
        <v>1145</v>
      </c>
      <c r="H36" s="6" t="str">
        <f t="shared" si="55"/>
        <v>2024_Jun_076</v>
      </c>
      <c r="I36" s="12" t="str">
        <f t="shared" si="56"/>
        <v>https://doi.org/10.1145/3659609</v>
      </c>
      <c r="J36" s="7">
        <f>IF(D36:D47&lt;&gt;"", VALUE(REGEXEXTRACT(D36:D47, "(\d+)\s+pages")), )
</f>
        <v>32</v>
      </c>
      <c r="K36" s="6" t="s">
        <v>42</v>
      </c>
      <c r="L36" s="7" t="str">
        <f t="shared" si="59"/>
        <v>No</v>
      </c>
      <c r="M36" s="7" t="s">
        <v>34</v>
      </c>
      <c r="N36" s="7" t="s">
        <v>34</v>
      </c>
      <c r="O36" s="7" t="s">
        <v>35</v>
      </c>
      <c r="P36" s="6"/>
      <c r="Q36" s="6"/>
      <c r="R36" s="7" t="s">
        <v>34</v>
      </c>
      <c r="S36" s="7" t="s">
        <v>35</v>
      </c>
      <c r="T36" s="6"/>
      <c r="U36" s="6"/>
      <c r="V36" s="7" t="s">
        <v>35</v>
      </c>
      <c r="W36" s="6"/>
      <c r="X36" s="7" t="s">
        <v>35</v>
      </c>
      <c r="Y36" s="13"/>
      <c r="Z36" s="7" t="s">
        <v>35</v>
      </c>
      <c r="AA36" s="6"/>
      <c r="AB36" s="6"/>
      <c r="AC36" s="6" t="s">
        <v>355</v>
      </c>
    </row>
    <row r="37" ht="22.5" customHeight="1">
      <c r="A37" s="11" t="str">
        <f>REGEXEXTRACT(D37, "\d{4}\.\s(.*?)\.\sProc\. ACM")"),"Detecting Users' Emotional States during Passive Social Media Use</f>
        <v xml:space="preserve">Detecting Users' Emotional States during Passive Social Media Use</v>
      </c>
      <c r="B37" s="7">
        <f t="shared" si="58"/>
        <v>77</v>
      </c>
      <c r="C37" s="8" t="s">
        <v>2500</v>
      </c>
      <c r="D37" s="6" t="s">
        <v>2501</v>
      </c>
      <c r="E37" s="9">
        <v>45982</v>
      </c>
      <c r="F37" s="7">
        <v>2024</v>
      </c>
      <c r="G37" s="7" t="s">
        <v>1145</v>
      </c>
      <c r="H37" s="6" t="str">
        <f t="shared" si="55"/>
        <v>2024_Jun_077</v>
      </c>
      <c r="I37" s="12" t="str">
        <f t="shared" si="56"/>
        <v>https://doi.org/10.1145/3659606</v>
      </c>
      <c r="J37" s="7">
        <f>IF(D37:D47&lt;&gt;"", VALUE(REGEXEXTRACT(D37:D47, "(\d+)\s+pages")), )
</f>
        <v>30</v>
      </c>
      <c r="K37" s="6" t="s">
        <v>652</v>
      </c>
      <c r="L37" s="7" t="str">
        <f t="shared" si="59"/>
        <v>No</v>
      </c>
      <c r="M37" s="7" t="s">
        <v>34</v>
      </c>
      <c r="N37" s="7" t="s">
        <v>33</v>
      </c>
      <c r="O37" s="7" t="s">
        <v>34</v>
      </c>
      <c r="P37" s="6"/>
      <c r="Q37" s="6"/>
      <c r="R37" s="7" t="s">
        <v>33</v>
      </c>
      <c r="S37" s="7" t="s">
        <v>34</v>
      </c>
      <c r="T37" s="6"/>
      <c r="U37" s="6" t="s">
        <v>2502</v>
      </c>
      <c r="V37" s="7" t="s">
        <v>33</v>
      </c>
      <c r="W37" s="6" t="s">
        <v>2503</v>
      </c>
      <c r="X37" s="7" t="s">
        <v>34</v>
      </c>
      <c r="Y37" s="6" t="s">
        <v>2504</v>
      </c>
      <c r="Z37" s="7" t="s">
        <v>34</v>
      </c>
      <c r="AA37" s="6" t="s">
        <v>2505</v>
      </c>
      <c r="AB37" s="6" t="s">
        <v>2506</v>
      </c>
      <c r="AC37" s="6" t="s">
        <v>355</v>
      </c>
    </row>
    <row r="38" ht="22.5" customHeight="1">
      <c r="A38" s="11" t="str">
        <f>REGEXEXTRACT(D38, "\d{4}\.\s(.*?)\.\sProc\. ACM")"),"G-VOILA: Gaze-Facilitated Information Querying in Daily Scenarios</f>
        <v xml:space="preserve">G-VOILA: Gaze-Facilitated Information Querying in Daily Scenarios</v>
      </c>
      <c r="B38" s="7">
        <f t="shared" si="58"/>
        <v>78</v>
      </c>
      <c r="C38" s="8" t="s">
        <v>2507</v>
      </c>
      <c r="D38" s="6" t="s">
        <v>2508</v>
      </c>
      <c r="E38" s="9">
        <v>45982</v>
      </c>
      <c r="F38" s="7">
        <v>2024</v>
      </c>
      <c r="G38" s="7" t="s">
        <v>1145</v>
      </c>
      <c r="H38" s="6" t="str">
        <f t="shared" si="55"/>
        <v>2024_Jun_078</v>
      </c>
      <c r="I38" s="12" t="str">
        <f t="shared" si="56"/>
        <v>https://doi.org/10.1145/3659623</v>
      </c>
      <c r="J38" s="7">
        <f>IF(D38:D47&lt;&gt;"", VALUE(REGEXEXTRACT(D38:D47, "(\d+)\s+pages")), )
</f>
        <v>33</v>
      </c>
      <c r="K38" s="6" t="s">
        <v>652</v>
      </c>
      <c r="L38" s="7" t="str">
        <f t="shared" si="59"/>
        <v>No</v>
      </c>
      <c r="M38" s="7" t="s">
        <v>33</v>
      </c>
      <c r="N38" s="7" t="s">
        <v>33</v>
      </c>
      <c r="O38" s="7" t="s">
        <v>33</v>
      </c>
      <c r="P38" s="10" t="s">
        <v>2509</v>
      </c>
      <c r="Q38" s="6" t="s">
        <v>2510</v>
      </c>
      <c r="R38" s="7" t="s">
        <v>33</v>
      </c>
      <c r="S38" s="7" t="s">
        <v>34</v>
      </c>
      <c r="T38" s="6"/>
      <c r="U38" s="6" t="s">
        <v>2511</v>
      </c>
      <c r="V38" s="7" t="s">
        <v>33</v>
      </c>
      <c r="W38" s="6" t="s">
        <v>2512</v>
      </c>
      <c r="X38" s="7" t="s">
        <v>33</v>
      </c>
      <c r="Y38" s="6" t="s">
        <v>2513</v>
      </c>
      <c r="Z38" s="7" t="s">
        <v>144</v>
      </c>
      <c r="AA38" s="6" t="s">
        <v>2514</v>
      </c>
      <c r="AB38" s="6" t="s">
        <v>2515</v>
      </c>
      <c r="AC38" s="6" t="s">
        <v>355</v>
      </c>
    </row>
    <row r="39" ht="22.5" customHeight="1">
      <c r="A39" s="11" t="str">
        <f>REGEXEXTRACT(D39, "\d{4}\.\s(.*?)\.\sProc\. ACM")"),"Changing Your Tune: Lessons for Using Music to Encourage Physical Activity</f>
        <v xml:space="preserve">Changing Your Tune: Lessons for Using Music to Encourage Physical Activity</v>
      </c>
      <c r="B39" s="7">
        <f t="shared" si="58"/>
        <v>79</v>
      </c>
      <c r="C39" s="8" t="s">
        <v>2516</v>
      </c>
      <c r="D39" s="6" t="s">
        <v>2517</v>
      </c>
      <c r="E39" s="9">
        <v>45982</v>
      </c>
      <c r="F39" s="7">
        <v>2024</v>
      </c>
      <c r="G39" s="7" t="s">
        <v>1145</v>
      </c>
      <c r="H39" s="6" t="str">
        <f t="shared" si="55"/>
        <v>2024_Jun_079</v>
      </c>
      <c r="I39" s="12" t="str">
        <f t="shared" si="56"/>
        <v>https://doi.org/10.1145/3659611</v>
      </c>
      <c r="J39" s="7">
        <f>IF(D39:D47&lt;&gt;"", VALUE(REGEXEXTRACT(D39:D47, "(\d+)\s+pages")), )
</f>
        <v>24</v>
      </c>
      <c r="K39" s="6" t="s">
        <v>652</v>
      </c>
      <c r="L39" s="7" t="str">
        <f t="shared" si="59"/>
        <v>No</v>
      </c>
      <c r="M39" s="7" t="s">
        <v>33</v>
      </c>
      <c r="N39" s="7" t="s">
        <v>33</v>
      </c>
      <c r="O39" s="7" t="s">
        <v>34</v>
      </c>
      <c r="P39" s="6"/>
      <c r="Q39" s="6" t="s">
        <v>2518</v>
      </c>
      <c r="R39" s="7" t="s">
        <v>33</v>
      </c>
      <c r="S39" s="7" t="s">
        <v>34</v>
      </c>
      <c r="T39" s="6"/>
      <c r="U39" s="6" t="s">
        <v>2519</v>
      </c>
      <c r="V39" s="7" t="s">
        <v>33</v>
      </c>
      <c r="W39" s="6" t="s">
        <v>2520</v>
      </c>
      <c r="X39" s="7" t="s">
        <v>34</v>
      </c>
      <c r="Y39" s="6" t="s">
        <v>2521</v>
      </c>
      <c r="Z39" s="7" t="s">
        <v>34</v>
      </c>
      <c r="AA39" s="6" t="s">
        <v>2522</v>
      </c>
      <c r="AB39" s="6" t="s">
        <v>2523</v>
      </c>
      <c r="AC39" s="6" t="s">
        <v>355</v>
      </c>
    </row>
    <row r="40" ht="22.5" customHeight="1">
      <c r="A40" s="11" t="str">
        <f>REGEXEXTRACT(D40, "\d{4}\.\s(.*?)\.\sProc\. ACM")"),"CrowdBot: An Open-Environment Robot Management System for On-Campus Services</f>
        <v xml:space="preserve">CrowdBot: An Open-Environment Robot Management System for On-Campus Services</v>
      </c>
      <c r="B40" s="7">
        <f t="shared" si="58"/>
        <v>80</v>
      </c>
      <c r="C40" s="8" t="s">
        <v>2524</v>
      </c>
      <c r="D40" s="6" t="s">
        <v>2525</v>
      </c>
      <c r="E40" s="9">
        <v>45982</v>
      </c>
      <c r="F40" s="7">
        <v>2024</v>
      </c>
      <c r="G40" s="7" t="s">
        <v>1145</v>
      </c>
      <c r="H40" s="6" t="str">
        <f t="shared" si="55"/>
        <v>2024_Jun_080</v>
      </c>
      <c r="I40" s="12" t="str">
        <f t="shared" si="56"/>
        <v>https://doi.org/10.1145/3659601</v>
      </c>
      <c r="J40" s="7">
        <f>IF(D40:D47&lt;&gt;"", VALUE(REGEXEXTRACT(D40:D47, "(\d+)\s+pages")), )
</f>
        <v>27</v>
      </c>
      <c r="K40" s="6" t="s">
        <v>217</v>
      </c>
      <c r="L40" s="7" t="str">
        <f t="shared" si="59"/>
        <v>No</v>
      </c>
      <c r="M40" s="7" t="s">
        <v>34</v>
      </c>
      <c r="N40" s="7" t="s">
        <v>33</v>
      </c>
      <c r="O40" s="7" t="s">
        <v>34</v>
      </c>
      <c r="P40" s="6"/>
      <c r="Q40" s="6"/>
      <c r="R40" s="7" t="s">
        <v>33</v>
      </c>
      <c r="S40" s="7" t="s">
        <v>34</v>
      </c>
      <c r="T40" s="6"/>
      <c r="U40" s="6" t="s">
        <v>2526</v>
      </c>
      <c r="V40" s="7" t="s">
        <v>33</v>
      </c>
      <c r="W40" s="6" t="s">
        <v>2527</v>
      </c>
      <c r="X40" s="7" t="s">
        <v>33</v>
      </c>
      <c r="Y40" s="6" t="s">
        <v>2528</v>
      </c>
      <c r="Z40" s="7" t="s">
        <v>34</v>
      </c>
      <c r="AA40" s="6" t="s">
        <v>2529</v>
      </c>
      <c r="AB40" s="6" t="s">
        <v>2530</v>
      </c>
      <c r="AC40" s="6" t="s">
        <v>355</v>
      </c>
    </row>
    <row r="41" ht="22.5" customHeight="1">
      <c r="A41" s="11" t="str">
        <f>REGEXEXTRACT(D41, "\d{4}\.\s(.*?)\.\sProc\. ACM")"),"Predicting Multi-dimensional Surgical Outcomes with Multi-modal Mobile Sensing: A Case Study with Patients Undergoing Lumbar Spine Surgery</f>
        <v xml:space="preserve">Predicting Multi-dimensional Surgical Outcomes with Multi-modal Mobile Sensing: A Case Study with Patients Undergoing Lumbar Spine Surgery</v>
      </c>
      <c r="B41" s="7">
        <f t="shared" si="58"/>
        <v>81</v>
      </c>
      <c r="C41" s="8" t="s">
        <v>2531</v>
      </c>
      <c r="D41" s="6" t="s">
        <v>2532</v>
      </c>
      <c r="E41" s="9">
        <v>45982</v>
      </c>
      <c r="F41" s="7">
        <v>2024</v>
      </c>
      <c r="G41" s="7" t="s">
        <v>1145</v>
      </c>
      <c r="H41" s="6" t="str">
        <f t="shared" si="55"/>
        <v>2024_Jun_081</v>
      </c>
      <c r="I41" s="12" t="str">
        <f t="shared" si="56"/>
        <v>https://doi.org/10.1145/3659628</v>
      </c>
      <c r="J41" s="7">
        <f>IF(D41:D47&lt;&gt;"", VALUE(REGEXEXTRACT(D41:D47, "(\d+)\s+pages")), )
</f>
        <v>30</v>
      </c>
      <c r="K41" s="6" t="s">
        <v>32</v>
      </c>
      <c r="L41" s="7" t="str">
        <f t="shared" si="59"/>
        <v>No</v>
      </c>
      <c r="M41" s="7" t="s">
        <v>33</v>
      </c>
      <c r="N41" s="7" t="s">
        <v>33</v>
      </c>
      <c r="O41" s="7" t="s">
        <v>34</v>
      </c>
      <c r="P41" s="6"/>
      <c r="Q41" s="6" t="s">
        <v>2306</v>
      </c>
      <c r="R41" s="7" t="s">
        <v>33</v>
      </c>
      <c r="S41" s="7" t="s">
        <v>34</v>
      </c>
      <c r="T41" s="6"/>
      <c r="U41" s="6" t="s">
        <v>2533</v>
      </c>
      <c r="V41" s="7" t="s">
        <v>33</v>
      </c>
      <c r="W41" s="6" t="s">
        <v>2534</v>
      </c>
      <c r="X41" s="7" t="s">
        <v>33</v>
      </c>
      <c r="Y41" s="6" t="s">
        <v>2535</v>
      </c>
      <c r="Z41" s="7" t="s">
        <v>34</v>
      </c>
      <c r="AA41" s="6" t="s">
        <v>2536</v>
      </c>
      <c r="AB41" s="6" t="s">
        <v>2537</v>
      </c>
      <c r="AC41" s="6" t="s">
        <v>355</v>
      </c>
    </row>
    <row r="42" ht="22.5" customHeight="1">
      <c r="A42" s="11" t="str">
        <f>REGEXEXTRACT(D42, "\d{4}\.\s(.*?)\.\sProc\. ACM")"),"PPG-Hear: A Practical Eavesdropping Attack with Photoplethysmography Sensors</f>
        <v xml:space="preserve">PPG-Hear: A Practical Eavesdropping Attack with Photoplethysmography Sensors</v>
      </c>
      <c r="B42" s="7">
        <f t="shared" si="58"/>
        <v>82</v>
      </c>
      <c r="C42" s="8" t="s">
        <v>2538</v>
      </c>
      <c r="D42" s="6" t="s">
        <v>2539</v>
      </c>
      <c r="E42" s="9">
        <v>45982</v>
      </c>
      <c r="F42" s="7">
        <v>2024</v>
      </c>
      <c r="G42" s="7" t="s">
        <v>1145</v>
      </c>
      <c r="H42" s="6" t="str">
        <f t="shared" si="55"/>
        <v>2024_Jun_082</v>
      </c>
      <c r="I42" s="12" t="str">
        <f t="shared" si="56"/>
        <v>https://doi.org/10.1145/3659603</v>
      </c>
      <c r="J42" s="7">
        <f>IF(D42:D47&lt;&gt;"", VALUE(REGEXEXTRACT(D42:D47, "(\d+)\s+pages")), )
</f>
        <v>28</v>
      </c>
      <c r="K42" s="6" t="s">
        <v>217</v>
      </c>
      <c r="L42" s="7" t="str">
        <f t="shared" si="59"/>
        <v>No</v>
      </c>
      <c r="M42" s="7" t="s">
        <v>34</v>
      </c>
      <c r="N42" s="7" t="s">
        <v>33</v>
      </c>
      <c r="O42" s="7" t="s">
        <v>34</v>
      </c>
      <c r="P42" s="6"/>
      <c r="Q42" s="6"/>
      <c r="R42" s="7" t="s">
        <v>33</v>
      </c>
      <c r="S42" s="7" t="s">
        <v>144</v>
      </c>
      <c r="T42" s="10" t="s">
        <v>2540</v>
      </c>
      <c r="U42" s="6" t="s">
        <v>2541</v>
      </c>
      <c r="V42" s="7" t="s">
        <v>33</v>
      </c>
      <c r="W42" s="6" t="s">
        <v>2542</v>
      </c>
      <c r="X42" s="7" t="s">
        <v>34</v>
      </c>
      <c r="Y42" s="13"/>
      <c r="Z42" s="7" t="s">
        <v>34</v>
      </c>
      <c r="AA42" s="6" t="s">
        <v>2543</v>
      </c>
      <c r="AB42" s="6" t="s">
        <v>2544</v>
      </c>
      <c r="AC42" s="6" t="s">
        <v>355</v>
      </c>
    </row>
    <row r="43" ht="22.5" customHeight="1">
      <c r="A43" s="11" t="str">
        <f>REGEXEXTRACT(D43, "\d{4}\.\s(.*?)\.\sProc\. ACM")"),"The EarSAVAS Dataset: Enabling Subject-Aware Vocal Activity Sensing on Earables</f>
        <v xml:space="preserve">The EarSAVAS Dataset: Enabling Subject-Aware Vocal Activity Sensing on Earables</v>
      </c>
      <c r="B43" s="7">
        <f t="shared" si="58"/>
        <v>83</v>
      </c>
      <c r="C43" s="8" t="s">
        <v>2545</v>
      </c>
      <c r="D43" s="6" t="s">
        <v>2546</v>
      </c>
      <c r="E43" s="9">
        <v>45982</v>
      </c>
      <c r="F43" s="7">
        <v>2024</v>
      </c>
      <c r="G43" s="7" t="s">
        <v>1145</v>
      </c>
      <c r="H43" s="6" t="str">
        <f t="shared" si="55"/>
        <v>2024_Jun_083</v>
      </c>
      <c r="I43" s="12" t="str">
        <f t="shared" si="56"/>
        <v>https://doi.org/10.1145/3659616</v>
      </c>
      <c r="J43" s="7">
        <f>IF(D43:D47&lt;&gt;"", VALUE(REGEXEXTRACT(D43:D47, "(\d+)\s+pages")), )
</f>
        <v>26</v>
      </c>
      <c r="K43" s="6" t="s">
        <v>2547</v>
      </c>
      <c r="L43" s="7" t="str">
        <f>IF(REGEXMATCH(LOWER($A43),"(^|[^a-z])dataset(s)?([^a-z]|$)"),"Yes","No")"),"Yes</f>
        <v>Yes</v>
      </c>
      <c r="M43" s="7" t="s">
        <v>33</v>
      </c>
      <c r="N43" s="7" t="s">
        <v>33</v>
      </c>
      <c r="O43" s="7" t="s">
        <v>33</v>
      </c>
      <c r="P43" s="10" t="s">
        <v>2548</v>
      </c>
      <c r="Q43" s="6" t="s">
        <v>2549</v>
      </c>
      <c r="R43" s="7" t="s">
        <v>33</v>
      </c>
      <c r="S43" s="7" t="s">
        <v>33</v>
      </c>
      <c r="T43" s="10" t="s">
        <v>2550</v>
      </c>
      <c r="U43" s="6" t="s">
        <v>2551</v>
      </c>
      <c r="V43" s="7" t="s">
        <v>33</v>
      </c>
      <c r="W43" s="6" t="s">
        <v>2552</v>
      </c>
      <c r="X43" s="7" t="s">
        <v>34</v>
      </c>
      <c r="Y43" s="6" t="s">
        <v>2553</v>
      </c>
      <c r="Z43" s="7" t="s">
        <v>33</v>
      </c>
      <c r="AA43" s="6" t="s">
        <v>2554</v>
      </c>
      <c r="AB43" s="6" t="s">
        <v>2555</v>
      </c>
      <c r="AC43" s="6" t="s">
        <v>355</v>
      </c>
    </row>
    <row r="44" ht="22.5" customHeight="1">
      <c r="A44" s="11" t="str">
        <f>REGEXEXTRACT(D44, "\d{4}\.\s(.*?)\.\sProc\. ACM")"),"Lipwatch: Enabling Silent Speech Recognition on Smartwatches using Acoustic Sensing</f>
        <v xml:space="preserve">Lipwatch: Enabling Silent Speech Recognition on Smartwatches using Acoustic Sensing</v>
      </c>
      <c r="B44" s="7">
        <f t="shared" si="58"/>
        <v>84</v>
      </c>
      <c r="C44" s="8" t="s">
        <v>2556</v>
      </c>
      <c r="D44" s="6" t="s">
        <v>2557</v>
      </c>
      <c r="E44" s="9">
        <v>45982</v>
      </c>
      <c r="F44" s="7">
        <v>2024</v>
      </c>
      <c r="G44" s="7" t="s">
        <v>1145</v>
      </c>
      <c r="H44" s="6" t="str">
        <f t="shared" si="55"/>
        <v>2024_Jun_084</v>
      </c>
      <c r="I44" s="12" t="str">
        <f t="shared" si="56"/>
        <v>https://doi.org/10.1145/3659614</v>
      </c>
      <c r="J44" s="7">
        <f>IF(D44:D47&lt;&gt;"", VALUE(REGEXEXTRACT(D44:D47, "(\d+)\s+pages")), )
</f>
        <v>29</v>
      </c>
      <c r="K44" s="6" t="s">
        <v>133</v>
      </c>
      <c r="L44" s="7" t="str">
        <f t="shared" ref="L44:L47" si="60">IF(REGEXMATCH(LOWER($A44),"(^|[^a-z])dataset(s)?([^a-z]|$)"),"Yes","No")"),"No</f>
        <v>No</v>
      </c>
      <c r="M44" s="7" t="s">
        <v>34</v>
      </c>
      <c r="N44" s="7" t="s">
        <v>33</v>
      </c>
      <c r="O44" s="7" t="s">
        <v>34</v>
      </c>
      <c r="P44" s="6"/>
      <c r="Q44" s="6"/>
      <c r="R44" s="7" t="s">
        <v>33</v>
      </c>
      <c r="S44" s="7" t="s">
        <v>34</v>
      </c>
      <c r="T44" s="6"/>
      <c r="U44" s="6" t="s">
        <v>2558</v>
      </c>
      <c r="V44" s="7" t="s">
        <v>33</v>
      </c>
      <c r="W44" s="6" t="s">
        <v>2559</v>
      </c>
      <c r="X44" s="7" t="s">
        <v>34</v>
      </c>
      <c r="Y44" s="6" t="s">
        <v>2560</v>
      </c>
      <c r="Z44" s="7" t="s">
        <v>34</v>
      </c>
      <c r="AA44" s="6" t="s">
        <v>1847</v>
      </c>
      <c r="AB44" s="6" t="s">
        <v>2561</v>
      </c>
      <c r="AC44" s="6" t="s">
        <v>355</v>
      </c>
    </row>
    <row r="45" ht="22.5" customHeight="1">
      <c r="A45" s="11" t="str">
        <f>REGEXEXTRACT(D45, "\d{4}\.\s(.*?)\.\sProc\. ACM")"),"ShuffleFL: Addressing Heterogeneity in Multi-Device Federated Learning</f>
        <v xml:space="preserve">ShuffleFL: Addressing Heterogeneity in Multi-Device Federated Learning</v>
      </c>
      <c r="B45" s="7">
        <f t="shared" si="58"/>
        <v>85</v>
      </c>
      <c r="C45" s="8" t="s">
        <v>2562</v>
      </c>
      <c r="D45" s="23" t="s">
        <v>2563</v>
      </c>
      <c r="E45" s="9">
        <v>45982</v>
      </c>
      <c r="F45" s="7">
        <v>2024</v>
      </c>
      <c r="G45" s="7" t="s">
        <v>1145</v>
      </c>
      <c r="H45" s="6" t="str">
        <f t="shared" si="55"/>
        <v>2024_Jun_085</v>
      </c>
      <c r="I45" s="12" t="str">
        <f t="shared" si="56"/>
        <v>https://doi.org/10.1145/3659621</v>
      </c>
      <c r="J45" s="7">
        <f>IF(D45:D47&lt;&gt;"", VALUE(REGEXEXTRACT(D45:D47, "(\d+)\s+pages")), )
</f>
        <v>34</v>
      </c>
      <c r="K45" s="6" t="s">
        <v>71</v>
      </c>
      <c r="L45" s="7" t="str">
        <f t="shared" si="60"/>
        <v>No</v>
      </c>
      <c r="M45" s="7" t="s">
        <v>33</v>
      </c>
      <c r="N45" s="7" t="s">
        <v>33</v>
      </c>
      <c r="O45" s="7" t="s">
        <v>34</v>
      </c>
      <c r="P45" s="6"/>
      <c r="Q45" s="6" t="s">
        <v>1378</v>
      </c>
      <c r="R45" s="7" t="s">
        <v>33</v>
      </c>
      <c r="S45" s="7" t="s">
        <v>33</v>
      </c>
      <c r="T45" s="6"/>
      <c r="U45" s="6" t="s">
        <v>2564</v>
      </c>
      <c r="V45" s="7" t="s">
        <v>34</v>
      </c>
      <c r="W45" s="6" t="s">
        <v>2565</v>
      </c>
      <c r="X45" s="7" t="s">
        <v>34</v>
      </c>
      <c r="Y45" s="6" t="s">
        <v>2566</v>
      </c>
      <c r="Z45" s="7" t="s">
        <v>34</v>
      </c>
      <c r="AA45" s="6" t="s">
        <v>2567</v>
      </c>
      <c r="AB45" s="6" t="s">
        <v>2568</v>
      </c>
      <c r="AC45" s="6" t="s">
        <v>355</v>
      </c>
    </row>
    <row r="46" ht="22.5" customHeight="1">
      <c r="A46" s="11" t="str">
        <f>REGEXEXTRACT(D46, "\d{4}\.\s(.*?)\.\sProc\. ACM")"),"Seeing through the Tactile: 3D Human Shape Estimation from Temporal In-Bed Pressure Images</f>
        <v xml:space="preserve">Seeing through the Tactile: 3D Human Shape Estimation from Temporal In-Bed Pressure Images</v>
      </c>
      <c r="B46" s="7">
        <f t="shared" si="58"/>
        <v>86</v>
      </c>
      <c r="C46" s="8" t="s">
        <v>2569</v>
      </c>
      <c r="D46" s="6" t="s">
        <v>2570</v>
      </c>
      <c r="E46" s="9">
        <v>45982</v>
      </c>
      <c r="F46" s="7">
        <v>2024</v>
      </c>
      <c r="G46" s="7" t="s">
        <v>1145</v>
      </c>
      <c r="H46" s="6" t="str">
        <f t="shared" si="55"/>
        <v>2024_Jun_086</v>
      </c>
      <c r="I46" s="12" t="str">
        <f t="shared" si="56"/>
        <v>https://doi.org/10.1145/3659612</v>
      </c>
      <c r="J46" s="7">
        <f>IF(D46:D47&lt;&gt;"", VALUE(REGEXEXTRACT(D46:D47, "(\d+)\s+pages")), )
</f>
        <v>39</v>
      </c>
      <c r="K46" s="6" t="s">
        <v>243</v>
      </c>
      <c r="L46" s="7" t="str">
        <f t="shared" si="60"/>
        <v>No</v>
      </c>
      <c r="M46" s="7" t="s">
        <v>34</v>
      </c>
      <c r="N46" s="7" t="s">
        <v>33</v>
      </c>
      <c r="O46" s="7" t="s">
        <v>33</v>
      </c>
      <c r="P46" s="10" t="s">
        <v>2571</v>
      </c>
      <c r="Q46" s="6" t="s">
        <v>2572</v>
      </c>
      <c r="R46" s="7" t="s">
        <v>33</v>
      </c>
      <c r="S46" s="7" t="s">
        <v>33</v>
      </c>
      <c r="T46" s="10" t="s">
        <v>2571</v>
      </c>
      <c r="U46" s="6" t="s">
        <v>2573</v>
      </c>
      <c r="V46" s="7" t="s">
        <v>33</v>
      </c>
      <c r="W46" s="6" t="s">
        <v>2574</v>
      </c>
      <c r="X46" s="7" t="s">
        <v>34</v>
      </c>
      <c r="Y46" s="6" t="s">
        <v>2575</v>
      </c>
      <c r="Z46" s="7" t="s">
        <v>144</v>
      </c>
      <c r="AA46" s="6" t="s">
        <v>2576</v>
      </c>
      <c r="AB46" s="6" t="s">
        <v>2577</v>
      </c>
      <c r="AC46" s="6" t="s">
        <v>355</v>
      </c>
    </row>
    <row r="47" ht="22.5" customHeight="1">
      <c r="A47" s="11" t="str">
        <f>REGEXEXTRACT(D47, "\d{4}\.\s(.*?)\.\sProc\. ACM")"),"Can Large Language Models Be Good Companions? An LLM-Based Eyewear System with Conversational Common Ground</f>
        <v xml:space="preserve">Can Large Language Models Be Good Companions? An LLM-Based Eyewear System with Conversational Common Ground</v>
      </c>
      <c r="B47" s="7">
        <f t="shared" si="58"/>
        <v>87</v>
      </c>
      <c r="C47" s="8" t="s">
        <v>2578</v>
      </c>
      <c r="D47" s="6" t="s">
        <v>2579</v>
      </c>
      <c r="E47" s="9">
        <v>45982</v>
      </c>
      <c r="F47" s="7">
        <v>2024</v>
      </c>
      <c r="G47" s="7" t="s">
        <v>1145</v>
      </c>
      <c r="H47" s="6" t="str">
        <f t="shared" si="55"/>
        <v>2024_Jun_087</v>
      </c>
      <c r="I47" s="12" t="str">
        <f t="shared" si="56"/>
        <v>https://doi.org/10.1145/3659600</v>
      </c>
      <c r="J47" s="7">
        <f>IF(D47&lt;&gt;"", VALUE(REGEXEXTRACT(D47, "(\d+)\s+pages")), )
</f>
        <v>41</v>
      </c>
      <c r="K47" s="6" t="s">
        <v>217</v>
      </c>
      <c r="L47" s="7" t="str">
        <f t="shared" si="60"/>
        <v>No</v>
      </c>
      <c r="M47" s="7" t="s">
        <v>34</v>
      </c>
      <c r="N47" s="7" t="s">
        <v>33</v>
      </c>
      <c r="O47" s="7" t="s">
        <v>33</v>
      </c>
      <c r="P47" s="10" t="s">
        <v>2580</v>
      </c>
      <c r="Q47" s="6" t="s">
        <v>2581</v>
      </c>
      <c r="R47" s="7" t="s">
        <v>33</v>
      </c>
      <c r="S47" s="7" t="s">
        <v>34</v>
      </c>
      <c r="T47" s="6"/>
      <c r="U47" s="6" t="s">
        <v>2582</v>
      </c>
      <c r="V47" s="7" t="s">
        <v>33</v>
      </c>
      <c r="W47" s="6" t="s">
        <v>2583</v>
      </c>
      <c r="X47" s="7" t="s">
        <v>33</v>
      </c>
      <c r="Y47" s="6" t="s">
        <v>2584</v>
      </c>
      <c r="Z47" s="7" t="s">
        <v>34</v>
      </c>
      <c r="AA47" s="6" t="s">
        <v>2585</v>
      </c>
      <c r="AB47" s="6" t="s">
        <v>2586</v>
      </c>
      <c r="AC47" s="6" t="s">
        <v>355</v>
      </c>
    </row>
  </sheetData>
  <conditionalFormatting sqref="P1:P47">
    <cfRule type="colorScale" priority="1">
      <colorScale>
        <cfvo type="min"/>
        <cfvo type="max"/>
        <color indexed="65"/>
        <color rgb="FF57BB8A"/>
      </colorScale>
    </cfRule>
  </conditionalFormatting>
  <dataValidations count="2" disablePrompts="0">
    <dataValidation sqref="A2:A47 H2:I47 K2:K47 P2:Q47 T2:U47 W2:W47 Y2:Y47 AA2:AB47" type="none" allowBlank="1" errorStyle="stop" imeMode="noControl" operator="between" showDropDown="1" showErrorMessage="0" showInputMessage="0"/>
    <dataValidation sqref="D2:D47" type="none" allowBlank="1" errorStyle="stop" imeMode="noControl" operator="between" showDropDown="1" showErrorMessage="0" showInputMessage="0"/>
  </dataValidations>
  <hyperlinks>
    <hyperlink r:id="rId1" ref="C2"/>
    <hyperlink r:id="rId2" ref="P2"/>
    <hyperlink r:id="rId2" ref="T2"/>
    <hyperlink r:id="rId3" ref="C3"/>
    <hyperlink r:id="rId4" ref="C4"/>
    <hyperlink r:id="rId5" ref="C5"/>
    <hyperlink r:id="rId6" ref="C6"/>
    <hyperlink r:id="rId7" ref="C7"/>
    <hyperlink r:id="rId8" ref="C8"/>
    <hyperlink r:id="rId9" ref="P8"/>
    <hyperlink r:id="rId10" ref="C9"/>
    <hyperlink r:id="rId11" ref="P9"/>
    <hyperlink r:id="rId11" ref="T9"/>
    <hyperlink r:id="rId12" ref="C10"/>
    <hyperlink r:id="rId13" ref="C11"/>
    <hyperlink r:id="rId14" ref="C12"/>
    <hyperlink r:id="rId15" ref="C13"/>
    <hyperlink r:id="rId16" ref="C14"/>
    <hyperlink r:id="rId17" ref="C15"/>
    <hyperlink r:id="rId18" ref="P15"/>
    <hyperlink r:id="rId19" ref="C16"/>
    <hyperlink r:id="rId20" ref="P16"/>
    <hyperlink r:id="rId21" ref="C17"/>
    <hyperlink r:id="rId22" ref="C18"/>
    <hyperlink r:id="rId23" ref="P18"/>
    <hyperlink r:id="rId23" ref="T18"/>
    <hyperlink r:id="rId24" ref="AB18"/>
    <hyperlink r:id="rId25" ref="C19"/>
    <hyperlink r:id="rId26" ref="C20"/>
    <hyperlink r:id="rId27" ref="C21"/>
    <hyperlink r:id="rId28" ref="C22"/>
    <hyperlink r:id="rId29" ref="C23"/>
    <hyperlink r:id="rId30" ref="AB23"/>
    <hyperlink r:id="rId31" ref="C24"/>
    <hyperlink r:id="rId32" ref="U24"/>
    <hyperlink r:id="rId33" ref="C25"/>
    <hyperlink r:id="rId34" ref="U25"/>
    <hyperlink r:id="rId35" ref="C26"/>
    <hyperlink r:id="rId36" ref="C27"/>
    <hyperlink r:id="rId37" ref="P27"/>
    <hyperlink r:id="rId38" ref="C28"/>
    <hyperlink r:id="rId39" ref="C29"/>
    <hyperlink r:id="rId40" ref="C30"/>
    <hyperlink r:id="rId41" ref="C31"/>
    <hyperlink r:id="rId42" ref="C32"/>
    <hyperlink r:id="rId43" ref="P32"/>
    <hyperlink r:id="rId44" ref="C33"/>
    <hyperlink r:id="rId45" ref="C34"/>
    <hyperlink r:id="rId46" ref="T34"/>
    <hyperlink r:id="rId47" ref="C35"/>
    <hyperlink r:id="rId48" ref="C36"/>
    <hyperlink r:id="rId49" ref="C37"/>
    <hyperlink r:id="rId50" ref="C38"/>
    <hyperlink r:id="rId51" ref="P38"/>
    <hyperlink r:id="rId52" ref="C39"/>
    <hyperlink r:id="rId53" ref="C40"/>
    <hyperlink r:id="rId54" ref="C41"/>
    <hyperlink r:id="rId55" ref="C42"/>
    <hyperlink r:id="rId56" ref="T42"/>
    <hyperlink r:id="rId57" ref="C43"/>
    <hyperlink r:id="rId58" ref="P43"/>
    <hyperlink r:id="rId59" ref="T43"/>
    <hyperlink r:id="rId60" ref="C44"/>
    <hyperlink r:id="rId61" ref="C45"/>
    <hyperlink r:id="rId62" ref="C46"/>
    <hyperlink r:id="rId63" ref="P46"/>
    <hyperlink r:id="rId63" ref="T46"/>
    <hyperlink r:id="rId64" ref="C47"/>
    <hyperlink r:id="rId65" ref="P47"/>
  </hyperlinks>
  <printOptions headings="0" gridLines="1" horizontalCentered="1"/>
  <pageMargins left="0.25" right="0.25" top="0.75" bottom="0.75" header="0" footer="0"/>
  <pageSetup paperSize="9" scale="100" fitToWidth="1" fitToHeight="0" pageOrder="overThenDown" orientation="landscape" usePrinterDefaults="1" blackAndWhite="0" draft="0" cellComments="atEnd" useFirstPageNumber="0" errors="displayed" horizontalDpi="600" verticalDpi="600" copies="1"/>
  <headerFooter/>
  <legacyDrawing r:id="rId68"/>
  <tableParts count="1">
    <tablePart r:id="rId69"/>
  </tableParts>
  <extLst>
    <ext xmlns:x14="http://schemas.microsoft.com/office/spreadsheetml/2009/9/main" uri="{78C0D931-6437-407d-A8EE-F0AAD7539E65}">
      <x14:conditionalFormattings>
        <x14:conditionalFormatting xmlns:xm="http://schemas.microsoft.com/office/excel/2006/main">
          <x14:cfRule type="expression" priority="2" id="{6ADB1840-7288-4816-880C-1E3E18050B7F}">
            <xm:f>AND(REGEXMATCH($O2,"^(Yes|Partially)$"), ISBLANK($P2))</xm:f>
            <x14:dxf>
              <font/>
              <fill>
                <patternFill patternType="solid">
                  <fgColor rgb="FFE68282"/>
                  <bgColor rgb="FFE68282"/>
                </patternFill>
              </fill>
              <border>
                <left/>
                <right/>
                <top/>
                <bottom/>
                <diagonal/>
              </border>
            </x14:dxf>
          </x14:cfRule>
          <xm:sqref>P2:P47</xm:sqref>
        </x14:conditionalFormatting>
        <x14:conditionalFormatting xmlns:xm="http://schemas.microsoft.com/office/excel/2006/main">
          <x14:cfRule type="expression" priority="3" id="{11F3FE85-E4E4-4FDB-9C48-B462BB947689}">
            <xm:f>AND(REGEXMATCH($S2,"^(Yes|Partially)$"), ISBLANK($T2))</xm:f>
            <x14:dxf>
              <font/>
              <fill>
                <patternFill patternType="solid">
                  <fgColor rgb="FFE68282"/>
                  <bgColor rgb="FFE68282"/>
                </patternFill>
              </fill>
              <border>
                <left/>
                <right/>
                <top/>
                <bottom/>
                <diagonal/>
              </border>
            </x14:dxf>
          </x14:cfRule>
          <xm:sqref>T2:T47</xm:sqref>
        </x14:conditionalFormatting>
        <x14:conditionalFormatting xmlns:xm="http://schemas.microsoft.com/office/excel/2006/main">
          <x14:cfRule type="expression" priority="4" id="{09B15EA7-0C5C-4A19-9001-E592ECDB6300}">
            <xm:f>AND($V2="Yes", ISBLANK($W2))</xm:f>
            <x14:dxf>
              <font/>
              <fill>
                <patternFill patternType="solid">
                  <fgColor rgb="FFE68282"/>
                  <bgColor rgb="FFE68282"/>
                </patternFill>
              </fill>
              <border>
                <left/>
                <right/>
                <top/>
                <bottom/>
                <diagonal/>
              </border>
            </x14:dxf>
          </x14:cfRule>
          <xm:sqref>W2:W47</xm:sqref>
        </x14:conditionalFormatting>
        <x14:conditionalFormatting xmlns:xm="http://schemas.microsoft.com/office/excel/2006/main">
          <x14:cfRule type="expression" priority="5" id="{12C3759B-7506-4738-A7C8-36B0385E02F0}">
            <xm:f>AND($X2="Yes", ISBLANK($Y2))</xm:f>
            <x14:dxf>
              <font/>
              <fill>
                <patternFill patternType="solid">
                  <fgColor rgb="FFE68282"/>
                  <bgColor rgb="FFE68282"/>
                </patternFill>
              </fill>
              <border>
                <left/>
                <right/>
                <top/>
                <bottom/>
                <diagonal/>
              </border>
            </x14:dxf>
          </x14:cfRule>
          <xm:sqref>Y2:Y47</xm:sqref>
        </x14:conditionalFormatting>
      </x14:conditionalFormattings>
    </ext>
    <ext xmlns:x14="http://schemas.microsoft.com/office/spreadsheetml/2009/9/main" uri="{CCE6A557-97BC-4b89-ADB6-D9C93CAAB3DF}">
      <x14:dataValidations xmlns:xm="http://schemas.microsoft.com/office/excel/2006/main" count="10" disablePrompts="0">
        <x14:dataValidation xr:uid="{FD5E1645-4AE4-495D-A521-DCBFE75AFD9C}" type="list" allowBlank="1" errorStyle="stop" imeMode="noControl" operator="between" showDropDown="0" showErrorMessage="0" showInputMessage="0">
          <x14:formula1>
            <xm:f>"Yes,No"</xm:f>
          </x14:formula1>
          <xm:sqref>L2:L47</xm:sqref>
        </x14:dataValidation>
        <x14:dataValidation xr:uid="{02C0814B-834E-4901-A4F8-AF342686A42B}" type="list" allowBlank="1" errorStyle="stop" imeMode="noControl" operator="between" showDropDown="0" showErrorMessage="0" showInputMessage="0">
          <x14:formula1>
            <xm:f>"Yes,No,Unknown"</xm:f>
          </x14:formula1>
          <xm:sqref>R2:R47</xm:sqref>
        </x14:dataValidation>
        <x14:dataValidation xr:uid="{50625CBD-F341-4BF7-A07B-E7A70504C705}" type="list" allowBlank="1" errorStyle="stop" imeMode="noControl" operator="between" showDropDown="0" showErrorMessage="0" showInputMessage="0">
          <x14:formula1>
            <xm:f>"Yes,No,Unknown"</xm:f>
          </x14:formula1>
          <xm:sqref>N2:N47</xm:sqref>
        </x14:dataValidation>
        <x14:dataValidation xr:uid="{E9169979-B33E-4692-AC71-8CEB9D83901E}" type="list" allowBlank="1" errorStyle="stop" imeMode="noControl" operator="between" showDropDown="0" showErrorMessage="0" showInputMessage="0">
          <x14:formula1>
            <xm:f>"Yes,No,Partially,Unknown,N/A"</xm:f>
          </x14:formula1>
          <xm:sqref>Z2:Z47</xm:sqref>
        </x14:dataValidation>
        <x14:dataValidation xr:uid="{E372EBDE-B1A5-47CB-8A05-FD8C44B53A19}" type="custom" allowBlank="1" errorStyle="stop" imeMode="noControl" operator="between" showDropDown="1" showErrorMessage="0" showInputMessage="0">
          <x14:formula1>
            <xm:f>AND(ISNUMBER(B2),(NOT(OR(NOT(ISERROR(DATEVALUE(B2))), AND(ISNUMBER(B2), LEFT(CELL("format", B2))="D")))))</xm:f>
          </x14:formula1>
          <xm:sqref>B2:B47 F2:F47 J2:J47</xm:sqref>
        </x14:dataValidation>
        <x14:dataValidation xr:uid="{7AC778DE-DF1A-48B8-9867-4986AAC372BB}" type="custom" allowBlank="1" errorStyle="stop" imeMode="noControl" operator="between" showDropDown="1" showErrorMessage="0" showInputMessage="0">
          <x14:formula1>
            <xm:f>OR(NOT(ISERROR(DATEVALUE(E2))), AND(ISNUMBER(E2), LEFT(CELL("format", E2))="D"))</xm:f>
          </x14:formula1>
          <xm:sqref>E2:E47</xm:sqref>
        </x14:dataValidation>
        <x14:dataValidation xr:uid="{97F26178-F386-42EB-8082-63527C3CB460}" type="list" allowBlank="1" errorStyle="stop" imeMode="noControl" operator="between" showDropDown="0" showErrorMessage="0" showInputMessage="0">
          <x14:formula1>
            <xm:f>"Yes,No,Unknown"</xm:f>
          </x14:formula1>
          <xm:sqref>M2:M47</xm:sqref>
        </x14:dataValidation>
        <x14:dataValidation xr:uid="{BE18D97A-6F55-46A4-BC73-EEE4647DA5BC}" type="list" allowBlank="1" errorStyle="stop" imeMode="noControl" operator="between" showDropDown="0" showErrorMessage="0" showInputMessage="0">
          <x14:formula1>
            <xm:f>"Yes,No,Unknown,N/A"</xm:f>
          </x14:formula1>
          <xm:sqref>V2:V47 X2:X47</xm:sqref>
        </x14:dataValidation>
        <x14:dataValidation xr:uid="{4747B64D-C280-4520-A573-D089EB52E25D}" type="list" allowBlank="1" errorStyle="stop" imeMode="noControl" operator="between" showDropDown="0" showErrorMessage="0" showInputMessage="0">
          <x14:formula1>
            <xm:f>"Yes,No,Partially,Unknown,N/A,Upon_request"</xm:f>
          </x14:formula1>
          <xm:sqref>O2:O47 S2:S47</xm:sqref>
        </x14:dataValidation>
        <x14:dataValidation xr:uid="{09CAA759-3CFB-4CAE-8699-86C95B620A8E}" type="list" allowBlank="1" errorStyle="stop" imeMode="noControl" operator="between" showDropDown="0" showErrorMessage="0" showInputMessage="0">
          <x14:formula1>
            <xm:f>"Mar,Jun,Sep,Dec"</xm:f>
          </x14:formula1>
          <xm:sqref>G2:G47</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1"/>
  </sheetPr>
  <sheetViews>
    <sheetView zoomScale="100" workbookViewId="0">
      <pane xSplit="2" ySplit="1" topLeftCell="C2" activePane="bottomRight" state="frozen"/>
      <selection activeCell="C2" activeCellId="0" sqref="C2"/>
    </sheetView>
  </sheetViews>
  <sheetFormatPr defaultColWidth="12.630000000000001" defaultRowHeight="15.75" customHeight="1"/>
  <cols>
    <col customWidth="1" min="1" max="1" width="24.25"/>
    <col customWidth="1" min="2" max="2" width="20.129999999999999"/>
    <col customWidth="1" min="3" max="3" width="21"/>
    <col customWidth="1" min="4" max="4" width="14.75"/>
    <col customWidth="1" min="6" max="6" width="11.880000000000001"/>
    <col customWidth="1" min="7" max="7" width="12.630000000000001"/>
    <col customWidth="1" min="8" max="8" width="15.130000000000001"/>
    <col customWidth="1" min="9" max="9" width="28"/>
    <col customWidth="1" min="10" max="10" width="18.879999999999999"/>
    <col customWidth="1" min="11" max="11" width="36.75"/>
    <col customWidth="1" min="12" max="12" width="21.379999999999999"/>
    <col customWidth="1" min="13" max="13" width="18.879999999999999"/>
    <col customWidth="1" min="14" max="14" width="19.879999999999999"/>
    <col customWidth="1" min="15" max="16" width="19.75"/>
    <col customWidth="1" min="17" max="17" width="34.5"/>
    <col customWidth="1" min="18" max="18" width="19"/>
    <col customWidth="1" min="19" max="19" width="19.379999999999999"/>
    <col customWidth="1" min="20" max="21" width="19.75"/>
    <col customWidth="1" min="22" max="22" width="22.629999999999999"/>
    <col customWidth="1" min="23" max="23" width="32.630000000000003"/>
    <col customWidth="1" min="24" max="24" width="22.629999999999999"/>
    <col customWidth="1" min="25" max="25" width="25.5"/>
    <col customWidth="1" min="26" max="26" width="27.25"/>
    <col customWidth="1" min="27" max="27" width="39.25"/>
    <col customWidth="1" min="28" max="29" width="34.130000000000003"/>
  </cols>
  <sheetData>
    <row r="1" ht="22.5" customHeight="1">
      <c r="A1" s="1" t="s">
        <v>0</v>
      </c>
      <c r="B1" s="2" t="s">
        <v>1</v>
      </c>
      <c r="C1" s="3" t="s">
        <v>2</v>
      </c>
      <c r="D1" s="3" t="s">
        <v>3</v>
      </c>
      <c r="E1" s="3" t="s">
        <v>4</v>
      </c>
      <c r="F1" s="2" t="s">
        <v>5</v>
      </c>
      <c r="G1" s="2" t="s">
        <v>6</v>
      </c>
      <c r="H1" s="2" t="s">
        <v>7</v>
      </c>
      <c r="I1" s="2" t="s">
        <v>8</v>
      </c>
      <c r="J1" s="2" t="s">
        <v>9</v>
      </c>
      <c r="K1" s="2" t="s">
        <v>10</v>
      </c>
      <c r="L1" s="2" t="s">
        <v>11</v>
      </c>
      <c r="M1" s="2" t="s">
        <v>12</v>
      </c>
      <c r="N1" s="4" t="s">
        <v>13</v>
      </c>
      <c r="O1" s="4" t="s">
        <v>14</v>
      </c>
      <c r="P1" s="4" t="s">
        <v>15</v>
      </c>
      <c r="Q1" s="4" t="s">
        <v>16</v>
      </c>
      <c r="R1" s="5" t="s">
        <v>17</v>
      </c>
      <c r="S1" s="5" t="s">
        <v>18</v>
      </c>
      <c r="T1" s="5" t="s">
        <v>19</v>
      </c>
      <c r="U1" s="5" t="s">
        <v>20</v>
      </c>
      <c r="V1" s="2" t="s">
        <v>21</v>
      </c>
      <c r="W1" s="3" t="s">
        <v>22</v>
      </c>
      <c r="X1" s="2" t="s">
        <v>23</v>
      </c>
      <c r="Y1" s="3" t="s">
        <v>24</v>
      </c>
      <c r="Z1" s="2" t="s">
        <v>25</v>
      </c>
      <c r="AA1" s="3" t="s">
        <v>26</v>
      </c>
      <c r="AB1" s="3" t="s">
        <v>27</v>
      </c>
      <c r="AC1" s="3" t="s">
        <v>28</v>
      </c>
    </row>
    <row r="2" ht="22.5" customHeight="1">
      <c r="A2" s="11" t="str">
        <f>REGEXEXTRACT(D2, "\d{4}\.\s(.*?)\.\sProc\. ACM")"),"HyperHAR: Inter-sensing Device Bilateral Correlations and Hyper-correlations Learning Approach for Wearable Sensing Device Based Human Activity Recognition</f>
        <v xml:space="preserve">HyperHAR: Inter-sensing Device Bilateral Correlations and Hyper-correlations Learning Approach for Wearable Sensing Device Based Human Activity Recognition</v>
      </c>
      <c r="B2" s="7">
        <f t="shared" ref="B2:B9" si="61">IFERROR(VALUE(REGEXEXTRACT(D2,"Article\s+(\d+)")),"")
</f>
        <v>1</v>
      </c>
      <c r="C2" s="8" t="s">
        <v>2587</v>
      </c>
      <c r="D2" s="6" t="s">
        <v>2588</v>
      </c>
      <c r="E2" s="9">
        <v>46035</v>
      </c>
      <c r="F2" s="7">
        <v>2024</v>
      </c>
      <c r="G2" s="7" t="s">
        <v>1412</v>
      </c>
      <c r="H2" s="6" t="str">
        <f t="shared" ref="H2:H42" si="62">TEXT($F2,"0000") &amp; "_" &amp; $G2 &amp; "_" &amp; TEXT($B2,"000")</f>
        <v>2024_Mar_001</v>
      </c>
      <c r="I2" s="12" t="str">
        <f t="shared" ref="I2:I42" si="63">CONCATENATE("https",RIGHT(D2,LEN(D2) - (FIND("://",D2) - 1)))</f>
        <v>https://doi.org/10.1145/3643511</v>
      </c>
      <c r="J2" s="7">
        <f>IF(D2:D42&lt;&gt;"", VALUE(REGEXEXTRACT(D2:D42, "(\d+)\s+pages")), )
</f>
        <v>29</v>
      </c>
      <c r="K2" s="6" t="s">
        <v>64</v>
      </c>
      <c r="L2" s="7" t="str">
        <f t="shared" ref="L2:L9" si="64">IF(REGEXMATCH(LOWER($A2),"(^|[^a-z])dataset(s)?([^a-z]|$)"),"Yes","No")"),"No</f>
        <v>No</v>
      </c>
      <c r="M2" s="7" t="s">
        <v>33</v>
      </c>
      <c r="N2" s="7" t="s">
        <v>33</v>
      </c>
      <c r="O2" s="7" t="s">
        <v>34</v>
      </c>
      <c r="P2" s="6"/>
      <c r="Q2" s="6"/>
      <c r="R2" s="7" t="s">
        <v>33</v>
      </c>
      <c r="S2" s="7" t="s">
        <v>33</v>
      </c>
      <c r="T2" s="6"/>
      <c r="U2" s="6" t="s">
        <v>2589</v>
      </c>
      <c r="V2" s="7" t="s">
        <v>34</v>
      </c>
      <c r="W2" s="6" t="s">
        <v>2590</v>
      </c>
      <c r="X2" s="7" t="s">
        <v>34</v>
      </c>
      <c r="Y2" s="13"/>
      <c r="Z2" s="7" t="s">
        <v>34</v>
      </c>
      <c r="AA2" s="6"/>
      <c r="AB2" s="6" t="s">
        <v>2591</v>
      </c>
      <c r="AC2" s="6" t="s">
        <v>39</v>
      </c>
    </row>
    <row r="3" ht="22.5" customHeight="1">
      <c r="A3" s="11" t="str">
        <f>REGEXEXTRACT(D3, "\d{4}\.\s(.*?)\.\sProc\. ACM")"),"Lateralization Effects in Electrodermal Activity Data Collected Using Wearable Devices</f>
        <v xml:space="preserve">Lateralization Effects in Electrodermal Activity Data Collected Using Wearable Devices</v>
      </c>
      <c r="B3" s="7">
        <f t="shared" si="61"/>
        <v>2</v>
      </c>
      <c r="C3" s="8" t="s">
        <v>2592</v>
      </c>
      <c r="D3" s="6" t="s">
        <v>2593</v>
      </c>
      <c r="E3" s="9">
        <v>46035</v>
      </c>
      <c r="F3" s="7">
        <v>2024</v>
      </c>
      <c r="G3" s="7" t="s">
        <v>1412</v>
      </c>
      <c r="H3" s="6" t="str">
        <f t="shared" si="62"/>
        <v>2024_Mar_002</v>
      </c>
      <c r="I3" s="12" t="str">
        <f t="shared" si="63"/>
        <v>https://doi.org/10.1145/3643541</v>
      </c>
      <c r="J3" s="7">
        <f>IF(D3:D42&lt;&gt;"", VALUE(REGEXEXTRACT(D3:D42, "(\d+)\s+pages")), )
</f>
        <v>30</v>
      </c>
      <c r="K3" s="6" t="s">
        <v>71</v>
      </c>
      <c r="L3" s="7" t="str">
        <f t="shared" si="64"/>
        <v>No</v>
      </c>
      <c r="M3" s="7" t="s">
        <v>33</v>
      </c>
      <c r="N3" s="7" t="s">
        <v>33</v>
      </c>
      <c r="O3" s="7" t="s">
        <v>33</v>
      </c>
      <c r="P3" s="10" t="s">
        <v>2594</v>
      </c>
      <c r="Q3" s="6"/>
      <c r="R3" s="7" t="s">
        <v>33</v>
      </c>
      <c r="S3" s="7" t="s">
        <v>33</v>
      </c>
      <c r="T3" s="6"/>
      <c r="U3" s="6" t="s">
        <v>2595</v>
      </c>
      <c r="V3" s="7" t="s">
        <v>34</v>
      </c>
      <c r="W3" s="6"/>
      <c r="X3" s="7" t="s">
        <v>34</v>
      </c>
      <c r="Y3" s="13"/>
      <c r="Z3" s="7" t="s">
        <v>33</v>
      </c>
      <c r="AA3" s="6" t="s">
        <v>2596</v>
      </c>
      <c r="AB3" s="6" t="s">
        <v>2597</v>
      </c>
      <c r="AC3" s="6" t="s">
        <v>39</v>
      </c>
    </row>
    <row r="4" ht="22.5" customHeight="1">
      <c r="A4" s="11" t="str">
        <f>REGEXEXTRACT(D4, "\d{4}\.\s(.*?)\.\sProc\. ACM")"),"Exploring Uni-manual Around Ear Off-Device Gestures for Earables</f>
        <v xml:space="preserve">Exploring Uni-manual Around Ear Off-Device Gestures for Earables</v>
      </c>
      <c r="B4" s="7">
        <f t="shared" si="61"/>
        <v>3</v>
      </c>
      <c r="C4" s="8" t="s">
        <v>2598</v>
      </c>
      <c r="D4" s="6" t="s">
        <v>2599</v>
      </c>
      <c r="E4" s="9">
        <v>46035</v>
      </c>
      <c r="F4" s="7">
        <v>2024</v>
      </c>
      <c r="G4" s="7" t="s">
        <v>1412</v>
      </c>
      <c r="H4" s="6" t="str">
        <f t="shared" si="62"/>
        <v>2024_Mar_003</v>
      </c>
      <c r="I4" s="12" t="str">
        <f t="shared" si="63"/>
        <v>https://doi.org/10.1145/3643513</v>
      </c>
      <c r="J4" s="7">
        <f>IF(D4:D42&lt;&gt;"", VALUE(REGEXEXTRACT(D4:D42, "(\d+)\s+pages")), )
</f>
        <v>29</v>
      </c>
      <c r="K4" s="6" t="s">
        <v>42</v>
      </c>
      <c r="L4" s="7" t="str">
        <f t="shared" si="64"/>
        <v>No</v>
      </c>
      <c r="M4" s="7" t="s">
        <v>34</v>
      </c>
      <c r="N4" s="7" t="s">
        <v>34</v>
      </c>
      <c r="O4" s="7" t="s">
        <v>35</v>
      </c>
      <c r="P4" s="6"/>
      <c r="Q4" s="6"/>
      <c r="R4" s="7" t="s">
        <v>34</v>
      </c>
      <c r="S4" s="7" t="s">
        <v>35</v>
      </c>
      <c r="T4" s="6"/>
      <c r="U4" s="6"/>
      <c r="V4" s="7" t="s">
        <v>35</v>
      </c>
      <c r="W4" s="6"/>
      <c r="X4" s="7" t="s">
        <v>35</v>
      </c>
      <c r="Y4" s="13"/>
      <c r="Z4" s="7" t="s">
        <v>35</v>
      </c>
      <c r="AA4" s="6"/>
      <c r="AB4" s="6"/>
      <c r="AC4" s="6" t="s">
        <v>39</v>
      </c>
    </row>
    <row r="5" ht="22.5" customHeight="1">
      <c r="A5" s="11" t="str">
        <f>REGEXEXTRACT(D5, "\d{4}\.\s(.*?)\.\sProc\. ACM")"),"Body-Area Capacitive or Electric Field Sensing for Human Activity Recognition and Human-Computer Interaction: A Comprehensive Survey</f>
        <v xml:space="preserve">Body-Area Capacitive or Electric Field Sensing for Human Activity Recognition and Human-Computer Interaction: A Comprehensive Survey</v>
      </c>
      <c r="B5" s="7">
        <f t="shared" si="61"/>
        <v>4</v>
      </c>
      <c r="C5" s="8" t="s">
        <v>2600</v>
      </c>
      <c r="D5" s="6" t="s">
        <v>2601</v>
      </c>
      <c r="E5" s="9">
        <v>46035</v>
      </c>
      <c r="F5" s="7">
        <v>2024</v>
      </c>
      <c r="G5" s="7" t="s">
        <v>1412</v>
      </c>
      <c r="H5" s="6" t="str">
        <f t="shared" si="62"/>
        <v>2024_Mar_004</v>
      </c>
      <c r="I5" s="12" t="str">
        <f t="shared" si="63"/>
        <v>https://doi.org/10.1145/3643555</v>
      </c>
      <c r="J5" s="7">
        <f>IF(D5:D42&lt;&gt;"", VALUE(REGEXEXTRACT(D5:D42, "(\d+)\s+pages")), )
</f>
        <v>49</v>
      </c>
      <c r="K5" s="6" t="s">
        <v>110</v>
      </c>
      <c r="L5" s="7" t="str">
        <f t="shared" si="64"/>
        <v>No</v>
      </c>
      <c r="M5" s="7" t="s">
        <v>34</v>
      </c>
      <c r="N5" s="7" t="s">
        <v>34</v>
      </c>
      <c r="O5" s="7" t="s">
        <v>35</v>
      </c>
      <c r="P5" s="6"/>
      <c r="Q5" s="6"/>
      <c r="R5" s="7" t="s">
        <v>34</v>
      </c>
      <c r="S5" s="7" t="s">
        <v>35</v>
      </c>
      <c r="T5" s="6"/>
      <c r="U5" s="6"/>
      <c r="V5" s="7" t="s">
        <v>35</v>
      </c>
      <c r="W5" s="6"/>
      <c r="X5" s="7" t="s">
        <v>35</v>
      </c>
      <c r="Y5" s="13"/>
      <c r="Z5" s="7" t="s">
        <v>35</v>
      </c>
      <c r="AA5" s="6"/>
      <c r="AB5" s="6"/>
      <c r="AC5" s="6" t="s">
        <v>39</v>
      </c>
    </row>
    <row r="6" ht="22.5" customHeight="1">
      <c r="A6" s="11" t="str">
        <f>REGEXEXTRACT(D6, "\d{4}\.\s(.*?)\.\sProc\. ACM")"),"ViObject: Harness Passive Vibrations for Daily Object Recognition with Commodity Smartwatches</f>
        <v xml:space="preserve">ViObject: Harness Passive Vibrations for Daily Object Recognition with Commodity Smartwatches</v>
      </c>
      <c r="B6" s="7">
        <f t="shared" si="61"/>
        <v>5</v>
      </c>
      <c r="C6" s="8" t="s">
        <v>2602</v>
      </c>
      <c r="D6" s="6" t="s">
        <v>2603</v>
      </c>
      <c r="E6" s="9">
        <v>46035</v>
      </c>
      <c r="F6" s="7">
        <v>2024</v>
      </c>
      <c r="G6" s="7" t="s">
        <v>1412</v>
      </c>
      <c r="H6" s="6" t="str">
        <f t="shared" si="62"/>
        <v>2024_Mar_005</v>
      </c>
      <c r="I6" s="12" t="str">
        <f t="shared" si="63"/>
        <v>https://doi.org/10.1145/3643547</v>
      </c>
      <c r="J6" s="7">
        <f>IF(D6:D42&lt;&gt;"", VALUE(REGEXEXTRACT(D6:D42, "(\d+)\s+pages")), )
</f>
        <v>26</v>
      </c>
      <c r="K6" s="6" t="s">
        <v>64</v>
      </c>
      <c r="L6" s="7" t="str">
        <f t="shared" si="64"/>
        <v>No</v>
      </c>
      <c r="M6" s="7" t="s">
        <v>33</v>
      </c>
      <c r="N6" s="7" t="s">
        <v>33</v>
      </c>
      <c r="O6" s="7" t="s">
        <v>34</v>
      </c>
      <c r="P6" s="6"/>
      <c r="Q6" s="6"/>
      <c r="R6" s="7" t="s">
        <v>33</v>
      </c>
      <c r="S6" s="7" t="s">
        <v>34</v>
      </c>
      <c r="T6" s="6"/>
      <c r="U6" s="6"/>
      <c r="V6" s="7" t="s">
        <v>33</v>
      </c>
      <c r="W6" s="6" t="s">
        <v>2604</v>
      </c>
      <c r="X6" s="7" t="s">
        <v>33</v>
      </c>
      <c r="Y6" s="6" t="s">
        <v>152</v>
      </c>
      <c r="Z6" s="7" t="s">
        <v>34</v>
      </c>
      <c r="AA6" s="6"/>
      <c r="AB6" s="6" t="s">
        <v>2605</v>
      </c>
      <c r="AC6" s="6" t="s">
        <v>39</v>
      </c>
    </row>
    <row r="7" ht="22.5" customHeight="1">
      <c r="A7" s="11" t="str">
        <f>REGEXEXTRACT(D7, "\d{4}\.\s(.*?)\.\sProc\. ACM")"),"Privacy-Preserving and Cross-Domain Human Sensing by Federated Domain Adaptation with Semantic Knowledge Correction</f>
        <v xml:space="preserve">Privacy-Preserving and Cross-Domain Human Sensing by Federated Domain Adaptation with Semantic Knowledge Correction</v>
      </c>
      <c r="B7" s="7">
        <f t="shared" si="61"/>
        <v>6</v>
      </c>
      <c r="C7" s="8" t="s">
        <v>2606</v>
      </c>
      <c r="D7" s="6" t="s">
        <v>2607</v>
      </c>
      <c r="E7" s="9">
        <v>46035</v>
      </c>
      <c r="F7" s="7">
        <v>2024</v>
      </c>
      <c r="G7" s="7" t="s">
        <v>1412</v>
      </c>
      <c r="H7" s="6" t="str">
        <f t="shared" si="62"/>
        <v>2024_Mar_006</v>
      </c>
      <c r="I7" s="12" t="str">
        <f t="shared" si="63"/>
        <v>https://doi.org/10.1145/3643503</v>
      </c>
      <c r="J7" s="7">
        <f>IF(D7:D42&lt;&gt;"", VALUE(REGEXEXTRACT(D7:D42, "(\d+)\s+pages")), )
</f>
        <v>26</v>
      </c>
      <c r="K7" s="6" t="s">
        <v>64</v>
      </c>
      <c r="L7" s="7" t="str">
        <f t="shared" si="64"/>
        <v>No</v>
      </c>
      <c r="M7" s="7" t="s">
        <v>34</v>
      </c>
      <c r="N7" s="7" t="s">
        <v>33</v>
      </c>
      <c r="O7" s="7" t="s">
        <v>34</v>
      </c>
      <c r="P7" s="6"/>
      <c r="Q7" s="6"/>
      <c r="R7" s="7" t="s">
        <v>33</v>
      </c>
      <c r="S7" s="7" t="s">
        <v>144</v>
      </c>
      <c r="T7" s="6"/>
      <c r="U7" s="6" t="s">
        <v>2608</v>
      </c>
      <c r="V7" s="7" t="s">
        <v>33</v>
      </c>
      <c r="W7" s="6" t="s">
        <v>2609</v>
      </c>
      <c r="X7" s="7" t="s">
        <v>34</v>
      </c>
      <c r="Y7" s="13"/>
      <c r="Z7" s="7" t="s">
        <v>34</v>
      </c>
      <c r="AA7" s="6"/>
      <c r="AB7" s="6" t="s">
        <v>2610</v>
      </c>
      <c r="AC7" s="6" t="s">
        <v>39</v>
      </c>
    </row>
    <row r="8" ht="22.5" customHeight="1">
      <c r="A8" s="11" t="str">
        <f>REGEXEXTRACT(D8, "\d{4}\.\s(.*?)\.\sProc\. ACM")"),"IOTeeth: Intra-Oral Teeth Sensing System for Dental Occlusal Diseases Recognition</f>
        <v xml:space="preserve">IOTeeth: Intra-Oral Teeth Sensing System for Dental Occlusal Diseases Recognition</v>
      </c>
      <c r="B8" s="7">
        <f t="shared" si="61"/>
        <v>7</v>
      </c>
      <c r="C8" s="8" t="s">
        <v>2611</v>
      </c>
      <c r="D8" s="6" t="s">
        <v>2612</v>
      </c>
      <c r="E8" s="9">
        <v>46035</v>
      </c>
      <c r="F8" s="7">
        <v>2024</v>
      </c>
      <c r="G8" s="7" t="s">
        <v>1412</v>
      </c>
      <c r="H8" s="6" t="str">
        <f t="shared" si="62"/>
        <v>2024_Mar_007</v>
      </c>
      <c r="I8" s="12" t="str">
        <f t="shared" si="63"/>
        <v>https://doi.org/10.1145/3643516</v>
      </c>
      <c r="J8" s="7">
        <f>IF(D8:D42&lt;&gt;"", VALUE(REGEXEXTRACT(D8:D42, "(\d+)\s+pages")), )
</f>
        <v>29</v>
      </c>
      <c r="K8" s="6" t="s">
        <v>217</v>
      </c>
      <c r="L8" s="7" t="str">
        <f t="shared" si="64"/>
        <v>No</v>
      </c>
      <c r="M8" s="7" t="s">
        <v>33</v>
      </c>
      <c r="N8" s="7" t="s">
        <v>33</v>
      </c>
      <c r="O8" s="7" t="s">
        <v>34</v>
      </c>
      <c r="P8" s="6"/>
      <c r="Q8" s="6"/>
      <c r="R8" s="7" t="s">
        <v>33</v>
      </c>
      <c r="S8" s="7" t="s">
        <v>34</v>
      </c>
      <c r="T8" s="6"/>
      <c r="U8" s="6"/>
      <c r="V8" s="7" t="s">
        <v>33</v>
      </c>
      <c r="W8" s="6" t="s">
        <v>2613</v>
      </c>
      <c r="X8" s="7" t="s">
        <v>34</v>
      </c>
      <c r="Y8" s="13"/>
      <c r="Z8" s="7" t="s">
        <v>34</v>
      </c>
      <c r="AA8" s="6"/>
      <c r="AB8" s="6" t="s">
        <v>2614</v>
      </c>
      <c r="AC8" s="6" t="s">
        <v>39</v>
      </c>
    </row>
    <row r="9" ht="22.5" customHeight="1">
      <c r="A9" s="11" t="str">
        <f>REGEXEXTRACT(D9, "\d{4}\.\s(.*?)\.\sProc\. ACM")"),"SpeciFingers: Finger Identification and Error Correction on Capacitive Touchscreens</f>
        <v xml:space="preserve">SpeciFingers: Finger Identification and Error Correction on Capacitive Touchscreens</v>
      </c>
      <c r="B9" s="7">
        <f t="shared" si="61"/>
        <v>8</v>
      </c>
      <c r="C9" s="8" t="s">
        <v>2615</v>
      </c>
      <c r="D9" s="6" t="s">
        <v>2616</v>
      </c>
      <c r="E9" s="9">
        <v>46035</v>
      </c>
      <c r="F9" s="7">
        <v>2024</v>
      </c>
      <c r="G9" s="7" t="s">
        <v>1412</v>
      </c>
      <c r="H9" s="6" t="str">
        <f t="shared" si="62"/>
        <v>2024_Mar_008</v>
      </c>
      <c r="I9" s="12" t="str">
        <f t="shared" si="63"/>
        <v>https://doi.org/10.1145/3643559</v>
      </c>
      <c r="J9" s="7">
        <f>IF(D9:D42&lt;&gt;"", VALUE(REGEXEXTRACT(D9:D42, "(\d+)\s+pages")), )
</f>
        <v>28</v>
      </c>
      <c r="K9" s="6" t="s">
        <v>133</v>
      </c>
      <c r="L9" s="7" t="str">
        <f t="shared" si="64"/>
        <v>No</v>
      </c>
      <c r="M9" s="7" t="s">
        <v>33</v>
      </c>
      <c r="N9" s="7" t="s">
        <v>33</v>
      </c>
      <c r="O9" s="7" t="s">
        <v>33</v>
      </c>
      <c r="P9" s="10" t="s">
        <v>2617</v>
      </c>
      <c r="Q9" s="6"/>
      <c r="R9" s="7" t="s">
        <v>33</v>
      </c>
      <c r="S9" s="7" t="s">
        <v>33</v>
      </c>
      <c r="T9" s="10" t="s">
        <v>2617</v>
      </c>
      <c r="U9" s="6"/>
      <c r="V9" s="7" t="s">
        <v>33</v>
      </c>
      <c r="W9" s="6" t="s">
        <v>2618</v>
      </c>
      <c r="X9" s="7" t="s">
        <v>34</v>
      </c>
      <c r="Y9" s="13"/>
      <c r="Z9" s="7" t="s">
        <v>33</v>
      </c>
      <c r="AA9" s="6" t="s">
        <v>2619</v>
      </c>
      <c r="AB9" s="6" t="s">
        <v>2620</v>
      </c>
      <c r="AC9" s="6" t="s">
        <v>39</v>
      </c>
    </row>
    <row r="10" ht="22.5" customHeight="1">
      <c r="A10" s="11" t="str">
        <f>REGEXEXTRACT(D10, "\d{4}\.\s(.*?)\.\sProc\. ACM")"),"Transportation Mode Detection Technology to Predict Wheelchair Users' Life Satisfaction in Seoul, South Korea</f>
        <v xml:space="preserve">Transportation Mode Detection Technology to Predict Wheelchair Users' Life Satisfaction in Seoul, South Korea</v>
      </c>
      <c r="B10" s="7">
        <f t="shared" ref="B10:B42" si="65">IFERROR(VALUE(REGEXEXTRACT(D10,"Article\s+(\d+)")),"")
</f>
        <v>9</v>
      </c>
      <c r="C10" s="8" t="s">
        <v>2621</v>
      </c>
      <c r="D10" s="6" t="s">
        <v>2622</v>
      </c>
      <c r="E10" s="9">
        <v>46035</v>
      </c>
      <c r="F10" s="7">
        <v>2024</v>
      </c>
      <c r="G10" s="7" t="s">
        <v>1412</v>
      </c>
      <c r="H10" s="6" t="str">
        <f t="shared" si="62"/>
        <v>2024_Mar_009</v>
      </c>
      <c r="I10" s="12" t="str">
        <f t="shared" si="63"/>
        <v>https://doi.org/10.1145/3643506</v>
      </c>
      <c r="J10" s="7">
        <f>IF(D10:D42&lt;&gt;"", VALUE(REGEXEXTRACT(D10:D42, "(\d+)\s+pages")), )
</f>
        <v>20</v>
      </c>
      <c r="K10" s="6" t="s">
        <v>243</v>
      </c>
      <c r="L10" s="7" t="str">
        <f t="shared" ref="L10:L21" si="66">IF(REGEXMATCH(LOWER($A10),"(^|[^a-z])dataset(s)?([^a-z]|$)"),"Yes","No")"),"No</f>
        <v>No</v>
      </c>
      <c r="M10" s="7" t="s">
        <v>33</v>
      </c>
      <c r="N10" s="7" t="s">
        <v>33</v>
      </c>
      <c r="O10" s="7" t="s">
        <v>34</v>
      </c>
      <c r="P10" s="6"/>
      <c r="Q10" s="6"/>
      <c r="R10" s="7" t="s">
        <v>33</v>
      </c>
      <c r="S10" s="7" t="s">
        <v>34</v>
      </c>
      <c r="T10" s="6"/>
      <c r="U10" s="6"/>
      <c r="V10" s="7" t="s">
        <v>34</v>
      </c>
      <c r="W10" s="6"/>
      <c r="X10" s="7" t="s">
        <v>34</v>
      </c>
      <c r="Y10" s="13"/>
      <c r="Z10" s="7" t="s">
        <v>34</v>
      </c>
      <c r="AA10" s="6"/>
      <c r="AB10" s="6" t="s">
        <v>2623</v>
      </c>
      <c r="AC10" s="6" t="s">
        <v>39</v>
      </c>
    </row>
    <row r="11" ht="22.5" customHeight="1">
      <c r="A11" s="11" t="str">
        <f>REGEXEXTRACT(D11, "\d{4}\.\s(.*?)\.\sProc\. ACM")"),"MAPLE: Mobile App Prediction Leveraging Large Language Model Embeddings</f>
        <v xml:space="preserve">MAPLE: Mobile App Prediction Leveraging Large Language Model Embeddings</v>
      </c>
      <c r="B11" s="7">
        <f t="shared" si="65"/>
        <v>10</v>
      </c>
      <c r="C11" s="8" t="s">
        <v>2624</v>
      </c>
      <c r="D11" s="6" t="s">
        <v>2625</v>
      </c>
      <c r="E11" s="9">
        <v>46035</v>
      </c>
      <c r="F11" s="7">
        <v>2024</v>
      </c>
      <c r="G11" s="7" t="s">
        <v>1412</v>
      </c>
      <c r="H11" s="6" t="str">
        <f t="shared" si="62"/>
        <v>2024_Mar_010</v>
      </c>
      <c r="I11" s="12" t="str">
        <f t="shared" si="63"/>
        <v>https://doi.org/10.1145/3643514</v>
      </c>
      <c r="J11" s="7">
        <f>IF(D11:D42&lt;&gt;"", VALUE(REGEXEXTRACT(D11:D42, "(\d+)\s+pages")), )
</f>
        <v>25</v>
      </c>
      <c r="K11" s="6" t="s">
        <v>71</v>
      </c>
      <c r="L11" s="7" t="str">
        <f t="shared" si="66"/>
        <v>No</v>
      </c>
      <c r="M11" s="7" t="s">
        <v>34</v>
      </c>
      <c r="N11" s="7" t="s">
        <v>33</v>
      </c>
      <c r="O11" s="7" t="s">
        <v>33</v>
      </c>
      <c r="P11" s="10" t="s">
        <v>2626</v>
      </c>
      <c r="Q11" s="6"/>
      <c r="R11" s="7" t="s">
        <v>33</v>
      </c>
      <c r="S11" s="7" t="s">
        <v>33</v>
      </c>
      <c r="T11" s="6"/>
      <c r="U11" s="6" t="s">
        <v>2627</v>
      </c>
      <c r="V11" s="7" t="s">
        <v>34</v>
      </c>
      <c r="W11" s="6"/>
      <c r="X11" s="7" t="s">
        <v>34</v>
      </c>
      <c r="Y11" s="13"/>
      <c r="Z11" s="7" t="s">
        <v>144</v>
      </c>
      <c r="AA11" s="6" t="s">
        <v>2628</v>
      </c>
      <c r="AB11" s="6" t="s">
        <v>2629</v>
      </c>
      <c r="AC11" s="6" t="s">
        <v>39</v>
      </c>
    </row>
    <row r="12" ht="22.5" customHeight="1">
      <c r="A12" s="11" t="str">
        <f>REGEXEXTRACT(D12, "\d{4}\.\s(.*?)\.\sProc\. ACM")"),"ExHAR: An Interface for Helping Non-Experts Develop and Debug Knowledge-based Human Activity Recognition Systems</f>
        <v xml:space="preserve">ExHAR: An Interface for Helping Non-Experts Develop and Debug Knowledge-based Human Activity Recognition Systems</v>
      </c>
      <c r="B12" s="7">
        <f t="shared" si="65"/>
        <v>11</v>
      </c>
      <c r="C12" s="8" t="s">
        <v>2630</v>
      </c>
      <c r="D12" s="6" t="s">
        <v>2631</v>
      </c>
      <c r="E12" s="9">
        <v>46035</v>
      </c>
      <c r="F12" s="7">
        <v>2024</v>
      </c>
      <c r="G12" s="7" t="s">
        <v>1412</v>
      </c>
      <c r="H12" s="6" t="str">
        <f t="shared" si="62"/>
        <v>2024_Mar_011</v>
      </c>
      <c r="I12" s="12" t="str">
        <f t="shared" si="63"/>
        <v>https://doi.org/10.1145/3643500</v>
      </c>
      <c r="J12" s="7">
        <f>IF(D12:D42&lt;&gt;"", VALUE(REGEXEXTRACT(D12:D42, "(\d+)\s+pages")), )
</f>
        <v>30</v>
      </c>
      <c r="K12" s="6" t="s">
        <v>133</v>
      </c>
      <c r="L12" s="7" t="str">
        <f t="shared" si="66"/>
        <v>No</v>
      </c>
      <c r="M12" s="7" t="s">
        <v>34</v>
      </c>
      <c r="N12" s="7" t="s">
        <v>33</v>
      </c>
      <c r="O12" s="7" t="s">
        <v>34</v>
      </c>
      <c r="P12" s="6"/>
      <c r="Q12" s="6"/>
      <c r="R12" s="7" t="s">
        <v>33</v>
      </c>
      <c r="S12" s="7" t="s">
        <v>33</v>
      </c>
      <c r="T12" s="6"/>
      <c r="U12" s="6" t="s">
        <v>2632</v>
      </c>
      <c r="V12" s="7" t="s">
        <v>34</v>
      </c>
      <c r="W12" s="6"/>
      <c r="X12" s="7" t="s">
        <v>34</v>
      </c>
      <c r="Y12" s="13"/>
      <c r="Z12" s="7" t="s">
        <v>34</v>
      </c>
      <c r="AA12" s="6"/>
      <c r="AB12" s="6" t="s">
        <v>2633</v>
      </c>
      <c r="AC12" s="6" t="s">
        <v>39</v>
      </c>
    </row>
    <row r="13" ht="22.5" customHeight="1">
      <c r="A13" s="11" t="str">
        <f>REGEXEXTRACT(D13, "\d{4}\.\s(.*?)\.\sProc\. ACM")"),"Sasha: Creative Goal-Oriented Reasoning in Smart Homes with Large Language Models</f>
        <v xml:space="preserve">Sasha: Creative Goal-Oriented Reasoning in Smart Homes with Large Language Models</v>
      </c>
      <c r="B13" s="7">
        <f t="shared" si="65"/>
        <v>12</v>
      </c>
      <c r="C13" s="8" t="s">
        <v>2634</v>
      </c>
      <c r="D13" s="6" t="s">
        <v>2635</v>
      </c>
      <c r="E13" s="9">
        <v>46035</v>
      </c>
      <c r="F13" s="7">
        <v>2024</v>
      </c>
      <c r="G13" s="7" t="s">
        <v>1412</v>
      </c>
      <c r="H13" s="6" t="str">
        <f t="shared" si="62"/>
        <v>2024_Mar_012</v>
      </c>
      <c r="I13" s="12" t="str">
        <f t="shared" si="63"/>
        <v>https://doi.org/10.1145/3643505</v>
      </c>
      <c r="J13" s="7">
        <f>IF(D13:D42&lt;&gt;"", VALUE(REGEXEXTRACT(D13:D42, "(\d+)\s+pages")), )
</f>
        <v>38</v>
      </c>
      <c r="K13" s="6" t="s">
        <v>133</v>
      </c>
      <c r="L13" s="7" t="str">
        <f t="shared" si="66"/>
        <v>No</v>
      </c>
      <c r="M13" s="7" t="s">
        <v>33</v>
      </c>
      <c r="N13" s="7" t="s">
        <v>33</v>
      </c>
      <c r="O13" s="7" t="s">
        <v>34</v>
      </c>
      <c r="P13" s="6"/>
      <c r="Q13" s="6"/>
      <c r="R13" s="7" t="s">
        <v>34</v>
      </c>
      <c r="S13" s="7" t="s">
        <v>35</v>
      </c>
      <c r="T13" s="6"/>
      <c r="U13" s="6"/>
      <c r="V13" s="7" t="s">
        <v>33</v>
      </c>
      <c r="W13" s="6" t="s">
        <v>2636</v>
      </c>
      <c r="X13" s="7" t="s">
        <v>33</v>
      </c>
      <c r="Y13" s="6" t="s">
        <v>2637</v>
      </c>
      <c r="Z13" s="7" t="s">
        <v>34</v>
      </c>
      <c r="AA13" s="6"/>
      <c r="AB13" s="6" t="s">
        <v>2638</v>
      </c>
      <c r="AC13" s="6" t="s">
        <v>39</v>
      </c>
    </row>
    <row r="14" ht="22.5" customHeight="1">
      <c r="A14" s="14" t="str">
        <f>REGEXEXTRACT(D14, "\d{4}\.\s(.*?)\.\sProc\. ACM")"),"TagSleep3D: RF-based 3D Sleep Posture Skeleton Recognition</f>
        <v xml:space="preserve">TagSleep3D: RF-based 3D Sleep Posture Skeleton Recognition</v>
      </c>
      <c r="B14" s="15">
        <f t="shared" si="65"/>
        <v>13</v>
      </c>
      <c r="C14" s="16" t="s">
        <v>2639</v>
      </c>
      <c r="D14" s="17" t="s">
        <v>2640</v>
      </c>
      <c r="E14" s="18">
        <v>46035</v>
      </c>
      <c r="F14" s="15">
        <v>2024</v>
      </c>
      <c r="G14" s="15" t="s">
        <v>1412</v>
      </c>
      <c r="H14" s="17" t="str">
        <f t="shared" si="62"/>
        <v>2024_Mar_013</v>
      </c>
      <c r="I14" s="19" t="str">
        <f t="shared" si="63"/>
        <v>https://doi.org/10.1145/3643512</v>
      </c>
      <c r="J14" s="15">
        <f>IF(D14:D42&lt;&gt;"", VALUE(REGEXEXTRACT(D14:D42, "(\d+)\s+pages")), )
</f>
        <v>28</v>
      </c>
      <c r="K14" s="17" t="s">
        <v>777</v>
      </c>
      <c r="L14" s="15" t="str">
        <f t="shared" si="66"/>
        <v>No</v>
      </c>
      <c r="M14" s="15" t="s">
        <v>34</v>
      </c>
      <c r="N14" s="15" t="s">
        <v>33</v>
      </c>
      <c r="O14" s="15" t="s">
        <v>34</v>
      </c>
      <c r="P14" s="17"/>
      <c r="Q14" s="17"/>
      <c r="R14" s="15" t="s">
        <v>33</v>
      </c>
      <c r="S14" s="15" t="s">
        <v>34</v>
      </c>
      <c r="T14" s="17"/>
      <c r="U14" s="17"/>
      <c r="V14" s="15" t="s">
        <v>33</v>
      </c>
      <c r="W14" s="17" t="s">
        <v>2641</v>
      </c>
      <c r="X14" s="15" t="s">
        <v>34</v>
      </c>
      <c r="Y14" s="20"/>
      <c r="Z14" s="15" t="s">
        <v>34</v>
      </c>
      <c r="AA14" s="17"/>
      <c r="AB14" s="17" t="s">
        <v>2642</v>
      </c>
      <c r="AC14" s="17" t="s">
        <v>39</v>
      </c>
    </row>
    <row r="15" ht="22.5" customHeight="1">
      <c r="A15" s="11" t="str">
        <f>REGEXEXTRACT(D15, "\d{4}\.\s(.*?)\.\sProc\. ACM")"),"Investigating Technology Adoption Soon After Sustaining a Spinal Cord Injury</f>
        <v xml:space="preserve">Investigating Technology Adoption Soon After Sustaining a Spinal Cord Injury</v>
      </c>
      <c r="B15" s="7">
        <f t="shared" si="65"/>
        <v>14</v>
      </c>
      <c r="C15" s="8" t="s">
        <v>2643</v>
      </c>
      <c r="D15" s="6" t="s">
        <v>2644</v>
      </c>
      <c r="E15" s="9">
        <v>46103</v>
      </c>
      <c r="F15" s="7">
        <v>2024</v>
      </c>
      <c r="G15" s="7" t="s">
        <v>1412</v>
      </c>
      <c r="H15" s="6" t="str">
        <f t="shared" si="62"/>
        <v>2024_Mar_014</v>
      </c>
      <c r="I15" s="12" t="str">
        <f t="shared" si="63"/>
        <v>https://doi.org/10.1145/3643507</v>
      </c>
      <c r="J15" s="7">
        <f>IF(D15:D42&lt;&gt;"", VALUE(REGEXEXTRACT(D15:D42, "(\d+)\s+pages")), )
</f>
        <v>24</v>
      </c>
      <c r="K15" s="6" t="s">
        <v>133</v>
      </c>
      <c r="L15" s="7" t="str">
        <f t="shared" si="66"/>
        <v>No</v>
      </c>
      <c r="M15" s="7" t="s">
        <v>33</v>
      </c>
      <c r="N15" s="7" t="s">
        <v>33</v>
      </c>
      <c r="O15" s="7" t="s">
        <v>34</v>
      </c>
      <c r="P15" s="6"/>
      <c r="Q15" s="6"/>
      <c r="R15" s="7" t="s">
        <v>33</v>
      </c>
      <c r="S15" s="7" t="s">
        <v>34</v>
      </c>
      <c r="T15" s="6"/>
      <c r="U15" s="6"/>
      <c r="V15" s="7" t="s">
        <v>34</v>
      </c>
      <c r="W15" s="6" t="s">
        <v>2645</v>
      </c>
      <c r="X15" s="7" t="s">
        <v>33</v>
      </c>
      <c r="Y15" s="6" t="s">
        <v>2646</v>
      </c>
      <c r="Z15" s="7" t="s">
        <v>34</v>
      </c>
      <c r="AA15" s="6"/>
      <c r="AB15" s="6" t="s">
        <v>2647</v>
      </c>
      <c r="AC15" s="6" t="s">
        <v>181</v>
      </c>
    </row>
    <row r="16" ht="22.5" customHeight="1">
      <c r="A16" s="11" t="str">
        <f>REGEXEXTRACT(D16, "\d{4}\.\s(.*?)\.\sProc\. ACM")"),"LiquImager: Fine-grained Liquid Identification and Container Imaging System with COTS WiFi Devices</f>
        <v xml:space="preserve">LiquImager: Fine-grained Liquid Identification and Container Imaging System with COTS WiFi Devices</v>
      </c>
      <c r="B16" s="7">
        <f t="shared" si="65"/>
        <v>15</v>
      </c>
      <c r="C16" s="8" t="s">
        <v>2648</v>
      </c>
      <c r="D16" s="6" t="s">
        <v>2649</v>
      </c>
      <c r="E16" s="9">
        <v>46103</v>
      </c>
      <c r="F16" s="7">
        <v>2024</v>
      </c>
      <c r="G16" s="7" t="s">
        <v>1412</v>
      </c>
      <c r="H16" s="6" t="str">
        <f t="shared" si="62"/>
        <v>2024_Mar_015</v>
      </c>
      <c r="I16" s="12" t="str">
        <f t="shared" si="63"/>
        <v>https://doi.org/10.1145/3643509</v>
      </c>
      <c r="J16" s="7">
        <f>IF(D16:D42&lt;&gt;"", VALUE(REGEXEXTRACT(D16:D42, "(\d+)\s+pages")), )
</f>
        <v>29</v>
      </c>
      <c r="K16" s="6" t="s">
        <v>64</v>
      </c>
      <c r="L16" s="7" t="str">
        <f t="shared" si="66"/>
        <v>No</v>
      </c>
      <c r="M16" s="7" t="s">
        <v>34</v>
      </c>
      <c r="N16" s="7" t="s">
        <v>33</v>
      </c>
      <c r="O16" s="7" t="s">
        <v>34</v>
      </c>
      <c r="P16" s="6"/>
      <c r="Q16" s="6"/>
      <c r="R16" s="7" t="s">
        <v>33</v>
      </c>
      <c r="S16" s="7" t="s">
        <v>34</v>
      </c>
      <c r="T16" s="6"/>
      <c r="U16" s="6"/>
      <c r="V16" s="7" t="s">
        <v>34</v>
      </c>
      <c r="W16" s="6" t="s">
        <v>2650</v>
      </c>
      <c r="X16" s="7" t="s">
        <v>34</v>
      </c>
      <c r="Y16" s="6" t="s">
        <v>2651</v>
      </c>
      <c r="Z16" s="7" t="s">
        <v>34</v>
      </c>
      <c r="AA16" s="6"/>
      <c r="AB16" s="6" t="s">
        <v>2652</v>
      </c>
      <c r="AC16" s="6" t="s">
        <v>181</v>
      </c>
    </row>
    <row r="17" ht="22.5" customHeight="1">
      <c r="A17" s="11" t="str">
        <f>REGEXEXTRACT(D17, "\d{4}\.\s(.*?)\.\sProc\. ACM")"),"Embracing Distributed Acoustic Sensing in Car Cabin for Children Presence Detection</f>
        <v xml:space="preserve">Embracing Distributed Acoustic Sensing in Car Cabin for Children Presence Detection</v>
      </c>
      <c r="B17" s="7">
        <f t="shared" si="65"/>
        <v>16</v>
      </c>
      <c r="C17" s="8" t="s">
        <v>2653</v>
      </c>
      <c r="D17" s="6" t="s">
        <v>2654</v>
      </c>
      <c r="E17" s="9">
        <v>46105</v>
      </c>
      <c r="F17" s="7">
        <v>2024</v>
      </c>
      <c r="G17" s="7" t="s">
        <v>1412</v>
      </c>
      <c r="H17" s="6" t="str">
        <f t="shared" si="62"/>
        <v>2024_Mar_016</v>
      </c>
      <c r="I17" s="12" t="str">
        <f t="shared" si="63"/>
        <v>https://doi.org/10.1145/3643548</v>
      </c>
      <c r="J17" s="7">
        <f>IF(D17:D42&lt;&gt;"", VALUE(REGEXEXTRACT(D17:D42, "(\d+)\s+pages")), )
</f>
        <v>28</v>
      </c>
      <c r="K17" s="6" t="s">
        <v>71</v>
      </c>
      <c r="L17" s="7" t="str">
        <f t="shared" si="66"/>
        <v>No</v>
      </c>
      <c r="M17" s="7" t="s">
        <v>33</v>
      </c>
      <c r="N17" s="7" t="s">
        <v>33</v>
      </c>
      <c r="O17" s="7" t="s">
        <v>34</v>
      </c>
      <c r="P17" s="6"/>
      <c r="Q17" s="6"/>
      <c r="R17" s="7" t="s">
        <v>34</v>
      </c>
      <c r="S17" s="7" t="s">
        <v>34</v>
      </c>
      <c r="T17" s="6"/>
      <c r="U17" s="6"/>
      <c r="V17" s="7" t="s">
        <v>34</v>
      </c>
      <c r="W17" s="6" t="s">
        <v>2655</v>
      </c>
      <c r="X17" s="7" t="s">
        <v>34</v>
      </c>
      <c r="Y17" s="13"/>
      <c r="Z17" s="7" t="s">
        <v>34</v>
      </c>
      <c r="AA17" s="6"/>
      <c r="AB17" s="6" t="s">
        <v>2656</v>
      </c>
      <c r="AC17" s="6" t="s">
        <v>181</v>
      </c>
    </row>
    <row r="18" ht="22.5" customHeight="1">
      <c r="A18" s="11" t="str">
        <f>REGEXEXTRACT(D18, "\d{4}\.\s(.*?)\.\sProc\. ACM")"),"Multimodal Daily-Life Logging in Free-living Environment Using Non-Visual Egocentric Sensors on a Smartphone</f>
        <v xml:space="preserve">Multimodal Daily-Life Logging in Free-living Environment Using Non-Visual Egocentric Sensors on a Smartphone</v>
      </c>
      <c r="B18" s="7">
        <f t="shared" si="65"/>
        <v>17</v>
      </c>
      <c r="C18" s="8" t="s">
        <v>2657</v>
      </c>
      <c r="D18" s="6" t="s">
        <v>2658</v>
      </c>
      <c r="E18" s="9">
        <v>46105</v>
      </c>
      <c r="F18" s="7">
        <v>2024</v>
      </c>
      <c r="G18" s="7" t="s">
        <v>1412</v>
      </c>
      <c r="H18" s="6" t="str">
        <f t="shared" si="62"/>
        <v>2024_Mar_017</v>
      </c>
      <c r="I18" s="12" t="str">
        <f t="shared" si="63"/>
        <v>https://doi.org/10.1145/3643553</v>
      </c>
      <c r="J18" s="7">
        <f>IF(D18:D42&lt;&gt;"", VALUE(REGEXEXTRACT(D18:D42, "(\d+)\s+pages")), )
</f>
        <v>32</v>
      </c>
      <c r="K18" s="6" t="s">
        <v>243</v>
      </c>
      <c r="L18" s="7" t="s">
        <v>34</v>
      </c>
      <c r="M18" s="7" t="s">
        <v>33</v>
      </c>
      <c r="N18" s="7" t="s">
        <v>33</v>
      </c>
      <c r="O18" s="7" t="s">
        <v>33</v>
      </c>
      <c r="P18" s="10" t="s">
        <v>2659</v>
      </c>
      <c r="Q18" s="6"/>
      <c r="R18" s="7" t="s">
        <v>33</v>
      </c>
      <c r="S18" s="7" t="s">
        <v>33</v>
      </c>
      <c r="T18" s="10" t="s">
        <v>2660</v>
      </c>
      <c r="U18" s="6"/>
      <c r="V18" s="7" t="s">
        <v>34</v>
      </c>
      <c r="W18" s="6" t="s">
        <v>2661</v>
      </c>
      <c r="X18" s="7" t="s">
        <v>33</v>
      </c>
      <c r="Y18" s="6" t="s">
        <v>2662</v>
      </c>
      <c r="Z18" s="7" t="s">
        <v>33</v>
      </c>
      <c r="AA18" s="6" t="s">
        <v>2663</v>
      </c>
      <c r="AB18" s="6" t="s">
        <v>2664</v>
      </c>
      <c r="AC18" s="6" t="s">
        <v>181</v>
      </c>
    </row>
    <row r="19" ht="22.5" customHeight="1">
      <c r="A19" s="50" t="str">
        <f>REGEXEXTRACT(D19, "\d{4}\.\s(.*?)\.\sProc\. ACM")"),"Planning the Future in a Longer Perspective: Effects of a One-week Forecast of Mental Health</f>
        <v xml:space="preserve">Planning the Future in a Longer Perspective: Effects of a One-week Forecast of Mental Health</v>
      </c>
      <c r="B19" s="7">
        <f t="shared" si="65"/>
        <v>18</v>
      </c>
      <c r="C19" s="8" t="s">
        <v>2665</v>
      </c>
      <c r="D19" s="6" t="s">
        <v>2666</v>
      </c>
      <c r="E19" s="9">
        <v>46105</v>
      </c>
      <c r="F19" s="7">
        <v>2024</v>
      </c>
      <c r="G19" s="7" t="s">
        <v>1412</v>
      </c>
      <c r="H19" s="6" t="str">
        <f t="shared" si="62"/>
        <v>2024_Mar_018</v>
      </c>
      <c r="I19" s="12" t="str">
        <f t="shared" si="63"/>
        <v>https://doi.org/10.1145/3643538</v>
      </c>
      <c r="J19" s="7">
        <f>IF(D19:D42&lt;&gt;"", VALUE(REGEXEXTRACT(D19:D42, "(\d+)\s+pages")), )
</f>
        <v>20</v>
      </c>
      <c r="K19" s="6" t="s">
        <v>32</v>
      </c>
      <c r="L19" s="7" t="str">
        <f t="shared" si="66"/>
        <v>No</v>
      </c>
      <c r="M19" s="7" t="s">
        <v>33</v>
      </c>
      <c r="N19" s="7" t="s">
        <v>34</v>
      </c>
      <c r="O19" s="7" t="s">
        <v>34</v>
      </c>
      <c r="P19" s="6"/>
      <c r="Q19" s="6"/>
      <c r="R19" s="7" t="s">
        <v>33</v>
      </c>
      <c r="S19" s="7" t="s">
        <v>34</v>
      </c>
      <c r="T19" s="6"/>
      <c r="U19" s="6"/>
      <c r="V19" s="7" t="s">
        <v>34</v>
      </c>
      <c r="W19" s="6" t="s">
        <v>2667</v>
      </c>
      <c r="X19" s="7" t="s">
        <v>33</v>
      </c>
      <c r="Y19" s="6" t="s">
        <v>2668</v>
      </c>
      <c r="Z19" s="7" t="s">
        <v>34</v>
      </c>
      <c r="AA19" s="6"/>
      <c r="AB19" s="6" t="s">
        <v>2669</v>
      </c>
      <c r="AC19" s="6" t="s">
        <v>181</v>
      </c>
    </row>
    <row r="20" ht="22.5" customHeight="1">
      <c r="A20" s="11" t="str">
        <f>REGEXEXTRACT(D20, "\d{4}\.\s(.*?)\.\sProc\. ACM")"),"Symptom Detection with Text Message Log Distributions for Holistic Depression and Anxiety Screening</f>
        <v xml:space="preserve">Symptom Detection with Text Message Log Distributions for Holistic Depression and Anxiety Screening</v>
      </c>
      <c r="B20" s="7">
        <f t="shared" si="65"/>
        <v>19</v>
      </c>
      <c r="C20" s="8" t="s">
        <v>2670</v>
      </c>
      <c r="D20" s="6" t="s">
        <v>2671</v>
      </c>
      <c r="E20" s="9">
        <v>46105</v>
      </c>
      <c r="F20" s="7">
        <v>2024</v>
      </c>
      <c r="G20" s="7" t="s">
        <v>1412</v>
      </c>
      <c r="H20" s="6" t="str">
        <f t="shared" si="62"/>
        <v>2024_Mar_019</v>
      </c>
      <c r="I20" s="12" t="str">
        <f t="shared" si="63"/>
        <v>https://doi.org/10.1145/3643554</v>
      </c>
      <c r="J20" s="7">
        <f>IF(D20:D42&lt;&gt;"", VALUE(REGEXEXTRACT(D20:D42, "(\d+)\s+pages")), )
</f>
        <v>28</v>
      </c>
      <c r="K20" s="6" t="s">
        <v>99</v>
      </c>
      <c r="L20" s="7" t="s">
        <v>34</v>
      </c>
      <c r="M20" s="7" t="s">
        <v>34</v>
      </c>
      <c r="N20" s="7" t="s">
        <v>34</v>
      </c>
      <c r="O20" s="7" t="s">
        <v>35</v>
      </c>
      <c r="P20" s="6"/>
      <c r="Q20" s="6"/>
      <c r="R20" s="7" t="s">
        <v>33</v>
      </c>
      <c r="S20" s="7" t="s">
        <v>33</v>
      </c>
      <c r="T20" s="10" t="s">
        <v>2672</v>
      </c>
      <c r="U20" s="6"/>
      <c r="V20" s="7" t="s">
        <v>35</v>
      </c>
      <c r="W20" s="6"/>
      <c r="X20" s="7" t="s">
        <v>35</v>
      </c>
      <c r="Y20" s="13"/>
      <c r="Z20" s="7" t="s">
        <v>35</v>
      </c>
      <c r="AA20" s="6"/>
      <c r="AB20" s="6" t="s">
        <v>2673</v>
      </c>
      <c r="AC20" s="6" t="s">
        <v>181</v>
      </c>
    </row>
    <row r="21" ht="22.5" customHeight="1">
      <c r="A21" s="11" t="str">
        <f>REGEXEXTRACT(D21, "\d{4}\.\s(.*?)\.\sProc\. ACM")"),"UbiPhysio: Support Daily Functioning, Fitness, and Rehabilitation with Action Understanding and Feedback in Natural Language</f>
        <v xml:space="preserve">UbiPhysio: Support Daily Functioning, Fitness, and Rehabilitation with Action Understanding and Feedback in Natural Language</v>
      </c>
      <c r="B21" s="7">
        <f t="shared" si="65"/>
        <v>20</v>
      </c>
      <c r="C21" s="8" t="s">
        <v>2674</v>
      </c>
      <c r="D21" s="6" t="s">
        <v>2675</v>
      </c>
      <c r="E21" s="9">
        <v>46105</v>
      </c>
      <c r="F21" s="7">
        <v>2024</v>
      </c>
      <c r="G21" s="7" t="s">
        <v>1412</v>
      </c>
      <c r="H21" s="6" t="str">
        <f t="shared" si="62"/>
        <v>2024_Mar_020</v>
      </c>
      <c r="I21" s="12" t="str">
        <f t="shared" si="63"/>
        <v>https://doi.org/10.1145/3643552</v>
      </c>
      <c r="J21" s="7">
        <f>IF(D21:D42&lt;&gt;"", VALUE(REGEXEXTRACT(D21:D42, "(\d+)\s+pages")), )
</f>
        <v>27</v>
      </c>
      <c r="K21" s="6" t="s">
        <v>133</v>
      </c>
      <c r="L21" s="7" t="str">
        <f t="shared" si="66"/>
        <v>No</v>
      </c>
      <c r="M21" s="7" t="s">
        <v>33</v>
      </c>
      <c r="N21" s="7" t="s">
        <v>33</v>
      </c>
      <c r="O21" s="7" t="s">
        <v>33</v>
      </c>
      <c r="P21" s="10" t="s">
        <v>2676</v>
      </c>
      <c r="Q21" s="6"/>
      <c r="R21" s="7" t="s">
        <v>34</v>
      </c>
      <c r="S21" s="7" t="s">
        <v>34</v>
      </c>
      <c r="T21" s="6"/>
      <c r="U21" s="6"/>
      <c r="V21" s="7" t="s">
        <v>34</v>
      </c>
      <c r="W21" s="6"/>
      <c r="X21" s="7" t="s">
        <v>34</v>
      </c>
      <c r="Y21" s="6" t="s">
        <v>2677</v>
      </c>
      <c r="Z21" s="7" t="s">
        <v>34</v>
      </c>
      <c r="AA21" s="6"/>
      <c r="AB21" s="6" t="s">
        <v>2678</v>
      </c>
      <c r="AC21" s="6" t="s">
        <v>181</v>
      </c>
    </row>
    <row r="22" ht="22.5" customHeight="1">
      <c r="A22" s="11" t="str">
        <f>REGEXEXTRACT(D22, "\d{4}\.\s(.*?)\.\sProc\. ACM")"),"XRF55: A Radio Frequency Dataset for Human Indoor Action Analysis</f>
        <v xml:space="preserve">XRF55: A Radio Frequency Dataset for Human Indoor Action Analysis</v>
      </c>
      <c r="B22" s="7">
        <f t="shared" si="65"/>
        <v>21</v>
      </c>
      <c r="C22" s="8" t="s">
        <v>2679</v>
      </c>
      <c r="D22" s="6" t="s">
        <v>2680</v>
      </c>
      <c r="E22" s="9">
        <v>46105</v>
      </c>
      <c r="F22" s="7">
        <v>2024</v>
      </c>
      <c r="G22" s="7" t="s">
        <v>1412</v>
      </c>
      <c r="H22" s="6" t="str">
        <f t="shared" si="62"/>
        <v>2024_Mar_021</v>
      </c>
      <c r="I22" s="12" t="str">
        <f t="shared" si="63"/>
        <v>https://doi.org/10.1145/3643543</v>
      </c>
      <c r="J22" s="7">
        <f>IF(D22:D42&lt;&gt;"", VALUE(REGEXEXTRACT(D22:D42, "(\d+)\s+pages")), )
</f>
        <v>34</v>
      </c>
      <c r="K22" s="6" t="s">
        <v>243</v>
      </c>
      <c r="L22" s="7" t="str">
        <f>IF(REGEXMATCH(LOWER($A22),"(^|[^a-z])dataset(s)?([^a-z]|$)"),"Yes","No")"),"Yes</f>
        <v>Yes</v>
      </c>
      <c r="M22" s="7" t="s">
        <v>34</v>
      </c>
      <c r="N22" s="7" t="s">
        <v>33</v>
      </c>
      <c r="O22" s="7" t="s">
        <v>33</v>
      </c>
      <c r="P22" s="10" t="s">
        <v>2681</v>
      </c>
      <c r="Q22" s="6"/>
      <c r="R22" s="7" t="s">
        <v>33</v>
      </c>
      <c r="S22" s="7" t="s">
        <v>33</v>
      </c>
      <c r="T22" s="12" t="s">
        <v>2682</v>
      </c>
      <c r="U22" s="6"/>
      <c r="V22" s="7" t="s">
        <v>34</v>
      </c>
      <c r="W22" s="6" t="s">
        <v>2683</v>
      </c>
      <c r="X22" s="7" t="s">
        <v>34</v>
      </c>
      <c r="Y22" s="6" t="s">
        <v>2684</v>
      </c>
      <c r="Z22" s="7" t="s">
        <v>33</v>
      </c>
      <c r="AA22" s="6" t="s">
        <v>2685</v>
      </c>
      <c r="AB22" s="6" t="s">
        <v>2686</v>
      </c>
      <c r="AC22" s="6" t="s">
        <v>181</v>
      </c>
    </row>
    <row r="23" ht="22.5" customHeight="1">
      <c r="A23" s="11" t="s">
        <v>2687</v>
      </c>
      <c r="B23" s="7">
        <f t="shared" si="65"/>
        <v>22</v>
      </c>
      <c r="C23" s="8" t="s">
        <v>2688</v>
      </c>
      <c r="D23" s="10" t="s">
        <v>2689</v>
      </c>
      <c r="E23" s="9">
        <v>46105</v>
      </c>
      <c r="F23" s="7">
        <v>2024</v>
      </c>
      <c r="G23" s="7" t="s">
        <v>1412</v>
      </c>
      <c r="H23" s="6" t="str">
        <f t="shared" si="62"/>
        <v>2024_Mar_022</v>
      </c>
      <c r="I23" s="12" t="str">
        <f t="shared" si="63"/>
        <v>https://doi.org/10.1145/3643546</v>
      </c>
      <c r="J23" s="7">
        <f>IF(D23:D42&lt;&gt;"", VALUE(REGEXEXTRACT(D23:D42, "(\d+)\s+pages")), )
</f>
        <v>27</v>
      </c>
      <c r="K23" s="6" t="s">
        <v>133</v>
      </c>
      <c r="L23" s="7" t="str">
        <f t="shared" ref="L23:L42" si="67">IF(REGEXMATCH(LOWER($A23),"(^|[^a-z])dataset(s)?([^a-z]|$)"),"Yes","No")"),"No</f>
        <v>No</v>
      </c>
      <c r="M23" s="7" t="s">
        <v>33</v>
      </c>
      <c r="N23" s="7" t="s">
        <v>33</v>
      </c>
      <c r="O23" s="7" t="s">
        <v>34</v>
      </c>
      <c r="P23" s="10" t="s">
        <v>2690</v>
      </c>
      <c r="Q23" s="6" t="s">
        <v>2691</v>
      </c>
      <c r="R23" s="7" t="s">
        <v>33</v>
      </c>
      <c r="S23" s="7" t="s">
        <v>34</v>
      </c>
      <c r="T23" s="6"/>
      <c r="U23" s="6"/>
      <c r="V23" s="7" t="s">
        <v>34</v>
      </c>
      <c r="W23" s="6" t="s">
        <v>2692</v>
      </c>
      <c r="X23" s="7" t="s">
        <v>33</v>
      </c>
      <c r="Y23" s="6" t="s">
        <v>2693</v>
      </c>
      <c r="Z23" s="7" t="s">
        <v>34</v>
      </c>
      <c r="AA23" s="6"/>
      <c r="AB23" s="6" t="s">
        <v>2694</v>
      </c>
      <c r="AC23" s="6" t="s">
        <v>181</v>
      </c>
    </row>
    <row r="24" ht="22.5" customHeight="1">
      <c r="A24" s="11" t="str">
        <f>REGEXEXTRACT(D24, "\d{4}\.\s(.*?)\.\sProc\. ACM")"),"Multi-Subject 3D Human Mesh Construction Using Commodity WiFi</f>
        <v xml:space="preserve">Multi-Subject 3D Human Mesh Construction Using Commodity WiFi</v>
      </c>
      <c r="B24" s="7">
        <f t="shared" si="65"/>
        <v>23</v>
      </c>
      <c r="C24" s="8" t="s">
        <v>2695</v>
      </c>
      <c r="D24" s="6" t="s">
        <v>2696</v>
      </c>
      <c r="E24" s="9">
        <v>46105</v>
      </c>
      <c r="F24" s="7">
        <v>2024</v>
      </c>
      <c r="G24" s="7" t="s">
        <v>1412</v>
      </c>
      <c r="H24" s="6" t="str">
        <f t="shared" si="62"/>
        <v>2024_Mar_023</v>
      </c>
      <c r="I24" s="12" t="str">
        <f t="shared" si="63"/>
        <v>https://doi.org/10.1145/3643504</v>
      </c>
      <c r="J24" s="7">
        <f>IF(D24:D42&lt;&gt;"", VALUE(REGEXEXTRACT(D24:D42, "(\d+)\s+pages")), )
</f>
        <v>25</v>
      </c>
      <c r="K24" s="6" t="s">
        <v>64</v>
      </c>
      <c r="L24" s="7" t="str">
        <f t="shared" si="67"/>
        <v>No</v>
      </c>
      <c r="M24" s="7" t="s">
        <v>34</v>
      </c>
      <c r="N24" s="7" t="s">
        <v>33</v>
      </c>
      <c r="O24" s="7" t="s">
        <v>34</v>
      </c>
      <c r="P24" s="6"/>
      <c r="Q24" s="6"/>
      <c r="R24" s="7" t="s">
        <v>33</v>
      </c>
      <c r="S24" s="7" t="s">
        <v>34</v>
      </c>
      <c r="T24" s="6"/>
      <c r="U24" s="6"/>
      <c r="V24" s="7" t="s">
        <v>34</v>
      </c>
      <c r="W24" s="6" t="s">
        <v>2697</v>
      </c>
      <c r="X24" s="7" t="s">
        <v>33</v>
      </c>
      <c r="Y24" s="6" t="s">
        <v>2698</v>
      </c>
      <c r="Z24" s="7" t="s">
        <v>34</v>
      </c>
      <c r="AA24" s="6"/>
      <c r="AB24" s="6" t="s">
        <v>2699</v>
      </c>
      <c r="AC24" s="6" t="s">
        <v>181</v>
      </c>
    </row>
    <row r="25" ht="22.5" customHeight="1">
      <c r="A25" s="11" t="str">
        <f>REGEXEXTRACT(D25, "\d{4}\.\s(.*?)\.\sProc\. ACM")"),"EarSlide: a Secure Ear Wearables Biometric Authentication Based on Acoustic Fingerprint</f>
        <v xml:space="preserve">EarSlide: a Secure Ear Wearables Biometric Authentication Based on Acoustic Fingerprint</v>
      </c>
      <c r="B25" s="7">
        <f t="shared" si="65"/>
        <v>24</v>
      </c>
      <c r="C25" s="8" t="s">
        <v>2700</v>
      </c>
      <c r="D25" s="6" t="s">
        <v>2701</v>
      </c>
      <c r="E25" s="9">
        <v>46105</v>
      </c>
      <c r="F25" s="7">
        <v>2024</v>
      </c>
      <c r="G25" s="7" t="s">
        <v>1412</v>
      </c>
      <c r="H25" s="6" t="str">
        <f t="shared" si="62"/>
        <v>2024_Mar_024</v>
      </c>
      <c r="I25" s="12" t="str">
        <f t="shared" si="63"/>
        <v>https://doi.org/10.1145/3643515</v>
      </c>
      <c r="J25" s="7">
        <f>IF(D25:D42&lt;&gt;"", VALUE(REGEXEXTRACT(D25:D42, "(\d+)\s+pages")), )
</f>
        <v>29</v>
      </c>
      <c r="K25" s="6" t="s">
        <v>133</v>
      </c>
      <c r="L25" s="7" t="str">
        <f t="shared" si="67"/>
        <v>No</v>
      </c>
      <c r="M25" s="7" t="s">
        <v>34</v>
      </c>
      <c r="N25" s="7" t="s">
        <v>33</v>
      </c>
      <c r="O25" s="7" t="s">
        <v>34</v>
      </c>
      <c r="P25" s="6"/>
      <c r="Q25" s="6"/>
      <c r="R25" s="7" t="s">
        <v>33</v>
      </c>
      <c r="S25" s="7" t="s">
        <v>34</v>
      </c>
      <c r="T25" s="6"/>
      <c r="U25" s="6"/>
      <c r="V25" s="7" t="s">
        <v>34</v>
      </c>
      <c r="W25" s="6" t="s">
        <v>2702</v>
      </c>
      <c r="X25" s="7" t="s">
        <v>34</v>
      </c>
      <c r="Y25" s="6" t="s">
        <v>2703</v>
      </c>
      <c r="Z25" s="7" t="s">
        <v>34</v>
      </c>
      <c r="AA25" s="6"/>
      <c r="AB25" s="6" t="s">
        <v>2704</v>
      </c>
      <c r="AC25" s="6" t="s">
        <v>181</v>
      </c>
    </row>
    <row r="26" ht="22.5" customHeight="1">
      <c r="A26" s="11" t="str">
        <f>REGEXEXTRACT(D26, "\d{4}\.\s(.*?)\.\sProc\. ACM")"),"UHead: Driver Attention Monitoring System Using UWB Radar</f>
        <v xml:space="preserve">UHead: Driver Attention Monitoring System Using UWB Radar</v>
      </c>
      <c r="B26" s="7">
        <f t="shared" si="65"/>
        <v>25</v>
      </c>
      <c r="C26" s="8" t="s">
        <v>2705</v>
      </c>
      <c r="D26" s="6" t="s">
        <v>2706</v>
      </c>
      <c r="E26" s="9">
        <v>46105</v>
      </c>
      <c r="F26" s="7">
        <v>2024</v>
      </c>
      <c r="G26" s="7" t="s">
        <v>1412</v>
      </c>
      <c r="H26" s="6" t="str">
        <f t="shared" si="62"/>
        <v>2024_Mar_025</v>
      </c>
      <c r="I26" s="12" t="str">
        <f t="shared" si="63"/>
        <v>https://doi.org/10.1145/3643551</v>
      </c>
      <c r="J26" s="7">
        <f>IF(D26:D42&lt;&gt;"", VALUE(REGEXEXTRACT(D26:D42, "(\d+)\s+pages")), )
</f>
        <v>28</v>
      </c>
      <c r="K26" s="6" t="s">
        <v>64</v>
      </c>
      <c r="L26" s="7" t="str">
        <f t="shared" si="67"/>
        <v>No</v>
      </c>
      <c r="M26" s="7" t="s">
        <v>34</v>
      </c>
      <c r="N26" s="7" t="s">
        <v>33</v>
      </c>
      <c r="O26" s="7" t="s">
        <v>34</v>
      </c>
      <c r="P26" s="6"/>
      <c r="Q26" s="6"/>
      <c r="R26" s="7" t="s">
        <v>33</v>
      </c>
      <c r="S26" s="7" t="s">
        <v>34</v>
      </c>
      <c r="T26" s="6"/>
      <c r="U26" s="6"/>
      <c r="V26" s="7" t="s">
        <v>33</v>
      </c>
      <c r="W26" s="6" t="s">
        <v>2707</v>
      </c>
      <c r="X26" s="7" t="s">
        <v>34</v>
      </c>
      <c r="Y26" s="6" t="s">
        <v>2708</v>
      </c>
      <c r="Z26" s="7" t="s">
        <v>34</v>
      </c>
      <c r="AA26" s="6"/>
      <c r="AB26" s="6" t="s">
        <v>2709</v>
      </c>
      <c r="AC26" s="6" t="s">
        <v>181</v>
      </c>
    </row>
    <row r="27" ht="22.5" customHeight="1">
      <c r="A27" s="11" t="str">
        <f>REGEXEXTRACT(D27, "\d{4}\.\s(.*?)\.\sProc\. ACM")"),"AFace: Range-flexible Anti-spoofing Face Authentication via Smartphone Acoustic Sensing</f>
        <v xml:space="preserve">AFace: Range-flexible Anti-spoofing Face Authentication via Smartphone Acoustic Sensing</v>
      </c>
      <c r="B27" s="7">
        <f t="shared" si="65"/>
        <v>26</v>
      </c>
      <c r="C27" s="8" t="s">
        <v>2710</v>
      </c>
      <c r="D27" s="6" t="s">
        <v>2711</v>
      </c>
      <c r="E27" s="9">
        <v>46106</v>
      </c>
      <c r="F27" s="7">
        <v>2024</v>
      </c>
      <c r="G27" s="7" t="s">
        <v>1412</v>
      </c>
      <c r="H27" s="6" t="str">
        <f t="shared" si="62"/>
        <v>2024_Mar_026</v>
      </c>
      <c r="I27" s="12" t="str">
        <f t="shared" si="63"/>
        <v>https://doi.org/10.1145/3643510</v>
      </c>
      <c r="J27" s="7">
        <f>IF(D27:D42&lt;&gt;"", VALUE(REGEXEXTRACT(D27:D42, "(\d+)\s+pages")), )
</f>
        <v>33</v>
      </c>
      <c r="K27" s="6" t="s">
        <v>133</v>
      </c>
      <c r="L27" s="7" t="str">
        <f t="shared" si="67"/>
        <v>No</v>
      </c>
      <c r="M27" s="7" t="s">
        <v>34</v>
      </c>
      <c r="N27" s="7" t="s">
        <v>33</v>
      </c>
      <c r="O27" s="7" t="s">
        <v>33</v>
      </c>
      <c r="P27" s="10" t="s">
        <v>2712</v>
      </c>
      <c r="Q27" s="6"/>
      <c r="R27" s="7" t="s">
        <v>33</v>
      </c>
      <c r="S27" s="7" t="s">
        <v>33</v>
      </c>
      <c r="T27" s="10" t="s">
        <v>2712</v>
      </c>
      <c r="U27" s="6"/>
      <c r="V27" s="7" t="s">
        <v>34</v>
      </c>
      <c r="W27" s="6"/>
      <c r="X27" s="7" t="s">
        <v>34</v>
      </c>
      <c r="Y27" s="6" t="s">
        <v>918</v>
      </c>
      <c r="Z27" s="7" t="s">
        <v>144</v>
      </c>
      <c r="AA27" s="6" t="s">
        <v>2713</v>
      </c>
      <c r="AB27" s="6" t="s">
        <v>2714</v>
      </c>
      <c r="AC27" s="6" t="s">
        <v>181</v>
      </c>
    </row>
    <row r="28" ht="22.5" customHeight="1">
      <c r="A28" s="14" t="str">
        <f>REGEXEXTRACT(D28, "\d{4}\.\s(.*?)\.\sProc\. ACM")")," 'Eco Is Just Marketing': Unraveling Everyday Barriers to the Adoption of Energy-Saving Features in Major Home Appliances</f>
        <v xml:space="preserve">'Eco Is Just Marketing': Unraveling Everyday Barriers to the Adoption of Energy-Saving Features in Major Home Appliances</v>
      </c>
      <c r="B28" s="15">
        <f t="shared" si="65"/>
        <v>27</v>
      </c>
      <c r="C28" s="16" t="s">
        <v>2715</v>
      </c>
      <c r="D28" s="17" t="s">
        <v>2716</v>
      </c>
      <c r="E28" s="18">
        <v>46106</v>
      </c>
      <c r="F28" s="15">
        <v>2024</v>
      </c>
      <c r="G28" s="15" t="s">
        <v>1412</v>
      </c>
      <c r="H28" s="17" t="str">
        <f t="shared" si="62"/>
        <v>2024_Mar_027</v>
      </c>
      <c r="I28" s="19" t="str">
        <f t="shared" si="63"/>
        <v>https://doi.org/10.1145/3643558</v>
      </c>
      <c r="J28" s="15">
        <f>IF(D28:D42&lt;&gt;"", VALUE(REGEXEXTRACT(D28:D42, "(\d+)\s+pages")), )
</f>
        <v>27</v>
      </c>
      <c r="K28" s="17" t="s">
        <v>42</v>
      </c>
      <c r="L28" s="15" t="str">
        <f t="shared" si="67"/>
        <v>No</v>
      </c>
      <c r="M28" s="15" t="s">
        <v>33</v>
      </c>
      <c r="N28" s="15" t="s">
        <v>34</v>
      </c>
      <c r="O28" s="15" t="s">
        <v>35</v>
      </c>
      <c r="P28" s="17"/>
      <c r="Q28" s="17"/>
      <c r="R28" s="15" t="s">
        <v>34</v>
      </c>
      <c r="S28" s="15" t="s">
        <v>35</v>
      </c>
      <c r="T28" s="17"/>
      <c r="U28" s="17"/>
      <c r="V28" s="15" t="s">
        <v>35</v>
      </c>
      <c r="W28" s="17"/>
      <c r="X28" s="15" t="s">
        <v>35</v>
      </c>
      <c r="Y28" s="20"/>
      <c r="Z28" s="15" t="s">
        <v>35</v>
      </c>
      <c r="AA28" s="17"/>
      <c r="AB28" s="17" t="s">
        <v>2717</v>
      </c>
      <c r="AC28" s="17" t="s">
        <v>181</v>
      </c>
    </row>
    <row r="29" ht="22.5" customHeight="1">
      <c r="A29" s="11" t="str">
        <f>REGEXEXTRACT(D29, "\d{4}\.\s(.*?)\.\sProc\. ACM")"),"AquaKey: Exploiting the Randomness of the Underwater Visible Light Communication Channel for Key Extraction</f>
        <v xml:space="preserve">AquaKey: Exploiting the Randomness of the Underwater Visible Light Communication Channel for Key Extraction</v>
      </c>
      <c r="B29" s="7">
        <f t="shared" si="65"/>
        <v>28</v>
      </c>
      <c r="C29" s="8" t="s">
        <v>2718</v>
      </c>
      <c r="D29" s="6" t="s">
        <v>2719</v>
      </c>
      <c r="E29" s="9">
        <v>45983</v>
      </c>
      <c r="F29" s="7">
        <v>2024</v>
      </c>
      <c r="G29" s="7" t="s">
        <v>1412</v>
      </c>
      <c r="H29" s="6" t="str">
        <f t="shared" si="62"/>
        <v>2024_Mar_028</v>
      </c>
      <c r="I29" s="12" t="str">
        <f t="shared" si="63"/>
        <v>https://doi.org/10.1145/3643557</v>
      </c>
      <c r="J29" s="7">
        <f>IF(D29:D42&lt;&gt;"", VALUE(REGEXEXTRACT(D29:D42, "(\d+)\s+pages")), )
</f>
        <v>25</v>
      </c>
      <c r="K29" s="6" t="s">
        <v>777</v>
      </c>
      <c r="L29" s="7" t="str">
        <f t="shared" si="67"/>
        <v>No</v>
      </c>
      <c r="M29" s="7" t="s">
        <v>34</v>
      </c>
      <c r="N29" s="7" t="s">
        <v>33</v>
      </c>
      <c r="O29" s="7" t="s">
        <v>33</v>
      </c>
      <c r="P29" s="10" t="s">
        <v>2720</v>
      </c>
      <c r="Q29" s="6" t="s">
        <v>2721</v>
      </c>
      <c r="R29" s="7" t="s">
        <v>33</v>
      </c>
      <c r="S29" s="7" t="s">
        <v>34</v>
      </c>
      <c r="T29" s="6"/>
      <c r="U29" s="6" t="s">
        <v>2722</v>
      </c>
      <c r="V29" s="7" t="s">
        <v>33</v>
      </c>
      <c r="W29" s="6" t="s">
        <v>2723</v>
      </c>
      <c r="X29" s="7" t="s">
        <v>34</v>
      </c>
      <c r="Y29" s="6" t="s">
        <v>2724</v>
      </c>
      <c r="Z29" s="7" t="s">
        <v>34</v>
      </c>
      <c r="AA29" s="6" t="s">
        <v>2725</v>
      </c>
      <c r="AB29" s="6" t="s">
        <v>2726</v>
      </c>
      <c r="AC29" s="6" t="s">
        <v>355</v>
      </c>
    </row>
    <row r="30" ht="22.5" customHeight="1">
      <c r="A30" s="11" t="str">
        <f>REGEXEXTRACT(D30, "\d{4}\.\s(.*?)\.\sProc\. ACM")"),"DeltaLCA: Comparative Life-Cycle Assessment for Electronics Design</f>
        <v xml:space="preserve">DeltaLCA: Comparative Life-Cycle Assessment for Electronics Design</v>
      </c>
      <c r="B30" s="7">
        <f t="shared" si="65"/>
        <v>29</v>
      </c>
      <c r="C30" s="8" t="s">
        <v>2727</v>
      </c>
      <c r="D30" s="23" t="s">
        <v>2728</v>
      </c>
      <c r="E30" s="9">
        <v>45983</v>
      </c>
      <c r="F30" s="7">
        <v>2024</v>
      </c>
      <c r="G30" s="7" t="s">
        <v>1412</v>
      </c>
      <c r="H30" s="6" t="str">
        <f t="shared" si="62"/>
        <v>2024_Mar_029</v>
      </c>
      <c r="I30" s="12" t="str">
        <f t="shared" si="63"/>
        <v>https://doi.org/10.1145/3643561</v>
      </c>
      <c r="J30" s="7">
        <f>IF(D30:D42&lt;&gt;"", VALUE(REGEXEXTRACT(D30:D42, "(\d+)\s+pages")), )
</f>
        <v>29</v>
      </c>
      <c r="K30" s="6" t="s">
        <v>133</v>
      </c>
      <c r="L30" s="7" t="str">
        <f t="shared" si="67"/>
        <v>No</v>
      </c>
      <c r="M30" s="7" t="s">
        <v>33</v>
      </c>
      <c r="N30" s="7" t="s">
        <v>33</v>
      </c>
      <c r="O30" s="7" t="s">
        <v>34</v>
      </c>
      <c r="P30" s="6"/>
      <c r="Q30" s="6" t="s">
        <v>2729</v>
      </c>
      <c r="R30" s="7" t="s">
        <v>33</v>
      </c>
      <c r="S30" s="7" t="s">
        <v>34</v>
      </c>
      <c r="T30" s="6"/>
      <c r="U30" s="6" t="s">
        <v>2730</v>
      </c>
      <c r="V30" s="7" t="s">
        <v>34</v>
      </c>
      <c r="W30" s="6" t="s">
        <v>2731</v>
      </c>
      <c r="X30" s="7" t="s">
        <v>33</v>
      </c>
      <c r="Y30" s="6" t="s">
        <v>2732</v>
      </c>
      <c r="Z30" s="7" t="s">
        <v>34</v>
      </c>
      <c r="AA30" s="6" t="s">
        <v>2733</v>
      </c>
      <c r="AB30" s="6" t="s">
        <v>2734</v>
      </c>
      <c r="AC30" s="6" t="s">
        <v>355</v>
      </c>
    </row>
    <row r="31" ht="22.5" customHeight="1">
      <c r="A31" s="11" t="str">
        <f>REGEXEXTRACT(D31, "\d{4}\.\s(.*?)\.\sProc\. ACM")"),"MmArrhythmia: Contactless Arrhythmia Detection via mmWave Sensing</f>
        <v xml:space="preserve">MmArrhythmia: Contactless Arrhythmia Detection via mmWave Sensing</v>
      </c>
      <c r="B31" s="7">
        <f t="shared" si="65"/>
        <v>30</v>
      </c>
      <c r="C31" s="8" t="s">
        <v>2735</v>
      </c>
      <c r="D31" s="6" t="s">
        <v>2736</v>
      </c>
      <c r="E31" s="9">
        <v>45983</v>
      </c>
      <c r="F31" s="7">
        <v>2024</v>
      </c>
      <c r="G31" s="7" t="s">
        <v>1412</v>
      </c>
      <c r="H31" s="6" t="str">
        <f t="shared" si="62"/>
        <v>2024_Mar_030</v>
      </c>
      <c r="I31" s="12" t="str">
        <f t="shared" si="63"/>
        <v>https://doi.org/10.1145/3643549</v>
      </c>
      <c r="J31" s="7">
        <f>IF(D31:D42&lt;&gt;"", VALUE(REGEXEXTRACT(D31:D42, "(\d+)\s+pages")), )
</f>
        <v>25</v>
      </c>
      <c r="K31" s="6" t="s">
        <v>217</v>
      </c>
      <c r="L31" s="7" t="str">
        <f t="shared" si="67"/>
        <v>No</v>
      </c>
      <c r="M31" s="7" t="s">
        <v>34</v>
      </c>
      <c r="N31" s="7" t="s">
        <v>33</v>
      </c>
      <c r="O31" s="7" t="s">
        <v>34</v>
      </c>
      <c r="P31" s="6"/>
      <c r="Q31" s="6"/>
      <c r="R31" s="7" t="s">
        <v>33</v>
      </c>
      <c r="S31" s="7" t="s">
        <v>34</v>
      </c>
      <c r="T31" s="6"/>
      <c r="U31" s="6" t="s">
        <v>2737</v>
      </c>
      <c r="V31" s="7" t="s">
        <v>33</v>
      </c>
      <c r="W31" s="6" t="s">
        <v>2738</v>
      </c>
      <c r="X31" s="7" t="s">
        <v>33</v>
      </c>
      <c r="Y31" s="6" t="s">
        <v>2739</v>
      </c>
      <c r="Z31" s="7" t="s">
        <v>34</v>
      </c>
      <c r="AA31" s="6" t="s">
        <v>2740</v>
      </c>
      <c r="AB31" s="6" t="s">
        <v>2741</v>
      </c>
      <c r="AC31" s="6" t="s">
        <v>355</v>
      </c>
    </row>
    <row r="32" ht="22.5" customHeight="1">
      <c r="A32" s="11" t="str">
        <f>REGEXEXTRACT(D32, "\d{4}\.\s(.*?)\.\sProc\. ACM")"),"Mental-LLM: Leveraging Large Language Models for Mental Health Prediction via Online Text Data</f>
        <v xml:space="preserve">Mental-LLM: Leveraging Large Language Models for Mental Health Prediction via Online Text Data</v>
      </c>
      <c r="B32" s="7">
        <f t="shared" si="65"/>
        <v>31</v>
      </c>
      <c r="C32" s="8" t="s">
        <v>2742</v>
      </c>
      <c r="D32" s="6" t="s">
        <v>2743</v>
      </c>
      <c r="E32" s="9">
        <v>45983</v>
      </c>
      <c r="F32" s="7">
        <v>2024</v>
      </c>
      <c r="G32" s="7" t="s">
        <v>1412</v>
      </c>
      <c r="H32" s="6" t="str">
        <f t="shared" si="62"/>
        <v>2024_Mar_031</v>
      </c>
      <c r="I32" s="12" t="str">
        <f t="shared" si="63"/>
        <v>https://doi.org/10.1145/3643540</v>
      </c>
      <c r="J32" s="7">
        <f>IF(D32:D42&lt;&gt;"", VALUE(REGEXEXTRACT(D32:D42, "(\d+)\s+pages")), )
</f>
        <v>32</v>
      </c>
      <c r="K32" s="6" t="s">
        <v>64</v>
      </c>
      <c r="L32" s="7" t="str">
        <f t="shared" si="67"/>
        <v>No</v>
      </c>
      <c r="M32" s="7" t="s">
        <v>33</v>
      </c>
      <c r="N32" s="7" t="s">
        <v>33</v>
      </c>
      <c r="O32" s="7" t="s">
        <v>33</v>
      </c>
      <c r="P32" s="10" t="s">
        <v>2744</v>
      </c>
      <c r="Q32" s="6" t="s">
        <v>2745</v>
      </c>
      <c r="R32" s="7" t="s">
        <v>33</v>
      </c>
      <c r="S32" s="7" t="s">
        <v>34</v>
      </c>
      <c r="T32" s="6"/>
      <c r="U32" s="6" t="s">
        <v>2746</v>
      </c>
      <c r="V32" s="7" t="s">
        <v>33</v>
      </c>
      <c r="W32" s="6" t="s">
        <v>2747</v>
      </c>
      <c r="X32" s="7" t="s">
        <v>33</v>
      </c>
      <c r="Y32" s="6" t="s">
        <v>2748</v>
      </c>
      <c r="Z32" s="7" t="s">
        <v>34</v>
      </c>
      <c r="AA32" s="6" t="s">
        <v>2749</v>
      </c>
      <c r="AB32" s="6" t="s">
        <v>2750</v>
      </c>
      <c r="AC32" s="6" t="s">
        <v>355</v>
      </c>
    </row>
    <row r="33" ht="22.5" customHeight="1">
      <c r="A33" s="11" t="str">
        <f>REGEXEXTRACT(D33, "\d{4}\.\s(.*?)\.\sProc\. ACM")"),"Light and Dark Mode: A Comparison Between Android and iOS App UI Modes and Interviews with App Designers and Developers</f>
        <v xml:space="preserve">Light and Dark Mode: A Comparison Between Android and iOS App UI Modes and Interviews with App Designers and Developers</v>
      </c>
      <c r="B33" s="7">
        <f t="shared" si="65"/>
        <v>32</v>
      </c>
      <c r="C33" s="8" t="s">
        <v>2751</v>
      </c>
      <c r="D33" s="6" t="s">
        <v>2752</v>
      </c>
      <c r="E33" s="9">
        <v>45983</v>
      </c>
      <c r="F33" s="7">
        <v>2024</v>
      </c>
      <c r="G33" s="7" t="s">
        <v>1412</v>
      </c>
      <c r="H33" s="6" t="str">
        <f t="shared" si="62"/>
        <v>2024_Mar_032</v>
      </c>
      <c r="I33" s="12" t="str">
        <f t="shared" si="63"/>
        <v>https://doi.org/10.1145/3643539</v>
      </c>
      <c r="J33" s="7">
        <f>IF(D33:D42&lt;&gt;"", VALUE(REGEXEXTRACT(D33:D42, "(\d+)\s+pages")), )
</f>
        <v>23</v>
      </c>
      <c r="K33" s="6" t="s">
        <v>42</v>
      </c>
      <c r="L33" s="7" t="str">
        <f t="shared" si="67"/>
        <v>No</v>
      </c>
      <c r="M33" s="7" t="s">
        <v>33</v>
      </c>
      <c r="N33" s="7" t="s">
        <v>34</v>
      </c>
      <c r="O33" s="7" t="s">
        <v>35</v>
      </c>
      <c r="P33" s="6"/>
      <c r="Q33" s="6"/>
      <c r="R33" s="7" t="s">
        <v>34</v>
      </c>
      <c r="S33" s="7" t="s">
        <v>35</v>
      </c>
      <c r="T33" s="6"/>
      <c r="U33" s="6"/>
      <c r="V33" s="7" t="s">
        <v>35</v>
      </c>
      <c r="W33" s="6"/>
      <c r="X33" s="7" t="s">
        <v>35</v>
      </c>
      <c r="Y33" s="13"/>
      <c r="Z33" s="7" t="s">
        <v>35</v>
      </c>
      <c r="AA33" s="6"/>
      <c r="AB33" s="6"/>
      <c r="AC33" s="6" t="s">
        <v>355</v>
      </c>
    </row>
    <row r="34" ht="22.5" customHeight="1">
      <c r="A34" s="11" t="str">
        <f>REGEXEXTRACT(D34, "\d{4}\.\s(.*?)\.\sProc\. ACM")"),"Matcha: An IDE Plugin for Creating Accurate Privacy Nutrition Labels</f>
        <v xml:space="preserve">Matcha: An IDE Plugin for Creating Accurate Privacy Nutrition Labels</v>
      </c>
      <c r="B34" s="7">
        <f t="shared" si="65"/>
        <v>33</v>
      </c>
      <c r="C34" s="8" t="s">
        <v>2753</v>
      </c>
      <c r="D34" s="6" t="s">
        <v>2754</v>
      </c>
      <c r="E34" s="9">
        <v>45983</v>
      </c>
      <c r="F34" s="7">
        <v>2024</v>
      </c>
      <c r="G34" s="7" t="s">
        <v>1412</v>
      </c>
      <c r="H34" s="6" t="str">
        <f t="shared" si="62"/>
        <v>2024_Mar_033</v>
      </c>
      <c r="I34" s="12" t="str">
        <f t="shared" si="63"/>
        <v>https://doi.org/10.1145/3643544</v>
      </c>
      <c r="J34" s="7">
        <f>IF(D34:D42&lt;&gt;"", VALUE(REGEXEXTRACT(D34:D42, "(\d+)\s+pages")), )
</f>
        <v>38</v>
      </c>
      <c r="K34" s="6" t="s">
        <v>652</v>
      </c>
      <c r="L34" s="7" t="str">
        <f t="shared" si="67"/>
        <v>No</v>
      </c>
      <c r="M34" s="7" t="s">
        <v>33</v>
      </c>
      <c r="N34" s="7" t="s">
        <v>33</v>
      </c>
      <c r="O34" s="7" t="s">
        <v>33</v>
      </c>
      <c r="P34" s="10" t="s">
        <v>2755</v>
      </c>
      <c r="Q34" s="6" t="s">
        <v>2756</v>
      </c>
      <c r="R34" s="7" t="s">
        <v>33</v>
      </c>
      <c r="S34" s="7" t="s">
        <v>34</v>
      </c>
      <c r="T34" s="6"/>
      <c r="U34" s="6" t="s">
        <v>2757</v>
      </c>
      <c r="V34" s="7" t="s">
        <v>34</v>
      </c>
      <c r="W34" s="6"/>
      <c r="X34" s="7" t="s">
        <v>34</v>
      </c>
      <c r="Y34" s="6" t="s">
        <v>2758</v>
      </c>
      <c r="Z34" s="7" t="s">
        <v>34</v>
      </c>
      <c r="AA34" s="6" t="s">
        <v>2759</v>
      </c>
      <c r="AB34" s="6" t="s">
        <v>2760</v>
      </c>
      <c r="AC34" s="6" t="s">
        <v>355</v>
      </c>
    </row>
    <row r="35" ht="22.5" customHeight="1">
      <c r="A35" s="11" t="str">
        <f>REGEXEXTRACT(D35, "\d{4}\.\s(.*?)\.\sProc\. ACM")"),"A Multi-sensory Kiosk Interface to Familiarize Users with New Foods</f>
        <v xml:space="preserve">A Multi-sensory Kiosk Interface to Familiarize Users with New Foods</v>
      </c>
      <c r="B35" s="7">
        <f t="shared" si="65"/>
        <v>34</v>
      </c>
      <c r="C35" s="8" t="s">
        <v>2761</v>
      </c>
      <c r="D35" s="6" t="s">
        <v>2762</v>
      </c>
      <c r="E35" s="9">
        <v>45983</v>
      </c>
      <c r="F35" s="7">
        <v>2024</v>
      </c>
      <c r="G35" s="7" t="s">
        <v>1412</v>
      </c>
      <c r="H35" s="6" t="str">
        <f t="shared" si="62"/>
        <v>2024_Mar_034</v>
      </c>
      <c r="I35" s="12" t="str">
        <f t="shared" si="63"/>
        <v>https://doi.org/10.1145/3643545</v>
      </c>
      <c r="J35" s="7">
        <f>IF(D35:D42&lt;&gt;"", VALUE(REGEXEXTRACT(D35:D42, "(\d+)\s+pages")), )
</f>
        <v>26</v>
      </c>
      <c r="K35" s="6" t="s">
        <v>1093</v>
      </c>
      <c r="L35" s="7" t="str">
        <f t="shared" si="67"/>
        <v>No</v>
      </c>
      <c r="M35" s="7" t="s">
        <v>33</v>
      </c>
      <c r="N35" s="7" t="s">
        <v>33</v>
      </c>
      <c r="O35" s="7" t="s">
        <v>34</v>
      </c>
      <c r="P35" s="6"/>
      <c r="Q35" s="6" t="s">
        <v>2763</v>
      </c>
      <c r="R35" s="7" t="s">
        <v>33</v>
      </c>
      <c r="S35" s="7" t="s">
        <v>34</v>
      </c>
      <c r="T35" s="6"/>
      <c r="U35" s="6" t="s">
        <v>2764</v>
      </c>
      <c r="V35" s="7" t="s">
        <v>33</v>
      </c>
      <c r="W35" s="6" t="s">
        <v>2765</v>
      </c>
      <c r="X35" s="7" t="s">
        <v>34</v>
      </c>
      <c r="Y35" s="6" t="s">
        <v>2766</v>
      </c>
      <c r="Z35" s="7" t="s">
        <v>34</v>
      </c>
      <c r="AA35" s="6" t="s">
        <v>2767</v>
      </c>
      <c r="AB35" s="6" t="s">
        <v>2768</v>
      </c>
      <c r="AC35" s="6" t="s">
        <v>355</v>
      </c>
    </row>
    <row r="36" ht="22.5" customHeight="1">
      <c r="A36" s="11" t="str">
        <f>REGEXEXTRACT(D36, "\d{4}\.\s(.*?)\.\sProc\. ACM")"),"CrossGAI: A Cross-Device Generative AI Framework for Collaborative Fashion Design</f>
        <v xml:space="preserve">CrossGAI: A Cross-Device Generative AI Framework for Collaborative Fashion Design</v>
      </c>
      <c r="B36" s="7">
        <f t="shared" si="65"/>
        <v>35</v>
      </c>
      <c r="C36" s="8" t="s">
        <v>2769</v>
      </c>
      <c r="D36" s="6" t="s">
        <v>2770</v>
      </c>
      <c r="E36" s="9">
        <v>45984</v>
      </c>
      <c r="F36" s="7">
        <v>2024</v>
      </c>
      <c r="G36" s="7" t="s">
        <v>1412</v>
      </c>
      <c r="H36" s="6" t="str">
        <f t="shared" si="62"/>
        <v>2024_Mar_035</v>
      </c>
      <c r="I36" s="12" t="str">
        <f t="shared" si="63"/>
        <v>https://doi.org/10.1145/3643542</v>
      </c>
      <c r="J36" s="7">
        <f>IF(D36:D42&lt;&gt;"", VALUE(REGEXEXTRACT(D36:D42, "(\d+)\s+pages")), )
</f>
        <v>27</v>
      </c>
      <c r="K36" s="6" t="s">
        <v>133</v>
      </c>
      <c r="L36" s="7" t="str">
        <f t="shared" si="67"/>
        <v>No</v>
      </c>
      <c r="M36" s="7" t="s">
        <v>34</v>
      </c>
      <c r="N36" s="7" t="s">
        <v>33</v>
      </c>
      <c r="O36" s="7" t="s">
        <v>34</v>
      </c>
      <c r="P36" s="6"/>
      <c r="Q36" s="6"/>
      <c r="R36" s="7" t="s">
        <v>33</v>
      </c>
      <c r="S36" s="7" t="s">
        <v>34</v>
      </c>
      <c r="T36" s="6"/>
      <c r="U36" s="6" t="s">
        <v>2771</v>
      </c>
      <c r="V36" s="7" t="s">
        <v>33</v>
      </c>
      <c r="W36" s="6" t="s">
        <v>2772</v>
      </c>
      <c r="X36" s="7" t="s">
        <v>34</v>
      </c>
      <c r="Y36" s="6" t="s">
        <v>2773</v>
      </c>
      <c r="Z36" s="7" t="s">
        <v>34</v>
      </c>
      <c r="AA36" s="6" t="s">
        <v>2774</v>
      </c>
      <c r="AB36" s="6" t="s">
        <v>2775</v>
      </c>
      <c r="AC36" s="6" t="s">
        <v>355</v>
      </c>
    </row>
    <row r="37" ht="22.5" customHeight="1">
      <c r="A37" s="11" t="str">
        <f>REGEXEXTRACT(D37, "\d{4}\.\s(.*?)\.\sProc\. ACM")"),"Kirigami: Lightweight Speech Filtering for Privacy-Preserving Activity Recognition using Audio</f>
        <v xml:space="preserve">Kirigami: Lightweight Speech Filtering for Privacy-Preserving Activity Recognition using Audio</v>
      </c>
      <c r="B37" s="7">
        <f t="shared" si="65"/>
        <v>36</v>
      </c>
      <c r="C37" s="8" t="s">
        <v>2776</v>
      </c>
      <c r="D37" s="6" t="s">
        <v>2777</v>
      </c>
      <c r="E37" s="9">
        <v>45984</v>
      </c>
      <c r="F37" s="7">
        <v>2024</v>
      </c>
      <c r="G37" s="7" t="s">
        <v>1412</v>
      </c>
      <c r="H37" s="6" t="str">
        <f t="shared" si="62"/>
        <v>2024_Mar_036</v>
      </c>
      <c r="I37" s="12" t="str">
        <f t="shared" si="63"/>
        <v>https://doi.org/10.1145/3643502</v>
      </c>
      <c r="J37" s="7">
        <f>IF(D37:D42&lt;&gt;"", VALUE(REGEXEXTRACT(D37:D42, "(\d+)\s+pages")), )
</f>
        <v>28</v>
      </c>
      <c r="K37" s="6" t="s">
        <v>217</v>
      </c>
      <c r="L37" s="7" t="str">
        <f t="shared" si="67"/>
        <v>No</v>
      </c>
      <c r="M37" s="7" t="s">
        <v>33</v>
      </c>
      <c r="N37" s="7" t="s">
        <v>33</v>
      </c>
      <c r="O37" s="7" t="s">
        <v>33</v>
      </c>
      <c r="P37" s="10" t="s">
        <v>2778</v>
      </c>
      <c r="Q37" s="6" t="s">
        <v>2779</v>
      </c>
      <c r="R37" s="7" t="s">
        <v>33</v>
      </c>
      <c r="S37" s="7" t="s">
        <v>33</v>
      </c>
      <c r="T37" s="6"/>
      <c r="U37" s="6" t="s">
        <v>2780</v>
      </c>
      <c r="V37" s="7" t="s">
        <v>33</v>
      </c>
      <c r="W37" s="6" t="s">
        <v>2781</v>
      </c>
      <c r="X37" s="7" t="s">
        <v>34</v>
      </c>
      <c r="Y37" s="6" t="s">
        <v>2782</v>
      </c>
      <c r="Z37" s="7" t="s">
        <v>144</v>
      </c>
      <c r="AA37" s="6" t="s">
        <v>2783</v>
      </c>
      <c r="AB37" s="6" t="s">
        <v>2784</v>
      </c>
      <c r="AC37" s="6" t="s">
        <v>355</v>
      </c>
    </row>
    <row r="38" ht="22.5" customHeight="1">
      <c r="A38" s="11" t="str">
        <f>REGEXEXTRACT(D38, "\d{4}\.\s(.*?)\.\sProc\. ACM")"),"SleepNet: Attention-Enhanced Robust Sleep Prediction using Dynamic Social Networks</f>
        <v xml:space="preserve">SleepNet: Attention-Enhanced Robust Sleep Prediction using Dynamic Social Networks</v>
      </c>
      <c r="B38" s="7">
        <f t="shared" si="65"/>
        <v>37</v>
      </c>
      <c r="C38" s="8" t="s">
        <v>2785</v>
      </c>
      <c r="D38" s="6" t="s">
        <v>2786</v>
      </c>
      <c r="E38" s="9">
        <v>45984</v>
      </c>
      <c r="F38" s="7">
        <v>2024</v>
      </c>
      <c r="G38" s="7" t="s">
        <v>1412</v>
      </c>
      <c r="H38" s="6" t="str">
        <f t="shared" si="62"/>
        <v>2024_Mar_037</v>
      </c>
      <c r="I38" s="12" t="str">
        <f t="shared" si="63"/>
        <v>https://doi.org/10.1145/3643508</v>
      </c>
      <c r="J38" s="7">
        <f>IF(D38:D42&lt;&gt;"", VALUE(REGEXEXTRACT(D38:D42, "(\d+)\s+pages")), )
</f>
        <v>34</v>
      </c>
      <c r="K38" s="6" t="s">
        <v>71</v>
      </c>
      <c r="L38" s="7" t="str">
        <f t="shared" si="67"/>
        <v>No</v>
      </c>
      <c r="M38" s="7" t="s">
        <v>34</v>
      </c>
      <c r="N38" s="7" t="s">
        <v>33</v>
      </c>
      <c r="O38" s="7" t="s">
        <v>34</v>
      </c>
      <c r="P38" s="6"/>
      <c r="Q38" s="6" t="s">
        <v>2518</v>
      </c>
      <c r="R38" s="7" t="s">
        <v>33</v>
      </c>
      <c r="S38" s="7" t="s">
        <v>33</v>
      </c>
      <c r="T38" s="10" t="s">
        <v>2787</v>
      </c>
      <c r="U38" s="6" t="s">
        <v>2788</v>
      </c>
      <c r="V38" s="7" t="s">
        <v>34</v>
      </c>
      <c r="W38" s="6" t="s">
        <v>2789</v>
      </c>
      <c r="X38" s="7" t="s">
        <v>34</v>
      </c>
      <c r="Y38" s="6" t="s">
        <v>2790</v>
      </c>
      <c r="Z38" s="7" t="s">
        <v>34</v>
      </c>
      <c r="AA38" s="6" t="s">
        <v>2733</v>
      </c>
      <c r="AB38" s="6" t="s">
        <v>2791</v>
      </c>
      <c r="AC38" s="6" t="s">
        <v>355</v>
      </c>
    </row>
    <row r="39" ht="22.5" customHeight="1">
      <c r="A39" s="11" t="str">
        <f>REGEXEXTRACT(D39, "\d{4}\.\s(.*?)\.\sProc\. ACM")"),"Capturing the College Experience: A Four-Year Mobile Sensing Study of Mental Health, Resilience and Behavior of College Students during the Pandemic</f>
        <v xml:space="preserve">Capturing the College Experience: A Four-Year Mobile Sensing Study of Mental Health, Resilience and Behavior of College Students during the Pandemic</v>
      </c>
      <c r="B39" s="7">
        <f t="shared" si="65"/>
        <v>38</v>
      </c>
      <c r="C39" s="8" t="s">
        <v>2792</v>
      </c>
      <c r="D39" s="6" t="s">
        <v>2793</v>
      </c>
      <c r="E39" s="9">
        <v>45984</v>
      </c>
      <c r="F39" s="7">
        <v>2024</v>
      </c>
      <c r="G39" s="7" t="s">
        <v>1412</v>
      </c>
      <c r="H39" s="6" t="str">
        <f t="shared" si="62"/>
        <v>2024_Mar_038</v>
      </c>
      <c r="I39" s="12" t="str">
        <f t="shared" si="63"/>
        <v>https://doi.org/10.1145/3643501</v>
      </c>
      <c r="J39" s="7">
        <f>IF(D39:D42&lt;&gt;"", VALUE(REGEXEXTRACT(D39:D42, "(\d+)\s+pages")), )
</f>
        <v>37</v>
      </c>
      <c r="K39" s="6" t="s">
        <v>741</v>
      </c>
      <c r="L39" s="7" t="str">
        <f t="shared" si="67"/>
        <v>No</v>
      </c>
      <c r="M39" s="7" t="s">
        <v>33</v>
      </c>
      <c r="N39" s="7" t="s">
        <v>33</v>
      </c>
      <c r="O39" s="7" t="s">
        <v>34</v>
      </c>
      <c r="P39" s="6"/>
      <c r="Q39" s="6"/>
      <c r="R39" s="7" t="s">
        <v>33</v>
      </c>
      <c r="S39" s="7" t="s">
        <v>33</v>
      </c>
      <c r="T39" s="10" t="s">
        <v>2794</v>
      </c>
      <c r="U39" s="6" t="s">
        <v>2795</v>
      </c>
      <c r="V39" s="7" t="s">
        <v>33</v>
      </c>
      <c r="W39" s="6" t="s">
        <v>2796</v>
      </c>
      <c r="X39" s="7" t="s">
        <v>34</v>
      </c>
      <c r="Y39" s="6" t="s">
        <v>2797</v>
      </c>
      <c r="Z39" s="7" t="s">
        <v>34</v>
      </c>
      <c r="AA39" s="6" t="s">
        <v>2798</v>
      </c>
      <c r="AB39" s="6" t="s">
        <v>2799</v>
      </c>
      <c r="AC39" s="6" t="s">
        <v>355</v>
      </c>
    </row>
    <row r="40" ht="22.5" customHeight="1">
      <c r="A40" s="11" t="str">
        <f>REGEXEXTRACT(D40, "\d{4}\.\s(.*?)\.\sProc\. ACM")"),"MetaFormer: Domain-Adaptive WiFi Sensing with Only One Labelled Target Sample</f>
        <v xml:space="preserve">MetaFormer: Domain-Adaptive WiFi Sensing with Only One Labelled Target Sample</v>
      </c>
      <c r="B40" s="7">
        <f t="shared" si="65"/>
        <v>39</v>
      </c>
      <c r="C40" s="8" t="s">
        <v>2800</v>
      </c>
      <c r="D40" s="6" t="s">
        <v>2801</v>
      </c>
      <c r="E40" s="9">
        <v>45984</v>
      </c>
      <c r="F40" s="7">
        <v>2024</v>
      </c>
      <c r="G40" s="7" t="s">
        <v>1412</v>
      </c>
      <c r="H40" s="6" t="str">
        <f t="shared" si="62"/>
        <v>2024_Mar_039</v>
      </c>
      <c r="I40" s="12" t="str">
        <f t="shared" si="63"/>
        <v>https://doi.org/10.1145/3643550</v>
      </c>
      <c r="J40" s="7">
        <f>IF(D40:D42&lt;&gt;"", VALUE(REGEXEXTRACT(D40:D42, "(\d+)\s+pages")), )
</f>
        <v>27</v>
      </c>
      <c r="K40" s="6" t="s">
        <v>64</v>
      </c>
      <c r="L40" s="7" t="str">
        <f t="shared" si="67"/>
        <v>No</v>
      </c>
      <c r="M40" s="7" t="s">
        <v>34</v>
      </c>
      <c r="N40" s="7" t="s">
        <v>33</v>
      </c>
      <c r="O40" s="7" t="s">
        <v>34</v>
      </c>
      <c r="P40" s="6"/>
      <c r="Q40" s="6"/>
      <c r="R40" s="7" t="s">
        <v>33</v>
      </c>
      <c r="S40" s="7" t="s">
        <v>33</v>
      </c>
      <c r="T40" s="6"/>
      <c r="U40" s="6" t="s">
        <v>2802</v>
      </c>
      <c r="V40" s="7" t="s">
        <v>33</v>
      </c>
      <c r="W40" s="6" t="s">
        <v>2803</v>
      </c>
      <c r="X40" s="7" t="s">
        <v>34</v>
      </c>
      <c r="Y40" s="13"/>
      <c r="Z40" s="7" t="s">
        <v>34</v>
      </c>
      <c r="AA40" s="6" t="s">
        <v>2804</v>
      </c>
      <c r="AB40" s="6" t="s">
        <v>2805</v>
      </c>
      <c r="AC40" s="6" t="s">
        <v>355</v>
      </c>
    </row>
    <row r="41" ht="22.5" customHeight="1">
      <c r="A41" s="11" t="str">
        <f>REGEXEXTRACT(D41, "\d{4}\.\s(.*?)\.\sProc\. ACM")"),"Co-Designing Sensory Feedback for Wearables to Support Physical Activity through Body Sensations</f>
        <v xml:space="preserve">Co-Designing Sensory Feedback for Wearables to Support Physical Activity through Body Sensations</v>
      </c>
      <c r="B41" s="7">
        <f t="shared" si="65"/>
        <v>40</v>
      </c>
      <c r="C41" s="8" t="s">
        <v>2806</v>
      </c>
      <c r="D41" s="6" t="s">
        <v>2807</v>
      </c>
      <c r="E41" s="9">
        <v>45984</v>
      </c>
      <c r="F41" s="7">
        <v>2024</v>
      </c>
      <c r="G41" s="7" t="s">
        <v>1412</v>
      </c>
      <c r="H41" s="6" t="str">
        <f t="shared" si="62"/>
        <v>2024_Mar_040</v>
      </c>
      <c r="I41" s="12" t="str">
        <f t="shared" si="63"/>
        <v>https://doi.org/10.1145/3643499</v>
      </c>
      <c r="J41" s="7">
        <f>IF(D41:D42&lt;&gt;"", VALUE(REGEXEXTRACT(D41:D42, "(\d+)\s+pages")), )
</f>
        <v>31</v>
      </c>
      <c r="K41" s="6" t="s">
        <v>2175</v>
      </c>
      <c r="L41" s="7" t="str">
        <f t="shared" si="67"/>
        <v>No</v>
      </c>
      <c r="M41" s="7" t="s">
        <v>34</v>
      </c>
      <c r="N41" s="7" t="s">
        <v>34</v>
      </c>
      <c r="O41" s="7" t="s">
        <v>35</v>
      </c>
      <c r="P41" s="6"/>
      <c r="Q41" s="6"/>
      <c r="R41" s="7" t="s">
        <v>34</v>
      </c>
      <c r="S41" s="7" t="s">
        <v>35</v>
      </c>
      <c r="T41" s="6"/>
      <c r="U41" s="6"/>
      <c r="V41" s="7" t="s">
        <v>35</v>
      </c>
      <c r="W41" s="6"/>
      <c r="X41" s="7" t="s">
        <v>35</v>
      </c>
      <c r="Y41" s="13"/>
      <c r="Z41" s="7" t="s">
        <v>35</v>
      </c>
      <c r="AA41" s="6"/>
      <c r="AB41" s="6"/>
      <c r="AC41" s="6" t="s">
        <v>355</v>
      </c>
    </row>
    <row r="42" ht="22.5" customHeight="1">
      <c r="A42" s="11" t="str">
        <f>REGEXEXTRACT(D42, "\d{4}\.\s(.*?)\.\sProc\. ACM")"),"EchoPFL: Asynchronous Personalized Federated Learning on Mobile Devices with On-Demand Staleness Control</f>
        <v xml:space="preserve">EchoPFL: Asynchronous Personalized Federated Learning on Mobile Devices with On-Demand Staleness Control</v>
      </c>
      <c r="B42" s="7">
        <f t="shared" si="65"/>
        <v>41</v>
      </c>
      <c r="C42" s="8" t="s">
        <v>2808</v>
      </c>
      <c r="D42" s="23" t="s">
        <v>2809</v>
      </c>
      <c r="E42" s="9">
        <v>45984</v>
      </c>
      <c r="F42" s="7">
        <v>2024</v>
      </c>
      <c r="G42" s="7" t="s">
        <v>1412</v>
      </c>
      <c r="H42" s="6" t="str">
        <f t="shared" si="62"/>
        <v>2024_Mar_041</v>
      </c>
      <c r="I42" s="12" t="str">
        <f t="shared" si="63"/>
        <v>https://doi.org/10.1145/3643560</v>
      </c>
      <c r="J42" s="7">
        <f>IF(D42&lt;&gt;"", VALUE(REGEXEXTRACT(D42, "(\d+)\s+pages")), )
</f>
        <v>22</v>
      </c>
      <c r="K42" s="6" t="s">
        <v>64</v>
      </c>
      <c r="L42" s="7" t="str">
        <f t="shared" si="67"/>
        <v>No</v>
      </c>
      <c r="M42" s="7" t="s">
        <v>34</v>
      </c>
      <c r="N42" s="7" t="s">
        <v>33</v>
      </c>
      <c r="O42" s="7" t="s">
        <v>34</v>
      </c>
      <c r="P42" s="6"/>
      <c r="Q42" s="6" t="s">
        <v>2518</v>
      </c>
      <c r="R42" s="7" t="s">
        <v>33</v>
      </c>
      <c r="S42" s="7" t="s">
        <v>144</v>
      </c>
      <c r="T42" s="6"/>
      <c r="U42" s="6" t="s">
        <v>2810</v>
      </c>
      <c r="V42" s="7" t="s">
        <v>33</v>
      </c>
      <c r="W42" s="6" t="s">
        <v>2811</v>
      </c>
      <c r="X42" s="7" t="s">
        <v>34</v>
      </c>
      <c r="Y42" s="6" t="s">
        <v>2812</v>
      </c>
      <c r="Z42" s="7" t="s">
        <v>34</v>
      </c>
      <c r="AA42" s="6" t="s">
        <v>2813</v>
      </c>
      <c r="AB42" s="6" t="s">
        <v>2814</v>
      </c>
      <c r="AC42" s="6" t="s">
        <v>355</v>
      </c>
    </row>
  </sheetData>
  <conditionalFormatting sqref="P1:P42">
    <cfRule type="colorScale" priority="1">
      <colorScale>
        <cfvo type="min"/>
        <cfvo type="max"/>
        <color indexed="65"/>
        <color rgb="FF57BB8A"/>
      </colorScale>
    </cfRule>
  </conditionalFormatting>
  <dataValidations count="2" disablePrompts="0">
    <dataValidation sqref="A2:A42 H2:I42 K2:K42 P2:Q42 T2:U42 W2:W42 Y2:Y42 AA2:AB42" type="none" allowBlank="1" errorStyle="stop" imeMode="noControl" operator="between" showDropDown="1" showErrorMessage="0" showInputMessage="0"/>
    <dataValidation sqref="D2:D42" type="none" allowBlank="1" errorStyle="stop" imeMode="noControl" operator="between" showDropDown="1" showErrorMessage="0" showInputMessage="0"/>
  </dataValidations>
  <hyperlinks>
    <hyperlink r:id="rId1" ref="C2"/>
    <hyperlink r:id="rId2" ref="C3"/>
    <hyperlink r:id="rId3" ref="P3"/>
    <hyperlink r:id="rId4" ref="C4"/>
    <hyperlink r:id="rId5" ref="C5"/>
    <hyperlink r:id="rId6" ref="C6"/>
    <hyperlink r:id="rId7" ref="C7"/>
    <hyperlink r:id="rId8" ref="C8"/>
    <hyperlink r:id="rId9" ref="C9"/>
    <hyperlink r:id="rId10" ref="P9"/>
    <hyperlink r:id="rId10" ref="T9"/>
    <hyperlink r:id="rId11" ref="C10"/>
    <hyperlink r:id="rId12" ref="C11"/>
    <hyperlink r:id="rId13" ref="P11"/>
    <hyperlink r:id="rId14" ref="C12"/>
    <hyperlink r:id="rId15" ref="C13"/>
    <hyperlink r:id="rId16" ref="C14"/>
    <hyperlink r:id="rId17" ref="C15"/>
    <hyperlink r:id="rId18" ref="C16"/>
    <hyperlink r:id="rId19" ref="C17"/>
    <hyperlink r:id="rId20" ref="C18"/>
    <hyperlink r:id="rId21" ref="P18"/>
    <hyperlink r:id="rId22" ref="T18"/>
    <hyperlink r:id="rId23" ref="C19"/>
    <hyperlink r:id="rId24" ref="C20"/>
    <hyperlink r:id="rId25" ref="T20"/>
    <hyperlink r:id="rId26" ref="C21"/>
    <hyperlink r:id="rId27" ref="P21"/>
    <hyperlink r:id="rId28" ref="C22"/>
    <hyperlink r:id="rId29" ref="P22"/>
    <hyperlink r:id="rId30" ref="T22"/>
    <hyperlink r:id="rId31" ref="C23"/>
    <hyperlink r:id="rId32" ref="D23"/>
    <hyperlink r:id="rId33" ref="P23"/>
    <hyperlink r:id="rId34" ref="C24"/>
    <hyperlink r:id="rId35" ref="C25"/>
    <hyperlink r:id="rId36" ref="C26"/>
    <hyperlink r:id="rId37" ref="C27"/>
    <hyperlink r:id="rId38" ref="P27"/>
    <hyperlink r:id="rId38" ref="T27"/>
    <hyperlink r:id="rId39" ref="C28"/>
    <hyperlink r:id="rId40" ref="C29"/>
    <hyperlink r:id="rId41" ref="P29"/>
    <hyperlink r:id="rId42" ref="C30"/>
    <hyperlink r:id="rId43" ref="C31"/>
    <hyperlink r:id="rId44" ref="C32"/>
    <hyperlink r:id="rId45" ref="P32"/>
    <hyperlink r:id="rId46" ref="C33"/>
    <hyperlink r:id="rId47" ref="C34"/>
    <hyperlink r:id="rId48" ref="P34"/>
    <hyperlink r:id="rId49" ref="C35"/>
    <hyperlink r:id="rId50" ref="C36"/>
    <hyperlink r:id="rId51" ref="C37"/>
    <hyperlink r:id="rId52" ref="P37"/>
    <hyperlink r:id="rId53" ref="C38"/>
    <hyperlink r:id="rId54" ref="T38"/>
    <hyperlink r:id="rId55" ref="C39"/>
    <hyperlink r:id="rId56" ref="T39"/>
    <hyperlink r:id="rId57" ref="C40"/>
    <hyperlink r:id="rId58" ref="C41"/>
    <hyperlink r:id="rId59" ref="C42"/>
  </hyperlinks>
  <printOptions headings="0" gridLines="1" horizontalCentered="1"/>
  <pageMargins left="0.25" right="0.25" top="0.75" bottom="0.75" header="0" footer="0"/>
  <pageSetup paperSize="9" scale="100" fitToWidth="1" fitToHeight="0" pageOrder="overThenDown" orientation="landscape" usePrinterDefaults="1" blackAndWhite="0" draft="0" cellComments="atEnd" useFirstPageNumber="0" errors="displayed" horizontalDpi="600" verticalDpi="600" copies="1"/>
  <headerFooter/>
  <tableParts count="1">
    <tablePart r:id="rId60"/>
  </tableParts>
  <extLst>
    <ext xmlns:x14="http://schemas.microsoft.com/office/spreadsheetml/2009/9/main" uri="{78C0D931-6437-407d-A8EE-F0AAD7539E65}">
      <x14:conditionalFormattings>
        <x14:conditionalFormatting xmlns:xm="http://schemas.microsoft.com/office/excel/2006/main">
          <x14:cfRule type="expression" priority="2" id="{D8C9DBA6-C248-4BE1-AEDC-8A8AE427B1F2}">
            <xm:f>AND(REGEXMATCH($O2,"^(Yes|Partially)$"), ISBLANK($P2))</xm:f>
            <x14:dxf>
              <font/>
              <fill>
                <patternFill patternType="solid">
                  <fgColor rgb="FFE68282"/>
                  <bgColor rgb="FFE68282"/>
                </patternFill>
              </fill>
              <border>
                <left/>
                <right/>
                <top/>
                <bottom/>
                <diagonal/>
              </border>
            </x14:dxf>
          </x14:cfRule>
          <xm:sqref>P2:P42</xm:sqref>
        </x14:conditionalFormatting>
        <x14:conditionalFormatting xmlns:xm="http://schemas.microsoft.com/office/excel/2006/main">
          <x14:cfRule type="expression" priority="3" id="{BFC7BFE1-1F4D-43F3-AEC6-E871A3CD9AE5}">
            <xm:f>AND(REGEXMATCH($S2,"^(Yes|Partially)$"), ISBLANK($T2))</xm:f>
            <x14:dxf>
              <font/>
              <fill>
                <patternFill patternType="solid">
                  <fgColor rgb="FFE68282"/>
                  <bgColor rgb="FFE68282"/>
                </patternFill>
              </fill>
              <border>
                <left/>
                <right/>
                <top/>
                <bottom/>
                <diagonal/>
              </border>
            </x14:dxf>
          </x14:cfRule>
          <xm:sqref>T2:T42</xm:sqref>
        </x14:conditionalFormatting>
        <x14:conditionalFormatting xmlns:xm="http://schemas.microsoft.com/office/excel/2006/main">
          <x14:cfRule type="expression" priority="4" id="{42C47843-21B4-4EEA-9E09-57B81685FF8B}">
            <xm:f>AND($V2="Yes", ISBLANK($W2))</xm:f>
            <x14:dxf>
              <font/>
              <fill>
                <patternFill patternType="solid">
                  <fgColor rgb="FFE68282"/>
                  <bgColor rgb="FFE68282"/>
                </patternFill>
              </fill>
              <border>
                <left/>
                <right/>
                <top/>
                <bottom/>
                <diagonal/>
              </border>
            </x14:dxf>
          </x14:cfRule>
          <xm:sqref>W2:W42</xm:sqref>
        </x14:conditionalFormatting>
        <x14:conditionalFormatting xmlns:xm="http://schemas.microsoft.com/office/excel/2006/main">
          <x14:cfRule type="expression" priority="5" id="{B729C4E6-2058-4892-A0BD-0CC6084F81F1}">
            <xm:f>AND($X2="Yes", ISBLANK($Y2))</xm:f>
            <x14:dxf>
              <font/>
              <fill>
                <patternFill patternType="solid">
                  <fgColor rgb="FFE68282"/>
                  <bgColor rgb="FFE68282"/>
                </patternFill>
              </fill>
              <border>
                <left/>
                <right/>
                <top/>
                <bottom/>
                <diagonal/>
              </border>
            </x14:dxf>
          </x14:cfRule>
          <xm:sqref>Y2:Y42</xm:sqref>
        </x14:conditionalFormatting>
      </x14:conditionalFormattings>
    </ext>
    <ext xmlns:x14="http://schemas.microsoft.com/office/spreadsheetml/2009/9/main" uri="{CCE6A557-97BC-4b89-ADB6-D9C93CAAB3DF}">
      <x14:dataValidations xmlns:xm="http://schemas.microsoft.com/office/excel/2006/main" count="10" disablePrompts="0">
        <x14:dataValidation xr:uid="{C36AD74E-6497-4777-B26F-5DEF3028C33C}" type="list" allowBlank="1" errorStyle="stop" imeMode="noControl" operator="between" showDropDown="0" showErrorMessage="0" showInputMessage="0">
          <x14:formula1>
            <xm:f>"Yes,No"</xm:f>
          </x14:formula1>
          <xm:sqref>L2:L42</xm:sqref>
        </x14:dataValidation>
        <x14:dataValidation xr:uid="{4158D8DC-01B3-4A4E-ACC0-46C980B5A98D}" type="list" allowBlank="1" errorStyle="stop" imeMode="noControl" operator="between" showDropDown="0" showErrorMessage="0" showInputMessage="0">
          <x14:formula1>
            <xm:f>"Yes,No,Unknown"</xm:f>
          </x14:formula1>
          <xm:sqref>R2:R42</xm:sqref>
        </x14:dataValidation>
        <x14:dataValidation xr:uid="{DE14D1DA-9164-4D0C-92DE-8A211DAE725A}" type="list" allowBlank="1" errorStyle="stop" imeMode="noControl" operator="between" showDropDown="0" showErrorMessage="0" showInputMessage="0">
          <x14:formula1>
            <xm:f>"Yes,No,Unknown"</xm:f>
          </x14:formula1>
          <xm:sqref>N2:N42</xm:sqref>
        </x14:dataValidation>
        <x14:dataValidation xr:uid="{E980EDD6-CBD9-4FE9-BE16-85BFABB58D09}" type="list" allowBlank="1" errorStyle="stop" imeMode="noControl" operator="between" showDropDown="0" showErrorMessage="0" showInputMessage="0">
          <x14:formula1>
            <xm:f>"Yes,No,Partially,Unknown,N/A"</xm:f>
          </x14:formula1>
          <xm:sqref>Z2:Z42</xm:sqref>
        </x14:dataValidation>
        <x14:dataValidation xr:uid="{DBBE6940-AFA9-4195-BCF1-35F291615BC5}" type="custom" allowBlank="1" errorStyle="stop" imeMode="noControl" operator="between" showDropDown="1" showErrorMessage="0" showInputMessage="0">
          <x14:formula1>
            <xm:f>AND(ISNUMBER(B2),(NOT(OR(NOT(ISERROR(DATEVALUE(B2))), AND(ISNUMBER(B2), LEFT(CELL("format", B2))="D")))))</xm:f>
          </x14:formula1>
          <xm:sqref>B2:B42 F2:F42 J2:J42</xm:sqref>
        </x14:dataValidation>
        <x14:dataValidation xr:uid="{2A6C2FD5-48E1-43ED-A163-7290C54732ED}" type="custom" allowBlank="1" errorStyle="stop" imeMode="noControl" operator="between" showDropDown="1" showErrorMessage="0" showInputMessage="0">
          <x14:formula1>
            <xm:f>OR(NOT(ISERROR(DATEVALUE(E2))), AND(ISNUMBER(E2), LEFT(CELL("format", E2))="D"))</xm:f>
          </x14:formula1>
          <xm:sqref>E2:E42</xm:sqref>
        </x14:dataValidation>
        <x14:dataValidation xr:uid="{865EF5C7-9FF7-47E1-8B5C-541D72A2914E}" type="list" allowBlank="1" errorStyle="stop" imeMode="noControl" operator="between" showDropDown="0" showErrorMessage="0" showInputMessage="0">
          <x14:formula1>
            <xm:f>"Yes,No,Unknown"</xm:f>
          </x14:formula1>
          <xm:sqref>M2:M42</xm:sqref>
        </x14:dataValidation>
        <x14:dataValidation xr:uid="{A3130DA6-77D0-4E70-A933-A7BDDAC24AC7}" type="list" allowBlank="1" errorStyle="stop" imeMode="noControl" operator="between" showDropDown="0" showErrorMessage="0" showInputMessage="0">
          <x14:formula1>
            <xm:f>"Yes,No,Unknown,N/A"</xm:f>
          </x14:formula1>
          <xm:sqref>V2:V42 X2:X42</xm:sqref>
        </x14:dataValidation>
        <x14:dataValidation xr:uid="{4830B731-FC80-4130-94DE-1D748CB72FDC}" type="list" allowBlank="1" errorStyle="stop" imeMode="noControl" operator="between" showDropDown="0" showErrorMessage="0" showInputMessage="0">
          <x14:formula1>
            <xm:f>"Yes,No,Partially,Unknown,N/A,Upon_request"</xm:f>
          </x14:formula1>
          <xm:sqref>O2:O42 S2:S42</xm:sqref>
        </x14:dataValidation>
        <x14:dataValidation xr:uid="{1899FA6B-414D-4652-B5B1-BD64A541EBC9}" type="list" allowBlank="1" errorStyle="stop" imeMode="noControl" operator="between" showDropDown="0" showErrorMessage="0" showInputMessage="0">
          <x14:formula1>
            <xm:f>"Mar,Jun,Sep,Dec"</xm:f>
          </x14:formula1>
          <xm:sqref>G2:G42</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1"/>
  </sheetPr>
  <sheetViews>
    <sheetView zoomScale="100" workbookViewId="0">
      <pane xSplit="2" ySplit="1" topLeftCell="C2" activePane="bottomRight" state="frozen"/>
      <selection activeCell="C2" activeCellId="0" sqref="C2"/>
    </sheetView>
  </sheetViews>
  <sheetFormatPr defaultColWidth="12.630000000000001" defaultRowHeight="15.75" customHeight="1"/>
  <cols>
    <col customWidth="1" min="1" max="1" width="24.25"/>
    <col customWidth="1" min="2" max="2" width="20.129999999999999"/>
    <col customWidth="1" min="3" max="3" width="21"/>
    <col customWidth="1" min="4" max="4" width="14.75"/>
    <col customWidth="1" min="6" max="6" width="11.880000000000001"/>
    <col customWidth="1" min="7" max="7" width="12.630000000000001"/>
    <col customWidth="1" min="8" max="8" width="15.130000000000001"/>
    <col customWidth="1" min="9" max="9" width="28"/>
    <col customWidth="1" min="10" max="10" width="18.879999999999999"/>
    <col customWidth="1" min="11" max="11" width="36.75"/>
    <col customWidth="1" min="12" max="12" width="21.379999999999999"/>
    <col customWidth="1" min="13" max="13" width="18.879999999999999"/>
    <col customWidth="1" min="14" max="14" width="19.879999999999999"/>
    <col customWidth="1" min="15" max="16" width="19.75"/>
    <col customWidth="1" min="17" max="17" width="34.5"/>
    <col customWidth="1" min="18" max="18" width="19"/>
    <col customWidth="1" min="19" max="19" width="19.379999999999999"/>
    <col customWidth="1" min="20" max="21" width="19.75"/>
    <col customWidth="1" min="22" max="22" width="22.629999999999999"/>
    <col customWidth="1" min="23" max="23" width="32.630000000000003"/>
    <col customWidth="1" min="24" max="24" width="22.629999999999999"/>
    <col customWidth="1" min="25" max="25" width="25.5"/>
    <col customWidth="1" min="26" max="26" width="27.25"/>
    <col customWidth="1" min="27" max="27" width="39.25"/>
    <col customWidth="1" min="28" max="29" width="34.130000000000003"/>
  </cols>
  <sheetData>
    <row r="1" ht="22.5" customHeight="1">
      <c r="A1" s="1" t="s">
        <v>0</v>
      </c>
      <c r="B1" s="2" t="s">
        <v>1</v>
      </c>
      <c r="C1" s="3" t="s">
        <v>2</v>
      </c>
      <c r="D1" s="3" t="s">
        <v>3</v>
      </c>
      <c r="E1" s="3" t="s">
        <v>4</v>
      </c>
      <c r="F1" s="2" t="s">
        <v>5</v>
      </c>
      <c r="G1" s="2" t="s">
        <v>6</v>
      </c>
      <c r="H1" s="2" t="s">
        <v>7</v>
      </c>
      <c r="I1" s="2" t="s">
        <v>8</v>
      </c>
      <c r="J1" s="2" t="s">
        <v>9</v>
      </c>
      <c r="K1" s="2" t="s">
        <v>10</v>
      </c>
      <c r="L1" s="2" t="s">
        <v>11</v>
      </c>
      <c r="M1" s="2" t="s">
        <v>12</v>
      </c>
      <c r="N1" s="4" t="s">
        <v>13</v>
      </c>
      <c r="O1" s="4" t="s">
        <v>14</v>
      </c>
      <c r="P1" s="4" t="s">
        <v>15</v>
      </c>
      <c r="Q1" s="4" t="s">
        <v>16</v>
      </c>
      <c r="R1" s="5" t="s">
        <v>17</v>
      </c>
      <c r="S1" s="5" t="s">
        <v>18</v>
      </c>
      <c r="T1" s="5" t="s">
        <v>19</v>
      </c>
      <c r="U1" s="5" t="s">
        <v>20</v>
      </c>
      <c r="V1" s="2" t="s">
        <v>21</v>
      </c>
      <c r="W1" s="3" t="s">
        <v>22</v>
      </c>
      <c r="X1" s="2" t="s">
        <v>23</v>
      </c>
      <c r="Y1" s="3" t="s">
        <v>24</v>
      </c>
      <c r="Z1" s="2" t="s">
        <v>25</v>
      </c>
      <c r="AA1" s="3" t="s">
        <v>26</v>
      </c>
      <c r="AB1" s="3" t="s">
        <v>27</v>
      </c>
      <c r="AC1" s="3" t="s">
        <v>28</v>
      </c>
    </row>
    <row r="2" ht="22.5" customHeight="1">
      <c r="A2" s="11" t="str">
        <f>REGEXEXTRACT(D2, "\d{4}\.\s(.*?)\.\sProc\. ACM")"),"JoulesEye: Energy Expenditure Estimation and Respiration Sensing from Thermal Imagery While Exercising</f>
        <v xml:space="preserve">JoulesEye: Energy Expenditure Estimation and Respiration Sensing from Thermal Imagery While Exercising</v>
      </c>
      <c r="B2" s="7">
        <f t="shared" ref="B2:B9" si="68">IFERROR(VALUE(REGEXEXTRACT(D2,"Article\s+(\d+)")),"")
</f>
        <v>146</v>
      </c>
      <c r="C2" s="8" t="s">
        <v>2815</v>
      </c>
      <c r="D2" s="6" t="s">
        <v>2816</v>
      </c>
      <c r="E2" s="9">
        <v>46036</v>
      </c>
      <c r="F2" s="7">
        <v>2023</v>
      </c>
      <c r="G2" s="7" t="s">
        <v>31</v>
      </c>
      <c r="H2" s="6" t="str">
        <f t="shared" ref="H2:H61" si="69">TEXT($F2,"0000") &amp; "_" &amp; $G2 &amp; "_" &amp; TEXT($B2,"000")</f>
        <v>2023_Dec_146</v>
      </c>
      <c r="I2" s="12" t="str">
        <f t="shared" ref="I2:I61" si="70">CONCATENATE("https",RIGHT(D2,LEN(D2) - (FIND("://",D2) - 1)))</f>
        <v>https://doi.org/10.1145/3631422</v>
      </c>
      <c r="J2" s="7">
        <f>IF(D2:D61&lt;&gt;"", VALUE(REGEXEXTRACT(D2:D61, "(\d+)\s+pages")), )
</f>
        <v>29</v>
      </c>
      <c r="K2" s="6" t="s">
        <v>777</v>
      </c>
      <c r="L2" s="7" t="str">
        <f t="shared" ref="L2:L9" si="71">IF(REGEXMATCH(LOWER($A2),"(^|[^a-z])dataset(s)?([^a-z]|$)"),"Yes","No")"),"No</f>
        <v>No</v>
      </c>
      <c r="M2" s="7" t="s">
        <v>33</v>
      </c>
      <c r="N2" s="7" t="s">
        <v>33</v>
      </c>
      <c r="O2" s="7" t="s">
        <v>34</v>
      </c>
      <c r="P2" s="10" t="s">
        <v>2817</v>
      </c>
      <c r="Q2" s="6" t="s">
        <v>2818</v>
      </c>
      <c r="R2" s="7" t="s">
        <v>33</v>
      </c>
      <c r="S2" s="7" t="s">
        <v>34</v>
      </c>
      <c r="T2" s="10" t="s">
        <v>2817</v>
      </c>
      <c r="U2" s="6" t="s">
        <v>2818</v>
      </c>
      <c r="V2" s="7" t="s">
        <v>33</v>
      </c>
      <c r="W2" s="6" t="s">
        <v>2819</v>
      </c>
      <c r="X2" s="7" t="s">
        <v>34</v>
      </c>
      <c r="Y2" s="13"/>
      <c r="Z2" s="7" t="s">
        <v>34</v>
      </c>
      <c r="AA2" s="6" t="s">
        <v>2818</v>
      </c>
      <c r="AB2" s="6" t="s">
        <v>2820</v>
      </c>
      <c r="AC2" s="6" t="s">
        <v>39</v>
      </c>
    </row>
    <row r="3" ht="22.5" customHeight="1">
      <c r="A3" s="11" t="str">
        <f>REGEXEXTRACT(D3, "\d{4}\.\s(.*?)\.\sProc\. ACM")"),"Semantic Loss: A New Neuro-Symbolic Approach for Context-Aware Human Activity Recognition</f>
        <v xml:space="preserve">Semantic Loss: A New Neuro-Symbolic Approach for Context-Aware Human Activity Recognition</v>
      </c>
      <c r="B3" s="7">
        <f t="shared" si="68"/>
        <v>147</v>
      </c>
      <c r="C3" s="8" t="s">
        <v>2821</v>
      </c>
      <c r="D3" s="6" t="s">
        <v>2822</v>
      </c>
      <c r="E3" s="9">
        <v>46036</v>
      </c>
      <c r="F3" s="7">
        <v>2023</v>
      </c>
      <c r="G3" s="7" t="s">
        <v>31</v>
      </c>
      <c r="H3" s="6" t="str">
        <f t="shared" si="69"/>
        <v>2023_Dec_147</v>
      </c>
      <c r="I3" s="12" t="str">
        <f t="shared" si="70"/>
        <v>https://doi.org/10.1145/3631407</v>
      </c>
      <c r="J3" s="7">
        <f>IF(D3:D61&lt;&gt;"", VALUE(REGEXEXTRACT(D3:D61, "(\d+)\s+pages")), )
</f>
        <v>29</v>
      </c>
      <c r="K3" s="6" t="s">
        <v>71</v>
      </c>
      <c r="L3" s="7" t="str">
        <f t="shared" si="71"/>
        <v>No</v>
      </c>
      <c r="M3" s="7" t="s">
        <v>33</v>
      </c>
      <c r="N3" s="7" t="s">
        <v>33</v>
      </c>
      <c r="O3" s="7" t="s">
        <v>34</v>
      </c>
      <c r="P3" s="6"/>
      <c r="Q3" s="6"/>
      <c r="R3" s="7" t="s">
        <v>33</v>
      </c>
      <c r="S3" s="7" t="s">
        <v>33</v>
      </c>
      <c r="T3" s="6"/>
      <c r="U3" s="6" t="s">
        <v>2823</v>
      </c>
      <c r="V3" s="7" t="s">
        <v>34</v>
      </c>
      <c r="W3" s="6"/>
      <c r="X3" s="7" t="s">
        <v>34</v>
      </c>
      <c r="Y3" s="13"/>
      <c r="Z3" s="7" t="s">
        <v>34</v>
      </c>
      <c r="AA3" s="6"/>
      <c r="AB3" s="6" t="s">
        <v>2824</v>
      </c>
      <c r="AC3" s="6" t="s">
        <v>39</v>
      </c>
    </row>
    <row r="4" ht="22.5" customHeight="1">
      <c r="A4" s="11" t="str">
        <f>REGEXEXTRACT(D4, "\d{4}\.\s(.*?)\.\sProc\. ACM")"),"Scribe: Simultaneous Voice and Handwriting Interface</f>
        <v xml:space="preserve">Scribe: Simultaneous Voice and Handwriting Interface</v>
      </c>
      <c r="B4" s="7">
        <f t="shared" si="68"/>
        <v>148</v>
      </c>
      <c r="C4" s="8" t="s">
        <v>2825</v>
      </c>
      <c r="D4" s="6" t="s">
        <v>2826</v>
      </c>
      <c r="E4" s="9">
        <v>46036</v>
      </c>
      <c r="F4" s="7">
        <v>2023</v>
      </c>
      <c r="G4" s="7" t="s">
        <v>31</v>
      </c>
      <c r="H4" s="6" t="str">
        <f t="shared" si="69"/>
        <v>2023_Dec_148</v>
      </c>
      <c r="I4" s="12" t="str">
        <f t="shared" si="70"/>
        <v>https://doi.org/10.1145/3631411</v>
      </c>
      <c r="J4" s="7">
        <f>IF(D4:D61&lt;&gt;"", VALUE(REGEXEXTRACT(D4:D61, "(\d+)\s+pages")), )
</f>
        <v>31</v>
      </c>
      <c r="K4" s="6" t="s">
        <v>348</v>
      </c>
      <c r="L4" s="7" t="str">
        <f t="shared" si="71"/>
        <v>No</v>
      </c>
      <c r="M4" s="7" t="s">
        <v>33</v>
      </c>
      <c r="N4" s="7" t="s">
        <v>33</v>
      </c>
      <c r="O4" s="7" t="s">
        <v>34</v>
      </c>
      <c r="P4" s="6"/>
      <c r="Q4" s="6"/>
      <c r="R4" s="7" t="s">
        <v>33</v>
      </c>
      <c r="S4" s="7" t="s">
        <v>34</v>
      </c>
      <c r="T4" s="6"/>
      <c r="U4" s="6"/>
      <c r="V4" s="7" t="s">
        <v>33</v>
      </c>
      <c r="W4" s="6" t="s">
        <v>2827</v>
      </c>
      <c r="X4" s="7" t="s">
        <v>33</v>
      </c>
      <c r="Y4" s="6" t="s">
        <v>152</v>
      </c>
      <c r="Z4" s="7" t="s">
        <v>34</v>
      </c>
      <c r="AA4" s="6"/>
      <c r="AB4" s="6" t="s">
        <v>2828</v>
      </c>
      <c r="AC4" s="6" t="s">
        <v>39</v>
      </c>
    </row>
    <row r="5" ht="22.5" customHeight="1">
      <c r="A5" s="11" t="str">
        <f>REGEXEXTRACT(D5, "\d{4}\.\s(.*?)\.\sProc\. ACM")"),"FSS-Tag: High Accuracy Material Identification System Based On Frequency Selective Surface Tag</f>
        <v xml:space="preserve">FSS-Tag: High Accuracy Material Identification System Based On Frequency Selective Surface Tag</v>
      </c>
      <c r="B5" s="7">
        <f t="shared" si="68"/>
        <v>149</v>
      </c>
      <c r="C5" s="8" t="s">
        <v>2829</v>
      </c>
      <c r="D5" s="6" t="s">
        <v>2830</v>
      </c>
      <c r="E5" s="9">
        <v>46036</v>
      </c>
      <c r="F5" s="7">
        <v>2023</v>
      </c>
      <c r="G5" s="7" t="s">
        <v>31</v>
      </c>
      <c r="H5" s="6" t="str">
        <f t="shared" si="69"/>
        <v>2023_Dec_149</v>
      </c>
      <c r="I5" s="12" t="str">
        <f t="shared" si="70"/>
        <v>https://doi.org/10.1145/3631457</v>
      </c>
      <c r="J5" s="7">
        <f>IF(D5:D61&lt;&gt;"", VALUE(REGEXEXTRACT(D5:D61, "(\d+)\s+pages")), )
</f>
        <v>24</v>
      </c>
      <c r="K5" s="6" t="s">
        <v>45</v>
      </c>
      <c r="L5" s="7" t="str">
        <f t="shared" si="71"/>
        <v>No</v>
      </c>
      <c r="M5" s="7" t="s">
        <v>34</v>
      </c>
      <c r="N5" s="7" t="s">
        <v>33</v>
      </c>
      <c r="O5" s="7" t="s">
        <v>34</v>
      </c>
      <c r="P5" s="6"/>
      <c r="Q5" s="6"/>
      <c r="R5" s="7" t="s">
        <v>34</v>
      </c>
      <c r="S5" s="7" t="s">
        <v>35</v>
      </c>
      <c r="T5" s="6"/>
      <c r="U5" s="6"/>
      <c r="V5" s="7" t="s">
        <v>33</v>
      </c>
      <c r="W5" s="6" t="s">
        <v>2831</v>
      </c>
      <c r="X5" s="7" t="s">
        <v>33</v>
      </c>
      <c r="Y5" s="6" t="s">
        <v>152</v>
      </c>
      <c r="Z5" s="7" t="s">
        <v>34</v>
      </c>
      <c r="AA5" s="6"/>
      <c r="AB5" s="6" t="s">
        <v>2832</v>
      </c>
      <c r="AC5" s="6" t="s">
        <v>39</v>
      </c>
    </row>
    <row r="6" ht="22.5" customHeight="1">
      <c r="A6" s="11" t="str">
        <f>REGEXEXTRACT(D6, "\d{4}\.\s(.*?)\.\sProc\. ACM")"),"MagDot: Drift-free, Wearable Joint Angle Tracking at Low Cost</f>
        <v xml:space="preserve">MagDot: Drift-free, Wearable Joint Angle Tracking at Low Cost</v>
      </c>
      <c r="B6" s="7">
        <f t="shared" si="68"/>
        <v>150</v>
      </c>
      <c r="C6" s="8" t="s">
        <v>2833</v>
      </c>
      <c r="D6" s="6" t="s">
        <v>2834</v>
      </c>
      <c r="E6" s="9">
        <v>46041</v>
      </c>
      <c r="F6" s="7">
        <v>2023</v>
      </c>
      <c r="G6" s="7" t="s">
        <v>31</v>
      </c>
      <c r="H6" s="6" t="str">
        <f t="shared" si="69"/>
        <v>2023_Dec_150</v>
      </c>
      <c r="I6" s="12" t="str">
        <f t="shared" si="70"/>
        <v>https://doi.org/10.1145/3631423</v>
      </c>
      <c r="J6" s="7">
        <f>IF(D6:D61&lt;&gt;"", VALUE(REGEXEXTRACT(D6:D61, "(\d+)\s+pages")), )
</f>
        <v>25</v>
      </c>
      <c r="K6" s="6" t="s">
        <v>348</v>
      </c>
      <c r="L6" s="7" t="str">
        <f t="shared" si="71"/>
        <v>No</v>
      </c>
      <c r="M6" s="7" t="s">
        <v>34</v>
      </c>
      <c r="N6" s="7" t="s">
        <v>33</v>
      </c>
      <c r="O6" s="7" t="s">
        <v>34</v>
      </c>
      <c r="P6" s="6"/>
      <c r="Q6" s="6"/>
      <c r="R6" s="7" t="s">
        <v>34</v>
      </c>
      <c r="S6" s="7" t="s">
        <v>35</v>
      </c>
      <c r="T6" s="6"/>
      <c r="U6" s="6"/>
      <c r="V6" s="7" t="s">
        <v>33</v>
      </c>
      <c r="W6" s="6" t="s">
        <v>2835</v>
      </c>
      <c r="X6" s="7" t="s">
        <v>33</v>
      </c>
      <c r="Y6" s="6" t="s">
        <v>2836</v>
      </c>
      <c r="Z6" s="7" t="s">
        <v>34</v>
      </c>
      <c r="AA6" s="6"/>
      <c r="AB6" s="6" t="s">
        <v>2837</v>
      </c>
      <c r="AC6" s="6" t="s">
        <v>39</v>
      </c>
    </row>
    <row r="7" ht="22.5" customHeight="1">
      <c r="A7" s="11" t="str">
        <f>REGEXEXTRACT(D7, "\d{4}\.\s(.*?)\.\sProc\. ACM")"),"CAvatar: Real-time Human Activity Mesh Reconstruction via Tactile Carpets</f>
        <v xml:space="preserve">CAvatar: Real-time Human Activity Mesh Reconstruction via Tactile Carpets</v>
      </c>
      <c r="B7" s="7">
        <f t="shared" si="68"/>
        <v>151</v>
      </c>
      <c r="C7" s="8" t="s">
        <v>2838</v>
      </c>
      <c r="D7" s="6" t="s">
        <v>2839</v>
      </c>
      <c r="E7" s="9">
        <v>46041</v>
      </c>
      <c r="F7" s="7">
        <v>2023</v>
      </c>
      <c r="G7" s="7" t="s">
        <v>31</v>
      </c>
      <c r="H7" s="6" t="str">
        <f t="shared" si="69"/>
        <v>2023_Dec_151</v>
      </c>
      <c r="I7" s="12" t="str">
        <f t="shared" si="70"/>
        <v>https://doi.org/10.1145/3631424</v>
      </c>
      <c r="J7" s="7">
        <f>IF(D7:D61&lt;&gt;"", VALUE(REGEXEXTRACT(D7:D61, "(\d+)\s+pages")), )
</f>
        <v>24</v>
      </c>
      <c r="K7" s="6" t="s">
        <v>71</v>
      </c>
      <c r="L7" s="7" t="str">
        <f t="shared" si="71"/>
        <v>No</v>
      </c>
      <c r="M7" s="7" t="s">
        <v>33</v>
      </c>
      <c r="N7" s="7" t="s">
        <v>33</v>
      </c>
      <c r="O7" s="7" t="s">
        <v>34</v>
      </c>
      <c r="P7" s="6"/>
      <c r="Q7" s="6"/>
      <c r="R7" s="7" t="s">
        <v>33</v>
      </c>
      <c r="S7" s="7" t="s">
        <v>33</v>
      </c>
      <c r="T7" s="10" t="s">
        <v>2840</v>
      </c>
      <c r="U7" s="6" t="s">
        <v>2841</v>
      </c>
      <c r="V7" s="7" t="s">
        <v>34</v>
      </c>
      <c r="W7" s="6"/>
      <c r="X7" s="7" t="s">
        <v>34</v>
      </c>
      <c r="Y7" s="13"/>
      <c r="Z7" s="7" t="s">
        <v>34</v>
      </c>
      <c r="AA7" s="6"/>
      <c r="AB7" s="6" t="s">
        <v>2842</v>
      </c>
      <c r="AC7" s="6" t="s">
        <v>39</v>
      </c>
    </row>
    <row r="8" ht="22.5" customHeight="1">
      <c r="A8" s="11" t="str">
        <f>REGEXEXTRACT(D8, "\d{4}\.\s(.*?)\.\sProc\. ACM")"),"BodyTouch: Investigating Eye-Free, On-Body and Near-Body Touch Interactions with HMDs</f>
        <v xml:space="preserve">BodyTouch: Investigating Eye-Free, On-Body and Near-Body Touch Interactions with HMDs</v>
      </c>
      <c r="B8" s="7">
        <f t="shared" si="68"/>
        <v>152</v>
      </c>
      <c r="C8" s="8" t="s">
        <v>2843</v>
      </c>
      <c r="D8" s="6" t="s">
        <v>2844</v>
      </c>
      <c r="E8" s="9">
        <v>46041</v>
      </c>
      <c r="F8" s="7">
        <v>2023</v>
      </c>
      <c r="G8" s="7" t="s">
        <v>31</v>
      </c>
      <c r="H8" s="6" t="str">
        <f t="shared" si="69"/>
        <v>2023_Dec_152</v>
      </c>
      <c r="I8" s="12" t="str">
        <f t="shared" si="70"/>
        <v>https://doi.org/10.1145/3631426</v>
      </c>
      <c r="J8" s="7">
        <f>IF(D8:D61&lt;&gt;"", VALUE(REGEXEXTRACT(D8:D61, "(\d+)\s+pages")), )
</f>
        <v>22</v>
      </c>
      <c r="K8" s="6" t="s">
        <v>42</v>
      </c>
      <c r="L8" s="7" t="str">
        <f t="shared" si="71"/>
        <v>No</v>
      </c>
      <c r="M8" s="7" t="s">
        <v>34</v>
      </c>
      <c r="N8" s="7" t="s">
        <v>34</v>
      </c>
      <c r="O8" s="7" t="s">
        <v>35</v>
      </c>
      <c r="P8" s="6"/>
      <c r="Q8" s="6"/>
      <c r="R8" s="7" t="s">
        <v>34</v>
      </c>
      <c r="S8" s="7" t="s">
        <v>35</v>
      </c>
      <c r="T8" s="6"/>
      <c r="U8" s="6"/>
      <c r="V8" s="7" t="s">
        <v>35</v>
      </c>
      <c r="W8" s="6"/>
      <c r="X8" s="7" t="s">
        <v>35</v>
      </c>
      <c r="Y8" s="13"/>
      <c r="Z8" s="7" t="s">
        <v>35</v>
      </c>
      <c r="AA8" s="6"/>
      <c r="AB8" s="6"/>
      <c r="AC8" s="6" t="s">
        <v>39</v>
      </c>
    </row>
    <row r="9" ht="22.5" customHeight="1">
      <c r="A9" s="11" t="str">
        <f>REGEXEXTRACT(D9, "\d{4}\.\s(.*?)\.\sProc\. ACM")"),"Effects of Uncertain Trajectory Prediction Visualization in Highly Automated Vehicles on Trust, Situation Awareness, and Cognitive Load</f>
        <v xml:space="preserve">Effects of Uncertain Trajectory Prediction Visualization in Highly Automated Vehicles on Trust, Situation Awareness, and Cognitive Load</v>
      </c>
      <c r="B9" s="7">
        <f t="shared" si="68"/>
        <v>153</v>
      </c>
      <c r="C9" s="8" t="s">
        <v>2845</v>
      </c>
      <c r="D9" s="6" t="s">
        <v>2846</v>
      </c>
      <c r="E9" s="9">
        <v>46041</v>
      </c>
      <c r="F9" s="7">
        <v>2023</v>
      </c>
      <c r="G9" s="7" t="s">
        <v>31</v>
      </c>
      <c r="H9" s="6" t="str">
        <f t="shared" si="69"/>
        <v>2023_Dec_153</v>
      </c>
      <c r="I9" s="12" t="str">
        <f t="shared" si="70"/>
        <v>https://doi.org/10.1145/3631408</v>
      </c>
      <c r="J9" s="7">
        <f>IF(D9:D61&lt;&gt;"", VALUE(REGEXEXTRACT(D9:D61, "(\d+)\s+pages")), )
</f>
        <v>23</v>
      </c>
      <c r="K9" s="6" t="s">
        <v>42</v>
      </c>
      <c r="L9" s="7" t="str">
        <f t="shared" si="71"/>
        <v>No</v>
      </c>
      <c r="M9" s="7" t="s">
        <v>33</v>
      </c>
      <c r="N9" s="7" t="s">
        <v>34</v>
      </c>
      <c r="O9" s="7" t="s">
        <v>35</v>
      </c>
      <c r="P9" s="6"/>
      <c r="Q9" s="6"/>
      <c r="R9" s="7" t="s">
        <v>34</v>
      </c>
      <c r="S9" s="7" t="s">
        <v>35</v>
      </c>
      <c r="T9" s="6"/>
      <c r="U9" s="6"/>
      <c r="V9" s="7" t="s">
        <v>35</v>
      </c>
      <c r="W9" s="6"/>
      <c r="X9" s="7" t="s">
        <v>35</v>
      </c>
      <c r="Y9" s="13"/>
      <c r="Z9" s="7" t="s">
        <v>35</v>
      </c>
      <c r="AA9" s="6"/>
      <c r="AB9" s="6"/>
      <c r="AC9" s="6" t="s">
        <v>39</v>
      </c>
    </row>
    <row r="10" ht="22.5" customHeight="1">
      <c r="A10" s="11" t="str">
        <f>REGEXEXTRACT(D10, "\d{4}\.\s(.*?)\.\sProc\. ACM")"),"Powered by AI: Examining How AI Descriptions Influence Perceptions of Fertility Tracking Applications</f>
        <v xml:space="preserve">Powered by AI: Examining How AI Descriptions Influence Perceptions of Fertility Tracking Applications</v>
      </c>
      <c r="B10" s="7">
        <f t="shared" ref="B10:B61" si="72">IFERROR(VALUE(REGEXEXTRACT(D10,"Article\s+(\d+)")),"")
</f>
        <v>154</v>
      </c>
      <c r="C10" s="8" t="s">
        <v>2847</v>
      </c>
      <c r="D10" s="6" t="s">
        <v>2848</v>
      </c>
      <c r="E10" s="9">
        <v>46041</v>
      </c>
      <c r="F10" s="7">
        <v>2023</v>
      </c>
      <c r="G10" s="7" t="s">
        <v>31</v>
      </c>
      <c r="H10" s="6" t="str">
        <f t="shared" si="69"/>
        <v>2023_Dec_154</v>
      </c>
      <c r="I10" s="12" t="str">
        <f t="shared" si="70"/>
        <v>https://doi.org/10.1145/3631414</v>
      </c>
      <c r="J10" s="7">
        <f>IF(D10:D61&lt;&gt;"", VALUE(REGEXEXTRACT(D10:D61, "(\d+)\s+pages")), )
</f>
        <v>24</v>
      </c>
      <c r="K10" s="6" t="s">
        <v>42</v>
      </c>
      <c r="L10" s="7" t="str">
        <f t="shared" ref="L10:L47" si="73">IF(REGEXMATCH(LOWER($A10),"(^|[^a-z])dataset(s)?([^a-z]|$)"),"Yes","No")"),"No</f>
        <v>No</v>
      </c>
      <c r="M10" s="7" t="s">
        <v>34</v>
      </c>
      <c r="N10" s="7" t="s">
        <v>34</v>
      </c>
      <c r="O10" s="7" t="s">
        <v>35</v>
      </c>
      <c r="P10" s="6"/>
      <c r="Q10" s="6"/>
      <c r="R10" s="7" t="s">
        <v>34</v>
      </c>
      <c r="S10" s="7" t="s">
        <v>35</v>
      </c>
      <c r="T10" s="6"/>
      <c r="U10" s="6"/>
      <c r="V10" s="7" t="s">
        <v>35</v>
      </c>
      <c r="W10" s="6"/>
      <c r="X10" s="7" t="s">
        <v>35</v>
      </c>
      <c r="Y10" s="13"/>
      <c r="Z10" s="7" t="s">
        <v>35</v>
      </c>
      <c r="AA10" s="6"/>
      <c r="AB10" s="6"/>
      <c r="AC10" s="6" t="s">
        <v>39</v>
      </c>
    </row>
    <row r="11" ht="22.5" customHeight="1">
      <c r="A11" s="11" t="str">
        <f>REGEXEXTRACT(D11, "\d{4}\.\s(.*?)\.\sProc\. ACM")"),"Reenvisioning Patient Education with Smart Hospital Patient Rooms</f>
        <v xml:space="preserve">Reenvisioning Patient Education with Smart Hospital Patient Rooms</v>
      </c>
      <c r="B11" s="7">
        <f t="shared" si="72"/>
        <v>155</v>
      </c>
      <c r="C11" s="8" t="s">
        <v>2849</v>
      </c>
      <c r="D11" s="6" t="s">
        <v>2850</v>
      </c>
      <c r="E11" s="9">
        <v>46041</v>
      </c>
      <c r="F11" s="7">
        <v>2023</v>
      </c>
      <c r="G11" s="7" t="s">
        <v>31</v>
      </c>
      <c r="H11" s="6" t="str">
        <f t="shared" si="69"/>
        <v>2023_Dec_155</v>
      </c>
      <c r="I11" s="12" t="str">
        <f t="shared" si="70"/>
        <v>https://doi.org/10.1145/3631419</v>
      </c>
      <c r="J11" s="7">
        <f>IF(D11:D61&lt;&gt;"", VALUE(REGEXEXTRACT(D11:D61, "(\d+)\s+pages")), )
</f>
        <v>23</v>
      </c>
      <c r="K11" s="6" t="s">
        <v>42</v>
      </c>
      <c r="L11" s="7" t="str">
        <f t="shared" si="73"/>
        <v>No</v>
      </c>
      <c r="M11" s="7" t="s">
        <v>33</v>
      </c>
      <c r="N11" s="7" t="s">
        <v>34</v>
      </c>
      <c r="O11" s="7" t="s">
        <v>35</v>
      </c>
      <c r="P11" s="6"/>
      <c r="Q11" s="6"/>
      <c r="R11" s="7" t="s">
        <v>34</v>
      </c>
      <c r="S11" s="7" t="s">
        <v>35</v>
      </c>
      <c r="T11" s="6"/>
      <c r="U11" s="6"/>
      <c r="V11" s="7" t="s">
        <v>35</v>
      </c>
      <c r="W11" s="6"/>
      <c r="X11" s="7" t="s">
        <v>35</v>
      </c>
      <c r="Y11" s="13"/>
      <c r="Z11" s="7" t="s">
        <v>35</v>
      </c>
      <c r="AA11" s="6"/>
      <c r="AB11" s="6"/>
      <c r="AC11" s="6" t="s">
        <v>39</v>
      </c>
    </row>
    <row r="12" ht="22.5" customHeight="1">
      <c r="A12" s="11" t="str">
        <f>REGEXEXTRACT(D12, "\d{4}\.\s(.*?)\.\sProc\. ACM")"),"Unobtrusive Air Leakage Estimation for Earables with In-ear Microphones</f>
        <v xml:space="preserve">Unobtrusive Air Leakage Estimation for Earables with In-ear Microphones</v>
      </c>
      <c r="B12" s="7">
        <f t="shared" si="72"/>
        <v>156</v>
      </c>
      <c r="C12" s="8" t="s">
        <v>2851</v>
      </c>
      <c r="D12" s="6" t="s">
        <v>2852</v>
      </c>
      <c r="E12" s="9">
        <v>46041</v>
      </c>
      <c r="F12" s="7">
        <v>2023</v>
      </c>
      <c r="G12" s="7" t="s">
        <v>31</v>
      </c>
      <c r="H12" s="6" t="str">
        <f t="shared" si="69"/>
        <v>2023_Dec_156</v>
      </c>
      <c r="I12" s="12" t="str">
        <f t="shared" si="70"/>
        <v>https://doi.org/10.1145/3631405</v>
      </c>
      <c r="J12" s="7">
        <f>IF(D12:D61&lt;&gt;"", VALUE(REGEXEXTRACT(D12:D61, "(\d+)\s+pages")), )
</f>
        <v>29</v>
      </c>
      <c r="K12" s="6" t="s">
        <v>777</v>
      </c>
      <c r="L12" s="7" t="str">
        <f t="shared" si="73"/>
        <v>No</v>
      </c>
      <c r="M12" s="7" t="s">
        <v>33</v>
      </c>
      <c r="N12" s="7" t="s">
        <v>33</v>
      </c>
      <c r="O12" s="7" t="s">
        <v>34</v>
      </c>
      <c r="P12" s="6"/>
      <c r="Q12" s="6" t="s">
        <v>1441</v>
      </c>
      <c r="R12" s="7" t="s">
        <v>33</v>
      </c>
      <c r="S12" s="7" t="s">
        <v>34</v>
      </c>
      <c r="T12" s="6"/>
      <c r="U12" s="6"/>
      <c r="V12" s="7" t="s">
        <v>33</v>
      </c>
      <c r="W12" s="6" t="s">
        <v>2853</v>
      </c>
      <c r="X12" s="7" t="s">
        <v>33</v>
      </c>
      <c r="Y12" s="6" t="s">
        <v>152</v>
      </c>
      <c r="Z12" s="7" t="s">
        <v>34</v>
      </c>
      <c r="AA12" s="6"/>
      <c r="AB12" s="6" t="s">
        <v>2854</v>
      </c>
      <c r="AC12" s="6" t="s">
        <v>39</v>
      </c>
    </row>
    <row r="13" ht="22.5" customHeight="1">
      <c r="A13" s="11" t="str">
        <f>REGEXEXTRACT(D13, "\d{4}\.\s(.*?)\.\sProc\. ACM")"),"Bias Mitigation in Federated Learning for Edge Computing</f>
        <v xml:space="preserve">Bias Mitigation in Federated Learning for Edge Computing</v>
      </c>
      <c r="B13" s="7">
        <f t="shared" si="72"/>
        <v>157</v>
      </c>
      <c r="C13" s="8" t="s">
        <v>2855</v>
      </c>
      <c r="D13" s="6" t="s">
        <v>2856</v>
      </c>
      <c r="E13" s="9">
        <v>46041</v>
      </c>
      <c r="F13" s="7">
        <v>2023</v>
      </c>
      <c r="G13" s="7" t="s">
        <v>31</v>
      </c>
      <c r="H13" s="6" t="str">
        <f t="shared" si="69"/>
        <v>2023_Dec_157</v>
      </c>
      <c r="I13" s="12" t="str">
        <f t="shared" si="70"/>
        <v>https://doi.org/10.1145/3631455</v>
      </c>
      <c r="J13" s="7">
        <f>IF(D13:D61&lt;&gt;"", VALUE(REGEXEXTRACT(D13:D61, "(\d+)\s+pages")), )
</f>
        <v>35</v>
      </c>
      <c r="K13" s="6" t="s">
        <v>71</v>
      </c>
      <c r="L13" s="7" t="str">
        <f t="shared" si="73"/>
        <v>No</v>
      </c>
      <c r="M13" s="7" t="s">
        <v>34</v>
      </c>
      <c r="N13" s="7" t="s">
        <v>33</v>
      </c>
      <c r="O13" s="7" t="s">
        <v>33</v>
      </c>
      <c r="P13" s="10" t="s">
        <v>2857</v>
      </c>
      <c r="Q13" s="6"/>
      <c r="R13" s="7" t="s">
        <v>33</v>
      </c>
      <c r="S13" s="7" t="s">
        <v>33</v>
      </c>
      <c r="T13" s="10" t="s">
        <v>2857</v>
      </c>
      <c r="U13" s="6"/>
      <c r="V13" s="7" t="s">
        <v>34</v>
      </c>
      <c r="W13" s="6"/>
      <c r="X13" s="7" t="s">
        <v>34</v>
      </c>
      <c r="Y13" s="13"/>
      <c r="Z13" s="7" t="s">
        <v>33</v>
      </c>
      <c r="AA13" s="6" t="s">
        <v>2858</v>
      </c>
      <c r="AB13" s="6" t="s">
        <v>2859</v>
      </c>
      <c r="AC13" s="6" t="s">
        <v>39</v>
      </c>
    </row>
    <row r="14" ht="22.5" customHeight="1">
      <c r="A14" s="11" t="str">
        <f>REGEXEXTRACT(D14, "\d{4}\.\s(.*?)\.\sProc\. ACM")"),"EarSE: Bringing Robust Speech Enhancement to COTS Headphones</f>
        <v xml:space="preserve">EarSE: Bringing Robust Speech Enhancement to COTS Headphones</v>
      </c>
      <c r="B14" s="7">
        <f t="shared" si="72"/>
        <v>158</v>
      </c>
      <c r="C14" s="8" t="s">
        <v>2860</v>
      </c>
      <c r="D14" s="6" t="s">
        <v>2861</v>
      </c>
      <c r="E14" s="9">
        <v>46041</v>
      </c>
      <c r="F14" s="7">
        <v>2023</v>
      </c>
      <c r="G14" s="7" t="s">
        <v>31</v>
      </c>
      <c r="H14" s="6" t="str">
        <f t="shared" si="69"/>
        <v>2023_Dec_158</v>
      </c>
      <c r="I14" s="12" t="str">
        <f t="shared" si="70"/>
        <v>https://doi.org/10.1145/3631447</v>
      </c>
      <c r="J14" s="7">
        <f>IF(D14:D61&lt;&gt;"", VALUE(REGEXEXTRACT(D14:D61, "(\d+)\s+pages")), )
</f>
        <v>33</v>
      </c>
      <c r="K14" s="6" t="s">
        <v>777</v>
      </c>
      <c r="L14" s="7" t="str">
        <f t="shared" si="73"/>
        <v>No</v>
      </c>
      <c r="M14" s="7" t="s">
        <v>34</v>
      </c>
      <c r="N14" s="7" t="s">
        <v>33</v>
      </c>
      <c r="O14" s="7" t="s">
        <v>34</v>
      </c>
      <c r="P14" s="6"/>
      <c r="Q14" s="6"/>
      <c r="R14" s="7" t="s">
        <v>33</v>
      </c>
      <c r="S14" s="7" t="s">
        <v>34</v>
      </c>
      <c r="T14" s="6"/>
      <c r="U14" s="6"/>
      <c r="V14" s="7" t="s">
        <v>33</v>
      </c>
      <c r="W14" s="6" t="s">
        <v>2862</v>
      </c>
      <c r="X14" s="7" t="s">
        <v>34</v>
      </c>
      <c r="Y14" s="13"/>
      <c r="Z14" s="7" t="s">
        <v>34</v>
      </c>
      <c r="AA14" s="6"/>
      <c r="AB14" s="6" t="s">
        <v>2863</v>
      </c>
      <c r="AC14" s="6" t="s">
        <v>39</v>
      </c>
    </row>
    <row r="15" ht="22.5" customHeight="1">
      <c r="A15" s="11" t="str">
        <f>REGEXEXTRACT(D15, "\d{4}\.\s(.*?)\.\sProc\. ACM")"),"Deep Heterogeneous Contrastive Hyper-Graph Learning for In-the-Wild Context-Aware Human Activity Recognition</f>
        <v xml:space="preserve">Deep Heterogeneous Contrastive Hyper-Graph Learning for In-the-Wild Context-Aware Human Activity Recognition</v>
      </c>
      <c r="B15" s="7">
        <f t="shared" si="72"/>
        <v>159</v>
      </c>
      <c r="C15" s="8" t="s">
        <v>2864</v>
      </c>
      <c r="D15" s="6" t="s">
        <v>2865</v>
      </c>
      <c r="E15" s="9">
        <v>46041</v>
      </c>
      <c r="F15" s="7">
        <v>2023</v>
      </c>
      <c r="G15" s="7" t="s">
        <v>31</v>
      </c>
      <c r="H15" s="6" t="str">
        <f t="shared" si="69"/>
        <v>2023_Dec_159</v>
      </c>
      <c r="I15" s="12" t="str">
        <f t="shared" si="70"/>
        <v>https://doi.org/10.1145/3631444</v>
      </c>
      <c r="J15" s="7">
        <f>IF(D15:D61&lt;&gt;"", VALUE(REGEXEXTRACT(D15:D61, "(\d+)\s+pages")), )
</f>
        <v>23</v>
      </c>
      <c r="K15" s="6" t="s">
        <v>64</v>
      </c>
      <c r="L15" s="7" t="str">
        <f t="shared" si="73"/>
        <v>No</v>
      </c>
      <c r="M15" s="7" t="s">
        <v>33</v>
      </c>
      <c r="N15" s="7" t="s">
        <v>33</v>
      </c>
      <c r="O15" s="7" t="s">
        <v>33</v>
      </c>
      <c r="P15" s="12" t="s">
        <v>2866</v>
      </c>
      <c r="Q15" s="6"/>
      <c r="R15" s="7" t="s">
        <v>33</v>
      </c>
      <c r="S15" s="7" t="s">
        <v>33</v>
      </c>
      <c r="T15" s="6"/>
      <c r="U15" s="6" t="s">
        <v>2867</v>
      </c>
      <c r="V15" s="7" t="s">
        <v>34</v>
      </c>
      <c r="W15" s="6"/>
      <c r="X15" s="7" t="s">
        <v>34</v>
      </c>
      <c r="Y15" s="13"/>
      <c r="Z15" s="7" t="s">
        <v>33</v>
      </c>
      <c r="AA15" s="6" t="s">
        <v>2868</v>
      </c>
      <c r="AB15" s="6" t="s">
        <v>2869</v>
      </c>
      <c r="AC15" s="6" t="s">
        <v>39</v>
      </c>
    </row>
    <row r="16" ht="22.5" customHeight="1">
      <c r="A16" s="11" t="str">
        <f>REGEXEXTRACT(D16, "\d{4}\.\s(.*?)\.\sProc\. ACM")"),"LocCams: An Efficient and Robust Approach for Detecting and Localizing Hidden Wireless Cameras via Commodity Devices</f>
        <v xml:space="preserve">LocCams: An Efficient and Robust Approach for Detecting and Localizing Hidden Wireless Cameras via Commodity Devices</v>
      </c>
      <c r="B16" s="7">
        <f t="shared" si="72"/>
        <v>160</v>
      </c>
      <c r="C16" s="8" t="s">
        <v>2870</v>
      </c>
      <c r="D16" s="6" t="s">
        <v>2871</v>
      </c>
      <c r="E16" s="9">
        <v>46041</v>
      </c>
      <c r="F16" s="7">
        <v>2023</v>
      </c>
      <c r="G16" s="7" t="s">
        <v>31</v>
      </c>
      <c r="H16" s="6" t="str">
        <f t="shared" si="69"/>
        <v>2023_Dec_160</v>
      </c>
      <c r="I16" s="12" t="str">
        <f t="shared" si="70"/>
        <v>https://doi.org/10.1145/3631432</v>
      </c>
      <c r="J16" s="7">
        <f>IF(D16:D61&lt;&gt;"", VALUE(REGEXEXTRACT(D16:D61, "(\d+)\s+pages")), )
</f>
        <v>24</v>
      </c>
      <c r="K16" s="6" t="s">
        <v>64</v>
      </c>
      <c r="L16" s="7" t="str">
        <f t="shared" si="73"/>
        <v>No</v>
      </c>
      <c r="M16" s="7" t="s">
        <v>34</v>
      </c>
      <c r="N16" s="7" t="s">
        <v>33</v>
      </c>
      <c r="O16" s="7" t="s">
        <v>34</v>
      </c>
      <c r="P16" s="6"/>
      <c r="Q16" s="6"/>
      <c r="R16" s="7" t="s">
        <v>33</v>
      </c>
      <c r="S16" s="7" t="s">
        <v>34</v>
      </c>
      <c r="T16" s="6"/>
      <c r="U16" s="6"/>
      <c r="V16" s="7" t="s">
        <v>34</v>
      </c>
      <c r="W16" s="6" t="s">
        <v>124</v>
      </c>
      <c r="X16" s="7" t="s">
        <v>34</v>
      </c>
      <c r="Y16" s="13"/>
      <c r="Z16" s="7" t="s">
        <v>34</v>
      </c>
      <c r="AA16" s="6"/>
      <c r="AB16" s="6" t="s">
        <v>2872</v>
      </c>
      <c r="AC16" s="6" t="s">
        <v>39</v>
      </c>
    </row>
    <row r="17" ht="22.5" customHeight="1">
      <c r="A17" s="11" t="str">
        <f>REGEXEXTRACT(D17, "\d{4}\.\s(.*?)\.\sProc\. ACM")"),"TrackPose: Towards Stable and User Adaptive Finger Pose Estimation on Capacitive Touchscreens</f>
        <v xml:space="preserve">TrackPose: Towards Stable and User Adaptive Finger Pose Estimation on Capacitive Touchscreens</v>
      </c>
      <c r="B17" s="7">
        <f t="shared" si="72"/>
        <v>161</v>
      </c>
      <c r="C17" s="8" t="s">
        <v>2873</v>
      </c>
      <c r="D17" s="6" t="s">
        <v>2874</v>
      </c>
      <c r="E17" s="9">
        <v>46042</v>
      </c>
      <c r="F17" s="7">
        <v>2023</v>
      </c>
      <c r="G17" s="7" t="s">
        <v>31</v>
      </c>
      <c r="H17" s="6" t="str">
        <f t="shared" si="69"/>
        <v>2023_Dec_161</v>
      </c>
      <c r="I17" s="12" t="str">
        <f t="shared" si="70"/>
        <v>https://doi.org/10.1145/3631459</v>
      </c>
      <c r="J17" s="7">
        <f>IF(D17:D61&lt;&gt;"", VALUE(REGEXEXTRACT(D17:D61, "(\d+)\s+pages")), )
</f>
        <v>22</v>
      </c>
      <c r="K17" s="6" t="s">
        <v>133</v>
      </c>
      <c r="L17" s="7" t="str">
        <f t="shared" si="73"/>
        <v>No</v>
      </c>
      <c r="M17" s="7" t="s">
        <v>33</v>
      </c>
      <c r="N17" s="7" t="s">
        <v>33</v>
      </c>
      <c r="O17" s="7" t="s">
        <v>34</v>
      </c>
      <c r="P17" s="6"/>
      <c r="Q17" s="6"/>
      <c r="R17" s="7" t="s">
        <v>33</v>
      </c>
      <c r="S17" s="7" t="s">
        <v>34</v>
      </c>
      <c r="T17" s="6"/>
      <c r="U17" s="6"/>
      <c r="V17" s="7" t="s">
        <v>34</v>
      </c>
      <c r="W17" s="6" t="s">
        <v>124</v>
      </c>
      <c r="X17" s="7" t="s">
        <v>34</v>
      </c>
      <c r="Y17" s="13"/>
      <c r="Z17" s="7" t="s">
        <v>34</v>
      </c>
      <c r="AA17" s="6"/>
      <c r="AB17" s="6" t="s">
        <v>2875</v>
      </c>
      <c r="AC17" s="6" t="s">
        <v>39</v>
      </c>
    </row>
    <row r="18" ht="22.5" customHeight="1">
      <c r="A18" s="11" t="str">
        <f>REGEXEXTRACT(D18, "\d{4}\.\s(.*?)\.\sProc\. ACM")"),"SurfShare: Lightweight Spatially Consistent Physical Surface and Virtual Replica Sharing with Head-mounted Mixed-Reality</f>
        <v xml:space="preserve">SurfShare: Lightweight Spatially Consistent Physical Surface and Virtual Replica Sharing with Head-mounted Mixed-Reality</v>
      </c>
      <c r="B18" s="7">
        <f t="shared" si="72"/>
        <v>162</v>
      </c>
      <c r="C18" s="8" t="s">
        <v>2876</v>
      </c>
      <c r="D18" s="6" t="s">
        <v>2877</v>
      </c>
      <c r="E18" s="9">
        <v>46042</v>
      </c>
      <c r="F18" s="7">
        <v>2023</v>
      </c>
      <c r="G18" s="7" t="s">
        <v>31</v>
      </c>
      <c r="H18" s="6" t="str">
        <f t="shared" si="69"/>
        <v>2023_Dec_162</v>
      </c>
      <c r="I18" s="12" t="str">
        <f t="shared" si="70"/>
        <v>https://doi.org/10.1145/3631418</v>
      </c>
      <c r="J18" s="7">
        <f>IF(D18:D61&lt;&gt;"", VALUE(REGEXEXTRACT(D18:D61, "(\d+)\s+pages")), )
</f>
        <v>24</v>
      </c>
      <c r="K18" s="6" t="s">
        <v>133</v>
      </c>
      <c r="L18" s="7" t="str">
        <f t="shared" si="73"/>
        <v>No</v>
      </c>
      <c r="M18" s="7" t="s">
        <v>34</v>
      </c>
      <c r="N18" s="7" t="s">
        <v>33</v>
      </c>
      <c r="O18" s="7" t="s">
        <v>33</v>
      </c>
      <c r="P18" s="10" t="s">
        <v>2878</v>
      </c>
      <c r="Q18" s="6"/>
      <c r="R18" s="7" t="s">
        <v>34</v>
      </c>
      <c r="S18" s="7" t="s">
        <v>35</v>
      </c>
      <c r="T18" s="6"/>
      <c r="U18" s="6"/>
      <c r="V18" s="7" t="s">
        <v>33</v>
      </c>
      <c r="W18" s="6" t="s">
        <v>2879</v>
      </c>
      <c r="X18" s="7" t="s">
        <v>33</v>
      </c>
      <c r="Y18" s="6" t="s">
        <v>2880</v>
      </c>
      <c r="Z18" s="7" t="s">
        <v>144</v>
      </c>
      <c r="AA18" s="6" t="s">
        <v>2881</v>
      </c>
      <c r="AB18" s="6" t="s">
        <v>2882</v>
      </c>
      <c r="AC18" s="6" t="s">
        <v>39</v>
      </c>
    </row>
    <row r="19" ht="22.5" customHeight="1">
      <c r="A19" s="11" t="str">
        <f>REGEXEXTRACT(D19, "\d{4}\.\s(.*?)\.\sProc\. ACM")"),"MIRROR: Towards Generalizable On-Device Video Virtual Try-On for Mobile Shopping</f>
        <v xml:space="preserve">MIRROR: Towards Generalizable On-Device Video Virtual Try-On for Mobile Shopping</v>
      </c>
      <c r="B19" s="7">
        <f t="shared" si="72"/>
        <v>163</v>
      </c>
      <c r="C19" s="8" t="s">
        <v>2883</v>
      </c>
      <c r="D19" s="6" t="s">
        <v>2884</v>
      </c>
      <c r="E19" s="9">
        <v>46042</v>
      </c>
      <c r="F19" s="7">
        <v>2023</v>
      </c>
      <c r="G19" s="7" t="s">
        <v>31</v>
      </c>
      <c r="H19" s="6" t="str">
        <f t="shared" si="69"/>
        <v>2023_Dec_163</v>
      </c>
      <c r="I19" s="12" t="str">
        <f t="shared" si="70"/>
        <v>https://doi.org/10.1145/3631420</v>
      </c>
      <c r="J19" s="7">
        <f>IF(D19:D61&lt;&gt;"", VALUE(REGEXEXTRACT(D19:D61, "(\d+)\s+pages")), )
</f>
        <v>27</v>
      </c>
      <c r="K19" s="6" t="s">
        <v>133</v>
      </c>
      <c r="L19" s="7" t="str">
        <f t="shared" si="73"/>
        <v>No</v>
      </c>
      <c r="M19" s="7" t="s">
        <v>33</v>
      </c>
      <c r="N19" s="7" t="s">
        <v>33</v>
      </c>
      <c r="O19" s="7" t="s">
        <v>33</v>
      </c>
      <c r="P19" s="10" t="s">
        <v>2885</v>
      </c>
      <c r="Q19" s="6"/>
      <c r="R19" s="7" t="s">
        <v>33</v>
      </c>
      <c r="S19" s="7" t="s">
        <v>33</v>
      </c>
      <c r="T19" s="6"/>
      <c r="U19" s="6" t="s">
        <v>2886</v>
      </c>
      <c r="V19" s="7" t="s">
        <v>34</v>
      </c>
      <c r="W19" s="6" t="s">
        <v>2887</v>
      </c>
      <c r="X19" s="7" t="s">
        <v>34</v>
      </c>
      <c r="Y19" s="13"/>
      <c r="Z19" s="7" t="s">
        <v>33</v>
      </c>
      <c r="AA19" s="6" t="s">
        <v>2888</v>
      </c>
      <c r="AB19" s="6" t="s">
        <v>2889</v>
      </c>
      <c r="AC19" s="6" t="s">
        <v>39</v>
      </c>
    </row>
    <row r="20" ht="22.5" customHeight="1">
      <c r="A20" s="11" t="str">
        <f>REGEXEXTRACT(D20, "\d{4}\.\s(.*?)\.\sProc\. ACM")"),"SF-Adapter: Computational-Efficient Source-Free Domain Adaptation for Human Activity Recognition</f>
        <v xml:space="preserve">SF-Adapter: Computational-Efficient Source-Free Domain Adaptation for Human Activity Recognition</v>
      </c>
      <c r="B20" s="7">
        <f t="shared" si="72"/>
        <v>164</v>
      </c>
      <c r="C20" s="8" t="s">
        <v>2890</v>
      </c>
      <c r="D20" s="6" t="s">
        <v>2891</v>
      </c>
      <c r="E20" s="9">
        <v>46042</v>
      </c>
      <c r="F20" s="7">
        <v>2023</v>
      </c>
      <c r="G20" s="7" t="s">
        <v>31</v>
      </c>
      <c r="H20" s="6" t="str">
        <f t="shared" si="69"/>
        <v>2023_Dec_164</v>
      </c>
      <c r="I20" s="12" t="str">
        <f t="shared" si="70"/>
        <v>https://doi.org/10.1145/3631428</v>
      </c>
      <c r="J20" s="7">
        <f>IF(D20:D61&lt;&gt;"", VALUE(REGEXEXTRACT(D20:D61, "(\d+)\s+pages")), )
</f>
        <v>23</v>
      </c>
      <c r="K20" s="6" t="s">
        <v>64</v>
      </c>
      <c r="L20" s="7" t="str">
        <f t="shared" si="73"/>
        <v>No</v>
      </c>
      <c r="M20" s="7" t="s">
        <v>33</v>
      </c>
      <c r="N20" s="7" t="s">
        <v>33</v>
      </c>
      <c r="O20" s="7" t="s">
        <v>34</v>
      </c>
      <c r="P20" s="6"/>
      <c r="Q20" s="6"/>
      <c r="R20" s="7" t="s">
        <v>33</v>
      </c>
      <c r="S20" s="7" t="s">
        <v>33</v>
      </c>
      <c r="T20" s="6"/>
      <c r="U20" s="6" t="s">
        <v>2892</v>
      </c>
      <c r="V20" s="7" t="s">
        <v>34</v>
      </c>
      <c r="W20" s="6"/>
      <c r="X20" s="7" t="s">
        <v>34</v>
      </c>
      <c r="Y20" s="13"/>
      <c r="Z20" s="7" t="s">
        <v>34</v>
      </c>
      <c r="AA20" s="6"/>
      <c r="AB20" s="6" t="s">
        <v>2893</v>
      </c>
      <c r="AC20" s="6" t="s">
        <v>39</v>
      </c>
    </row>
    <row r="21" ht="22.5" customHeight="1">
      <c r="A21" s="14" t="str">
        <f>REGEXEXTRACT(D21, "\d{4}\.\s(.*?)\.\sProc\. ACM")"),"Do I Just Tap My Headset? How Novice Users Discover Gestural Interactions with Consumer Augmented Reality Applications</f>
        <v xml:space="preserve">Do I Just Tap My Headset? How Novice Users Discover Gestural Interactions with Consumer Augmented Reality Applications</v>
      </c>
      <c r="B21" s="15">
        <f t="shared" si="72"/>
        <v>165</v>
      </c>
      <c r="C21" s="16" t="s">
        <v>2894</v>
      </c>
      <c r="D21" s="17" t="s">
        <v>2895</v>
      </c>
      <c r="E21" s="18">
        <v>46042</v>
      </c>
      <c r="F21" s="15">
        <v>2023</v>
      </c>
      <c r="G21" s="15" t="s">
        <v>31</v>
      </c>
      <c r="H21" s="17" t="str">
        <f t="shared" si="69"/>
        <v>2023_Dec_165</v>
      </c>
      <c r="I21" s="19" t="str">
        <f t="shared" si="70"/>
        <v>https://doi.org/10.1145/3631451</v>
      </c>
      <c r="J21" s="15">
        <f>IF(D21:D61&lt;&gt;"", VALUE(REGEXEXTRACT(D21:D61, "(\d+)\s+pages")), )
</f>
        <v>28</v>
      </c>
      <c r="K21" s="17" t="s">
        <v>42</v>
      </c>
      <c r="L21" s="15" t="str">
        <f t="shared" si="73"/>
        <v>No</v>
      </c>
      <c r="M21" s="15" t="s">
        <v>33</v>
      </c>
      <c r="N21" s="15" t="s">
        <v>34</v>
      </c>
      <c r="O21" s="15" t="s">
        <v>35</v>
      </c>
      <c r="P21" s="17"/>
      <c r="Q21" s="17"/>
      <c r="R21" s="15" t="s">
        <v>34</v>
      </c>
      <c r="S21" s="15" t="s">
        <v>35</v>
      </c>
      <c r="T21" s="17"/>
      <c r="U21" s="17"/>
      <c r="V21" s="15" t="s">
        <v>35</v>
      </c>
      <c r="W21" s="17"/>
      <c r="X21" s="15" t="s">
        <v>35</v>
      </c>
      <c r="Y21" s="20"/>
      <c r="Z21" s="15" t="s">
        <v>35</v>
      </c>
      <c r="AA21" s="17"/>
      <c r="AB21" s="17"/>
      <c r="AC21" s="17" t="s">
        <v>39</v>
      </c>
    </row>
    <row r="22" ht="22.5" customHeight="1">
      <c r="A22" s="11" t="str">
        <f>REGEXEXTRACT(D22, "\d{4}\.\s(.*?)\.\sProc\. ACM")"),"SweatSkin: Rapidly Prototyping Sweat-Sensing On-Skin Interface Based on Microfluidics</f>
        <v xml:space="preserve">SweatSkin: Rapidly Prototyping Sweat-Sensing On-Skin Interface Based on Microfluidics</v>
      </c>
      <c r="B22" s="7">
        <f t="shared" si="72"/>
        <v>166</v>
      </c>
      <c r="C22" s="8" t="s">
        <v>2896</v>
      </c>
      <c r="D22" s="6" t="s">
        <v>2897</v>
      </c>
      <c r="E22" s="9">
        <v>46098</v>
      </c>
      <c r="F22" s="7">
        <v>2023</v>
      </c>
      <c r="G22" s="7" t="s">
        <v>31</v>
      </c>
      <c r="H22" s="6" t="str">
        <f t="shared" si="69"/>
        <v>2023_Dec_166</v>
      </c>
      <c r="I22" s="12" t="str">
        <f t="shared" si="70"/>
        <v>https://doi.org/10.1145/3631425</v>
      </c>
      <c r="J22" s="7">
        <f>IF(D22:D61&lt;&gt;"", VALUE(REGEXEXTRACT(D22:D61, "(\d+)\s+pages")), )
</f>
        <v>30</v>
      </c>
      <c r="K22" s="6" t="s">
        <v>164</v>
      </c>
      <c r="L22" s="7" t="str">
        <f t="shared" si="73"/>
        <v>No</v>
      </c>
      <c r="M22" s="7" t="s">
        <v>34</v>
      </c>
      <c r="N22" s="7" t="s">
        <v>34</v>
      </c>
      <c r="O22" s="7" t="s">
        <v>34</v>
      </c>
      <c r="P22" s="6"/>
      <c r="Q22" s="6" t="s">
        <v>2898</v>
      </c>
      <c r="R22" s="7" t="s">
        <v>34</v>
      </c>
      <c r="S22" s="7" t="s">
        <v>34</v>
      </c>
      <c r="T22" s="6"/>
      <c r="U22" s="6"/>
      <c r="V22" s="7" t="s">
        <v>33</v>
      </c>
      <c r="W22" s="6" t="s">
        <v>2899</v>
      </c>
      <c r="X22" s="7" t="s">
        <v>33</v>
      </c>
      <c r="Y22" s="6" t="s">
        <v>2900</v>
      </c>
      <c r="Z22" s="7" t="s">
        <v>34</v>
      </c>
      <c r="AA22" s="6"/>
      <c r="AB22" s="6" t="s">
        <v>2901</v>
      </c>
      <c r="AC22" s="6" t="s">
        <v>181</v>
      </c>
    </row>
    <row r="23" ht="22.5" customHeight="1">
      <c r="A23" s="11" t="str">
        <f>REGEXEXTRACT(D23, "\d{4}\.\s(.*?)\.\sProc\. ACM")"),"PmTrack: Enabling Personalized mmWave-based Human Tracking</f>
        <v xml:space="preserve">PmTrack: Enabling Personalized mmWave-based Human Tracking</v>
      </c>
      <c r="B23" s="7">
        <f t="shared" si="72"/>
        <v>167</v>
      </c>
      <c r="C23" s="8" t="s">
        <v>2902</v>
      </c>
      <c r="D23" s="6" t="s">
        <v>2903</v>
      </c>
      <c r="E23" s="9">
        <v>46098</v>
      </c>
      <c r="F23" s="7">
        <v>2023</v>
      </c>
      <c r="G23" s="7" t="s">
        <v>31</v>
      </c>
      <c r="H23" s="6" t="str">
        <f t="shared" si="69"/>
        <v>2023_Dec_167</v>
      </c>
      <c r="I23" s="12" t="str">
        <f t="shared" si="70"/>
        <v>https://doi.org/10.1145/3631433</v>
      </c>
      <c r="J23" s="7">
        <f>IF(D23:D61&lt;&gt;"", VALUE(REGEXEXTRACT(D23:D61, "(\d+)\s+pages")), )
</f>
        <v>30</v>
      </c>
      <c r="K23" s="6" t="s">
        <v>64</v>
      </c>
      <c r="L23" s="7" t="str">
        <f t="shared" si="73"/>
        <v>No</v>
      </c>
      <c r="M23" s="7" t="s">
        <v>34</v>
      </c>
      <c r="N23" s="7" t="s">
        <v>33</v>
      </c>
      <c r="O23" s="7" t="s">
        <v>34</v>
      </c>
      <c r="P23" s="6"/>
      <c r="Q23" s="6"/>
      <c r="R23" s="7" t="s">
        <v>34</v>
      </c>
      <c r="S23" s="7" t="s">
        <v>34</v>
      </c>
      <c r="T23" s="6"/>
      <c r="U23" s="6"/>
      <c r="V23" s="7" t="s">
        <v>33</v>
      </c>
      <c r="W23" s="6" t="s">
        <v>2904</v>
      </c>
      <c r="X23" s="7" t="s">
        <v>33</v>
      </c>
      <c r="Y23" s="6" t="s">
        <v>2905</v>
      </c>
      <c r="Z23" s="7" t="s">
        <v>34</v>
      </c>
      <c r="AA23" s="6"/>
      <c r="AB23" s="6" t="s">
        <v>2906</v>
      </c>
      <c r="AC23" s="6" t="s">
        <v>181</v>
      </c>
    </row>
    <row r="24" ht="22.5" customHeight="1">
      <c r="A24" s="11" t="str">
        <f>REGEXEXTRACT(D24, "\d{4}\.\s(.*?)\.\sProc\. ACM")"),"UniFi: A Unified Framework for Generalizable Gesture Recognition with Wi-Fi Signals Using Consistency-guided Multi-View Networks</f>
        <v xml:space="preserve">UniFi: A Unified Framework for Generalizable Gesture Recognition with Wi-Fi Signals Using Consistency-guided Multi-View Networks</v>
      </c>
      <c r="B24" s="7">
        <f t="shared" si="72"/>
        <v>168</v>
      </c>
      <c r="C24" s="8" t="s">
        <v>2907</v>
      </c>
      <c r="D24" s="6" t="s">
        <v>2908</v>
      </c>
      <c r="E24" s="9">
        <v>46098</v>
      </c>
      <c r="F24" s="7">
        <v>2023</v>
      </c>
      <c r="G24" s="7" t="s">
        <v>31</v>
      </c>
      <c r="H24" s="6" t="str">
        <f t="shared" si="69"/>
        <v>2023_Dec_168</v>
      </c>
      <c r="I24" s="12" t="str">
        <f t="shared" si="70"/>
        <v>https://doi.org/10.1145/3631429</v>
      </c>
      <c r="J24" s="7">
        <f>IF(D24:D61&lt;&gt;"", VALUE(REGEXEXTRACT(D24:D61, "(\d+)\s+pages")), )
</f>
        <v>29</v>
      </c>
      <c r="K24" s="6" t="s">
        <v>45</v>
      </c>
      <c r="L24" s="7" t="str">
        <f t="shared" si="73"/>
        <v>No</v>
      </c>
      <c r="M24" s="7" t="s">
        <v>34</v>
      </c>
      <c r="N24" s="7" t="s">
        <v>33</v>
      </c>
      <c r="O24" s="7" t="s">
        <v>34</v>
      </c>
      <c r="P24" s="6"/>
      <c r="Q24" s="6" t="s">
        <v>2909</v>
      </c>
      <c r="R24" s="7" t="s">
        <v>34</v>
      </c>
      <c r="S24" s="7" t="s">
        <v>34</v>
      </c>
      <c r="T24" s="6"/>
      <c r="U24" s="6" t="s">
        <v>2910</v>
      </c>
      <c r="V24" s="7" t="s">
        <v>33</v>
      </c>
      <c r="W24" s="6" t="s">
        <v>2911</v>
      </c>
      <c r="X24" s="7" t="s">
        <v>33</v>
      </c>
      <c r="Y24" s="6" t="s">
        <v>2912</v>
      </c>
      <c r="Z24" s="7" t="s">
        <v>34</v>
      </c>
      <c r="AA24" s="6"/>
      <c r="AB24" s="6" t="s">
        <v>2913</v>
      </c>
      <c r="AC24" s="6" t="s">
        <v>181</v>
      </c>
    </row>
    <row r="25" ht="22.5" customHeight="1">
      <c r="A25" s="11" t="str">
        <f>REGEXEXTRACT(D25, "\d{4}\.\s(.*?)\.\sProc\. ACM")"),"Designing Data Visualisations for Self-Compassion in Personal Informatics</f>
        <v xml:space="preserve">Designing Data Visualisations for Self-Compassion in Personal Informatics</v>
      </c>
      <c r="B25" s="7">
        <f t="shared" si="72"/>
        <v>169</v>
      </c>
      <c r="C25" s="8" t="s">
        <v>2914</v>
      </c>
      <c r="D25" s="6" t="s">
        <v>2915</v>
      </c>
      <c r="E25" s="9">
        <v>46098</v>
      </c>
      <c r="F25" s="7">
        <v>2023</v>
      </c>
      <c r="G25" s="7" t="s">
        <v>31</v>
      </c>
      <c r="H25" s="6" t="str">
        <f t="shared" si="69"/>
        <v>2023_Dec_169</v>
      </c>
      <c r="I25" s="12" t="str">
        <f t="shared" si="70"/>
        <v>https://doi.org/10.1145/3631448</v>
      </c>
      <c r="J25" s="7">
        <f>IF(D25:D61&lt;&gt;"", VALUE(REGEXEXTRACT(D25:D61, "(\d+)\s+pages")), )
</f>
        <v>22</v>
      </c>
      <c r="K25" s="6" t="s">
        <v>42</v>
      </c>
      <c r="L25" s="7" t="str">
        <f t="shared" si="73"/>
        <v>No</v>
      </c>
      <c r="M25" s="7" t="s">
        <v>33</v>
      </c>
      <c r="N25" s="7" t="s">
        <v>34</v>
      </c>
      <c r="O25" s="7" t="s">
        <v>35</v>
      </c>
      <c r="P25" s="6"/>
      <c r="Q25" s="6"/>
      <c r="R25" s="7" t="s">
        <v>34</v>
      </c>
      <c r="S25" s="7" t="s">
        <v>35</v>
      </c>
      <c r="T25" s="6"/>
      <c r="U25" s="6"/>
      <c r="V25" s="7" t="s">
        <v>35</v>
      </c>
      <c r="W25" s="6"/>
      <c r="X25" s="7" t="s">
        <v>35</v>
      </c>
      <c r="Y25" s="13"/>
      <c r="Z25" s="7" t="s">
        <v>35</v>
      </c>
      <c r="AA25" s="6"/>
      <c r="AB25" s="6" t="s">
        <v>2916</v>
      </c>
      <c r="AC25" s="6" t="s">
        <v>181</v>
      </c>
    </row>
    <row r="26" ht="22.5" customHeight="1">
      <c r="A26" s="11" t="str">
        <f>REGEXEXTRACT(D26, "\d{4}\.\s(.*?)\.\sProc\. ACM")"),"ClearSpeech: Improving Voice Quality of Earbuds Using Both In-Ear and Out-Ear Microphones</f>
        <v xml:space="preserve">ClearSpeech: Improving Voice Quality of Earbuds Using Both In-Ear and Out-Ear Microphones</v>
      </c>
      <c r="B26" s="7">
        <f t="shared" si="72"/>
        <v>170</v>
      </c>
      <c r="C26" s="8" t="s">
        <v>2917</v>
      </c>
      <c r="D26" s="6" t="s">
        <v>2918</v>
      </c>
      <c r="E26" s="9">
        <v>46098</v>
      </c>
      <c r="F26" s="7">
        <v>2023</v>
      </c>
      <c r="G26" s="7" t="s">
        <v>31</v>
      </c>
      <c r="H26" s="6" t="str">
        <f t="shared" si="69"/>
        <v>2023_Dec_170</v>
      </c>
      <c r="I26" s="12" t="str">
        <f t="shared" si="70"/>
        <v>https://doi.org/10.1145/3631409</v>
      </c>
      <c r="J26" s="7">
        <f>IF(D26:D61&lt;&gt;"", VALUE(REGEXEXTRACT(D26:D61, "(\d+)\s+pages")), )
</f>
        <v>25</v>
      </c>
      <c r="K26" s="6" t="s">
        <v>133</v>
      </c>
      <c r="L26" s="7" t="str">
        <f t="shared" si="73"/>
        <v>No</v>
      </c>
      <c r="M26" s="7" t="s">
        <v>33</v>
      </c>
      <c r="N26" s="7" t="s">
        <v>33</v>
      </c>
      <c r="O26" s="7" t="s">
        <v>34</v>
      </c>
      <c r="P26" s="6"/>
      <c r="Q26" s="6"/>
      <c r="R26" s="7" t="s">
        <v>33</v>
      </c>
      <c r="S26" s="7" t="s">
        <v>34</v>
      </c>
      <c r="T26" s="6"/>
      <c r="U26" s="6" t="s">
        <v>2919</v>
      </c>
      <c r="V26" s="7" t="s">
        <v>33</v>
      </c>
      <c r="W26" s="6" t="s">
        <v>2920</v>
      </c>
      <c r="X26" s="7" t="s">
        <v>34</v>
      </c>
      <c r="Y26" s="6" t="s">
        <v>2921</v>
      </c>
      <c r="Z26" s="7" t="s">
        <v>34</v>
      </c>
      <c r="AA26" s="6"/>
      <c r="AB26" s="6" t="s">
        <v>2922</v>
      </c>
      <c r="AC26" s="6" t="s">
        <v>181</v>
      </c>
    </row>
    <row r="27" ht="22.5" customHeight="1">
      <c r="A27" s="11" t="str">
        <f>REGEXEXTRACT(D27, "\d{4}\.\s(.*?)\.\sProc\. ACM")"),"ADA-SHARK: A Shark Detection Framework Employing Underwater Cameras and Domain Adversarial Neural Nets</f>
        <v xml:space="preserve">ADA-SHARK: A Shark Detection Framework Employing Underwater Cameras and Domain Adversarial Neural Nets</v>
      </c>
      <c r="B27" s="51">
        <f t="shared" si="72"/>
        <v>171</v>
      </c>
      <c r="C27" s="8" t="s">
        <v>2923</v>
      </c>
      <c r="D27" s="6" t="s">
        <v>2924</v>
      </c>
      <c r="E27" s="9">
        <v>46098</v>
      </c>
      <c r="F27" s="7">
        <v>2023</v>
      </c>
      <c r="G27" s="7" t="s">
        <v>31</v>
      </c>
      <c r="H27" s="6" t="str">
        <f t="shared" si="69"/>
        <v>2023_Dec_171</v>
      </c>
      <c r="I27" s="12" t="str">
        <f t="shared" si="70"/>
        <v>https://doi.org/10.1145/3631416</v>
      </c>
      <c r="J27" s="7">
        <f>IF(D27:D61&lt;&gt;"", VALUE(REGEXEXTRACT(D27:D61, "(\d+)\s+pages")), )
</f>
        <v>25</v>
      </c>
      <c r="K27" s="6" t="s">
        <v>637</v>
      </c>
      <c r="L27" s="7" t="str">
        <f t="shared" si="73"/>
        <v>No</v>
      </c>
      <c r="M27" s="7" t="s">
        <v>33</v>
      </c>
      <c r="N27" s="7" t="s">
        <v>33</v>
      </c>
      <c r="O27" s="7" t="s">
        <v>33</v>
      </c>
      <c r="P27" s="12" t="s">
        <v>2925</v>
      </c>
      <c r="Q27" s="6" t="s">
        <v>2926</v>
      </c>
      <c r="R27" s="7" t="s">
        <v>94</v>
      </c>
      <c r="S27" s="7" t="s">
        <v>94</v>
      </c>
      <c r="T27" s="6"/>
      <c r="U27" s="6" t="s">
        <v>2927</v>
      </c>
      <c r="V27" s="7" t="s">
        <v>34</v>
      </c>
      <c r="W27" s="6"/>
      <c r="X27" s="7" t="s">
        <v>34</v>
      </c>
      <c r="Y27" s="13"/>
      <c r="Z27" s="7" t="s">
        <v>33</v>
      </c>
      <c r="AA27" s="6" t="s">
        <v>2928</v>
      </c>
      <c r="AB27" s="6" t="s">
        <v>2929</v>
      </c>
      <c r="AC27" s="6" t="s">
        <v>181</v>
      </c>
    </row>
    <row r="28" ht="22.5" customHeight="1">
      <c r="A28" s="11" t="str">
        <f>REGEXEXTRACT(D28, "\d{4}\.\s(.*?)\.\sProc\. ACM")"),"Spatial-Temporal Masked Autoencoder for Multi-Device Wearable Human Activity Recognition</f>
        <v xml:space="preserve">Spatial-Temporal Masked Autoencoder for Multi-Device Wearable Human Activity Recognition</v>
      </c>
      <c r="B28" s="51">
        <f t="shared" si="72"/>
        <v>172</v>
      </c>
      <c r="C28" s="8" t="s">
        <v>2930</v>
      </c>
      <c r="D28" s="6" t="s">
        <v>2931</v>
      </c>
      <c r="E28" s="9">
        <v>46099</v>
      </c>
      <c r="F28" s="7">
        <v>2023</v>
      </c>
      <c r="G28" s="7" t="s">
        <v>31</v>
      </c>
      <c r="H28" s="6" t="str">
        <f t="shared" si="69"/>
        <v>2023_Dec_172</v>
      </c>
      <c r="I28" s="12" t="str">
        <f t="shared" si="70"/>
        <v>https://doi.org/10.1145/3631415</v>
      </c>
      <c r="J28" s="7">
        <f>IF(D28:D61&lt;&gt;"", VALUE(REGEXEXTRACT(D28:D61, "(\d+)\s+pages")), )
</f>
        <v>25</v>
      </c>
      <c r="K28" s="6" t="s">
        <v>64</v>
      </c>
      <c r="L28" s="7" t="str">
        <f t="shared" si="73"/>
        <v>No</v>
      </c>
      <c r="M28" s="7" t="s">
        <v>34</v>
      </c>
      <c r="N28" s="7" t="s">
        <v>33</v>
      </c>
      <c r="O28" s="7" t="s">
        <v>33</v>
      </c>
      <c r="P28" s="12" t="s">
        <v>2932</v>
      </c>
      <c r="Q28" s="6"/>
      <c r="R28" s="7" t="s">
        <v>33</v>
      </c>
      <c r="S28" s="7" t="s">
        <v>33</v>
      </c>
      <c r="T28" s="10" t="s">
        <v>2933</v>
      </c>
      <c r="U28" s="6" t="s">
        <v>2934</v>
      </c>
      <c r="V28" s="7" t="s">
        <v>34</v>
      </c>
      <c r="W28" s="6"/>
      <c r="X28" s="7" t="s">
        <v>34</v>
      </c>
      <c r="Y28" s="13"/>
      <c r="Z28" s="7" t="s">
        <v>33</v>
      </c>
      <c r="AA28" s="6" t="s">
        <v>2935</v>
      </c>
      <c r="AB28" s="6" t="s">
        <v>2936</v>
      </c>
      <c r="AC28" s="6" t="s">
        <v>181</v>
      </c>
    </row>
    <row r="29" ht="22.5" customHeight="1">
      <c r="A29" s="11" t="str">
        <f>REGEXEXTRACT(D29, "\d{4}\.\s(.*?)\.\sProc\. ACM")"),"KeyStub: A Passive RFID-based Keypad Interface Using Resonant Stubs</f>
        <v xml:space="preserve">KeyStub: A Passive RFID-based Keypad Interface Using Resonant Stubs</v>
      </c>
      <c r="B29" s="7">
        <f t="shared" si="72"/>
        <v>173</v>
      </c>
      <c r="C29" s="8" t="s">
        <v>2937</v>
      </c>
      <c r="D29" s="6" t="s">
        <v>2938</v>
      </c>
      <c r="E29" s="9">
        <v>46100</v>
      </c>
      <c r="F29" s="7">
        <v>2023</v>
      </c>
      <c r="G29" s="7" t="s">
        <v>31</v>
      </c>
      <c r="H29" s="6" t="str">
        <f t="shared" si="69"/>
        <v>2023_Dec_173</v>
      </c>
      <c r="I29" s="12" t="str">
        <f t="shared" si="70"/>
        <v>https://doi.org/10.1145/3631442</v>
      </c>
      <c r="J29" s="7">
        <f>IF(D29:D61&lt;&gt;"", VALUE(REGEXEXTRACT(D29:D61, "(\d+)\s+pages")), )
</f>
        <v>23</v>
      </c>
      <c r="K29" s="6" t="s">
        <v>668</v>
      </c>
      <c r="L29" s="7" t="str">
        <f t="shared" si="73"/>
        <v>No</v>
      </c>
      <c r="M29" s="7" t="s">
        <v>33</v>
      </c>
      <c r="N29" s="7" t="s">
        <v>33</v>
      </c>
      <c r="O29" s="7" t="s">
        <v>34</v>
      </c>
      <c r="P29" s="6"/>
      <c r="Q29" s="6" t="s">
        <v>2939</v>
      </c>
      <c r="R29" s="7" t="s">
        <v>34</v>
      </c>
      <c r="S29" s="7" t="s">
        <v>34</v>
      </c>
      <c r="T29" s="6"/>
      <c r="U29" s="6"/>
      <c r="V29" s="7" t="s">
        <v>33</v>
      </c>
      <c r="W29" s="6" t="s">
        <v>2940</v>
      </c>
      <c r="X29" s="7" t="s">
        <v>33</v>
      </c>
      <c r="Y29" s="6" t="s">
        <v>2941</v>
      </c>
      <c r="Z29" s="7" t="s">
        <v>34</v>
      </c>
      <c r="AA29" s="6"/>
      <c r="AB29" s="6" t="s">
        <v>2942</v>
      </c>
      <c r="AC29" s="6" t="s">
        <v>181</v>
      </c>
    </row>
    <row r="30" ht="22.5" customHeight="1">
      <c r="A30" s="11" t="str">
        <f>REGEXEXTRACT(D30, "\d{4}\.\s(.*?)\.\sProc\. ACM")"),"Investigating Generalizability of Speech-based Suicidal Ideation Detection Using Mobile Phones</f>
        <v xml:space="preserve">Investigating Generalizability of Speech-based Suicidal Ideation Detection Using Mobile Phones</v>
      </c>
      <c r="B30" s="7">
        <f t="shared" si="72"/>
        <v>174</v>
      </c>
      <c r="C30" s="8" t="s">
        <v>2943</v>
      </c>
      <c r="D30" s="6" t="s">
        <v>2944</v>
      </c>
      <c r="E30" s="9">
        <v>46100</v>
      </c>
      <c r="F30" s="7">
        <v>2023</v>
      </c>
      <c r="G30" s="7" t="s">
        <v>31</v>
      </c>
      <c r="H30" s="6" t="str">
        <f t="shared" si="69"/>
        <v>2023_Dec_174</v>
      </c>
      <c r="I30" s="12" t="str">
        <f t="shared" si="70"/>
        <v>https://doi.org/10.1145/3631452</v>
      </c>
      <c r="J30" s="7">
        <f>IF(D30:D61&lt;&gt;"", VALUE(REGEXEXTRACT(D30:D61, "(\d+)\s+pages")), )
</f>
        <v>38</v>
      </c>
      <c r="K30" s="6" t="s">
        <v>64</v>
      </c>
      <c r="L30" s="7" t="str">
        <f t="shared" si="73"/>
        <v>No</v>
      </c>
      <c r="M30" s="7" t="s">
        <v>33</v>
      </c>
      <c r="N30" s="7" t="s">
        <v>94</v>
      </c>
      <c r="O30" s="7" t="s">
        <v>34</v>
      </c>
      <c r="P30" s="6"/>
      <c r="Q30" s="6" t="s">
        <v>2945</v>
      </c>
      <c r="R30" s="7" t="s">
        <v>33</v>
      </c>
      <c r="S30" s="7" t="s">
        <v>34</v>
      </c>
      <c r="T30" s="6"/>
      <c r="U30" s="6" t="s">
        <v>2946</v>
      </c>
      <c r="V30" s="7" t="s">
        <v>34</v>
      </c>
      <c r="W30" s="6"/>
      <c r="X30" s="7" t="s">
        <v>33</v>
      </c>
      <c r="Y30" s="6" t="s">
        <v>2947</v>
      </c>
      <c r="Z30" s="7" t="s">
        <v>144</v>
      </c>
      <c r="AA30" s="6" t="s">
        <v>2948</v>
      </c>
      <c r="AB30" s="6" t="s">
        <v>2949</v>
      </c>
      <c r="AC30" s="6" t="s">
        <v>181</v>
      </c>
    </row>
    <row r="31" ht="22.5" customHeight="1">
      <c r="A31" s="11" t="str">
        <f>REGEXEXTRACT(D31, "\d{4}\.\s(.*?)\.\sProc\. ACM")"),"A User-Centered Framework to Empower People with Parkinson's Disease</f>
        <v xml:space="preserve">A User-Centered Framework to Empower People with Parkinson's Disease</v>
      </c>
      <c r="B31" s="7">
        <f t="shared" si="72"/>
        <v>175</v>
      </c>
      <c r="C31" s="8" t="s">
        <v>2950</v>
      </c>
      <c r="D31" s="6" t="s">
        <v>2951</v>
      </c>
      <c r="E31" s="9">
        <v>46100</v>
      </c>
      <c r="F31" s="7">
        <v>2023</v>
      </c>
      <c r="G31" s="7" t="s">
        <v>31</v>
      </c>
      <c r="H31" s="6" t="str">
        <f t="shared" si="69"/>
        <v>2023_Dec_175</v>
      </c>
      <c r="I31" s="12" t="str">
        <f t="shared" si="70"/>
        <v>https://doi.org/10.1145/3631430</v>
      </c>
      <c r="J31" s="7">
        <f>IF(D31:D61&lt;&gt;"", VALUE(REGEXEXTRACT(D31:D61, "(\d+)\s+pages")), )
</f>
        <v>29</v>
      </c>
      <c r="K31" s="6" t="s">
        <v>652</v>
      </c>
      <c r="L31" s="7" t="str">
        <f t="shared" si="73"/>
        <v>No</v>
      </c>
      <c r="M31" s="7" t="s">
        <v>33</v>
      </c>
      <c r="N31" s="7" t="s">
        <v>33</v>
      </c>
      <c r="O31" s="7" t="s">
        <v>34</v>
      </c>
      <c r="P31" s="6"/>
      <c r="Q31" s="6"/>
      <c r="R31" s="7" t="s">
        <v>34</v>
      </c>
      <c r="S31" s="7" t="s">
        <v>34</v>
      </c>
      <c r="T31" s="6"/>
      <c r="U31" s="6"/>
      <c r="V31" s="7" t="s">
        <v>34</v>
      </c>
      <c r="W31" s="6"/>
      <c r="X31" s="7" t="s">
        <v>33</v>
      </c>
      <c r="Y31" s="6" t="s">
        <v>2952</v>
      </c>
      <c r="Z31" s="7" t="s">
        <v>144</v>
      </c>
      <c r="AA31" s="6" t="s">
        <v>2953</v>
      </c>
      <c r="AB31" s="6" t="s">
        <v>2954</v>
      </c>
      <c r="AC31" s="6" t="s">
        <v>181</v>
      </c>
    </row>
    <row r="32" ht="22.5" customHeight="1">
      <c r="A32" s="11" t="str">
        <f>REGEXEXTRACT(D32, "\d{4}\.\s(.*?)\.\sProc\. ACM")"),"Conversational Localization: Indoor Human Localization through Intelligent Conversation</f>
        <v xml:space="preserve">Conversational Localization: Indoor Human Localization through Intelligent Conversation</v>
      </c>
      <c r="B32" s="7">
        <f t="shared" si="72"/>
        <v>176</v>
      </c>
      <c r="C32" s="8" t="s">
        <v>2955</v>
      </c>
      <c r="D32" s="6" t="s">
        <v>2956</v>
      </c>
      <c r="E32" s="9">
        <v>46100</v>
      </c>
      <c r="F32" s="7">
        <v>2023</v>
      </c>
      <c r="G32" s="7" t="s">
        <v>31</v>
      </c>
      <c r="H32" s="6" t="str">
        <f t="shared" si="69"/>
        <v>2023_Dec_176</v>
      </c>
      <c r="I32" s="12" t="str">
        <f t="shared" si="70"/>
        <v>https://doi.org/10.1145/3631404</v>
      </c>
      <c r="J32" s="7">
        <f>IF(D32:D61&lt;&gt;"", VALUE(REGEXEXTRACT(D32:D61, "(\d+)\s+pages")), )
</f>
        <v>32</v>
      </c>
      <c r="K32" s="6" t="s">
        <v>133</v>
      </c>
      <c r="L32" s="7" t="str">
        <f t="shared" si="73"/>
        <v>No</v>
      </c>
      <c r="M32" s="7" t="s">
        <v>33</v>
      </c>
      <c r="N32" s="7" t="s">
        <v>33</v>
      </c>
      <c r="O32" s="7" t="s">
        <v>34</v>
      </c>
      <c r="P32" s="6"/>
      <c r="Q32" s="6"/>
      <c r="R32" s="7" t="s">
        <v>34</v>
      </c>
      <c r="S32" s="7" t="s">
        <v>34</v>
      </c>
      <c r="T32" s="6"/>
      <c r="U32" s="6"/>
      <c r="V32" s="7" t="s">
        <v>33</v>
      </c>
      <c r="W32" s="6" t="s">
        <v>2957</v>
      </c>
      <c r="X32" s="7" t="s">
        <v>34</v>
      </c>
      <c r="Y32" s="6" t="s">
        <v>2958</v>
      </c>
      <c r="Z32" s="7" t="s">
        <v>34</v>
      </c>
      <c r="AA32" s="6"/>
      <c r="AB32" s="6" t="s">
        <v>2959</v>
      </c>
      <c r="AC32" s="6" t="s">
        <v>181</v>
      </c>
    </row>
    <row r="33" ht="22.5" customHeight="1">
      <c r="A33" s="11" t="str">
        <f>REGEXEXTRACT(D33, "\d{4}\.\s(.*?)\.\sProc\. ACM")"),"Learning from User-driven Events to Generate Automation Sequences</f>
        <v xml:space="preserve">Learning from User-driven Events to Generate Automation Sequences</v>
      </c>
      <c r="B33" s="7">
        <f t="shared" si="72"/>
        <v>177</v>
      </c>
      <c r="C33" s="8" t="s">
        <v>2960</v>
      </c>
      <c r="D33" s="6" t="s">
        <v>2961</v>
      </c>
      <c r="E33" s="9">
        <v>46100</v>
      </c>
      <c r="F33" s="7">
        <v>2023</v>
      </c>
      <c r="G33" s="7" t="s">
        <v>31</v>
      </c>
      <c r="H33" s="6" t="str">
        <f t="shared" si="69"/>
        <v>2023_Dec_177</v>
      </c>
      <c r="I33" s="12" t="str">
        <f t="shared" si="70"/>
        <v>https://doi.org/10.1145/3631427</v>
      </c>
      <c r="J33" s="7">
        <f>IF(D33:D61&lt;&gt;"", VALUE(REGEXEXTRACT(D33:D61, "(\d+)\s+pages")), )
</f>
        <v>22</v>
      </c>
      <c r="K33" s="6" t="s">
        <v>133</v>
      </c>
      <c r="L33" s="7" t="str">
        <f t="shared" si="73"/>
        <v>No</v>
      </c>
      <c r="M33" s="7" t="s">
        <v>34</v>
      </c>
      <c r="N33" s="7" t="s">
        <v>33</v>
      </c>
      <c r="O33" s="7" t="s">
        <v>34</v>
      </c>
      <c r="P33" s="6"/>
      <c r="Q33" s="6"/>
      <c r="R33" s="7" t="s">
        <v>33</v>
      </c>
      <c r="S33" s="7" t="s">
        <v>34</v>
      </c>
      <c r="T33" s="6"/>
      <c r="U33" s="6" t="s">
        <v>2962</v>
      </c>
      <c r="V33" s="7" t="s">
        <v>33</v>
      </c>
      <c r="W33" s="6" t="s">
        <v>2963</v>
      </c>
      <c r="X33" s="7" t="s">
        <v>34</v>
      </c>
      <c r="Y33" s="6" t="s">
        <v>1731</v>
      </c>
      <c r="Z33" s="7" t="s">
        <v>34</v>
      </c>
      <c r="AA33" s="6"/>
      <c r="AB33" s="6" t="s">
        <v>2964</v>
      </c>
      <c r="AC33" s="6" t="s">
        <v>181</v>
      </c>
    </row>
    <row r="34" ht="22.5" customHeight="1">
      <c r="A34" s="11" t="str">
        <f>REGEXEXTRACT(D34, "\d{4}\.\s(.*?)\.\sProc\. ACM")"),"Laser-Powered Vibrotactile Rendering</f>
        <v xml:space="preserve">Laser-Powered Vibrotactile Rendering</v>
      </c>
      <c r="B34" s="7">
        <f t="shared" si="72"/>
        <v>178</v>
      </c>
      <c r="C34" s="8" t="s">
        <v>2965</v>
      </c>
      <c r="D34" s="6" t="s">
        <v>2966</v>
      </c>
      <c r="E34" s="9">
        <v>46102</v>
      </c>
      <c r="F34" s="7">
        <v>2023</v>
      </c>
      <c r="G34" s="7" t="s">
        <v>31</v>
      </c>
      <c r="H34" s="6" t="str">
        <f t="shared" si="69"/>
        <v>2023_Dec_178</v>
      </c>
      <c r="I34" s="12" t="str">
        <f t="shared" si="70"/>
        <v>https://doi.org/10.1145/3631449</v>
      </c>
      <c r="J34" s="7">
        <f>IF(D34:D61&lt;&gt;"", VALUE(REGEXEXTRACT(D34:D61, "(\d+)\s+pages")), )
</f>
        <v>25</v>
      </c>
      <c r="K34" s="6" t="s">
        <v>164</v>
      </c>
      <c r="L34" s="7" t="str">
        <f t="shared" si="73"/>
        <v>No</v>
      </c>
      <c r="M34" s="7" t="s">
        <v>34</v>
      </c>
      <c r="N34" s="7" t="s">
        <v>33</v>
      </c>
      <c r="O34" s="7" t="s">
        <v>34</v>
      </c>
      <c r="P34" s="6"/>
      <c r="Q34" s="6" t="s">
        <v>2967</v>
      </c>
      <c r="R34" s="7" t="s">
        <v>34</v>
      </c>
      <c r="S34" s="7" t="s">
        <v>34</v>
      </c>
      <c r="T34" s="6"/>
      <c r="U34" s="6"/>
      <c r="V34" s="7" t="s">
        <v>33</v>
      </c>
      <c r="W34" s="6" t="s">
        <v>2968</v>
      </c>
      <c r="X34" s="7" t="s">
        <v>34</v>
      </c>
      <c r="Y34" s="13"/>
      <c r="Z34" s="7" t="s">
        <v>34</v>
      </c>
      <c r="AA34" s="6"/>
      <c r="AB34" s="6" t="s">
        <v>2969</v>
      </c>
      <c r="AC34" s="6" t="s">
        <v>181</v>
      </c>
    </row>
    <row r="35" ht="22.5" customHeight="1">
      <c r="A35" s="11" t="str">
        <f>REGEXEXTRACT(D35, "\d{4}\.\s(.*?)\.\sProc\. ACM")"),"HapticPilot: Authoring In-situ Hand Posture-Adaptive Vibrotactile Feedback for Virtual Reality</f>
        <v xml:space="preserve">HapticPilot: Authoring In-situ Hand Posture-Adaptive Vibrotactile Feedback for Virtual Reality</v>
      </c>
      <c r="B35" s="7">
        <f t="shared" si="72"/>
        <v>179</v>
      </c>
      <c r="C35" s="8" t="s">
        <v>2970</v>
      </c>
      <c r="D35" s="6" t="s">
        <v>2971</v>
      </c>
      <c r="E35" s="9">
        <v>46102</v>
      </c>
      <c r="F35" s="7">
        <v>2023</v>
      </c>
      <c r="G35" s="7" t="s">
        <v>31</v>
      </c>
      <c r="H35" s="6" t="str">
        <f t="shared" si="69"/>
        <v>2023_Dec_179</v>
      </c>
      <c r="I35" s="12" t="str">
        <f t="shared" si="70"/>
        <v>https://doi.org/10.1145/3631453</v>
      </c>
      <c r="J35" s="7">
        <f>IF(D35:D61&lt;&gt;"", VALUE(REGEXEXTRACT(D35:D61, "(\d+)\s+pages")), )
</f>
        <v>28</v>
      </c>
      <c r="K35" s="6" t="s">
        <v>133</v>
      </c>
      <c r="L35" s="7" t="str">
        <f t="shared" si="73"/>
        <v>No</v>
      </c>
      <c r="M35" s="7" t="s">
        <v>33</v>
      </c>
      <c r="N35" s="7" t="s">
        <v>33</v>
      </c>
      <c r="O35" s="7" t="s">
        <v>34</v>
      </c>
      <c r="P35" s="6"/>
      <c r="Q35" s="6"/>
      <c r="R35" s="7" t="s">
        <v>34</v>
      </c>
      <c r="S35" s="7" t="s">
        <v>34</v>
      </c>
      <c r="T35" s="6"/>
      <c r="U35" s="6"/>
      <c r="V35" s="7" t="s">
        <v>33</v>
      </c>
      <c r="W35" s="6" t="s">
        <v>2972</v>
      </c>
      <c r="X35" s="7" t="s">
        <v>34</v>
      </c>
      <c r="Y35" s="6" t="s">
        <v>2973</v>
      </c>
      <c r="Z35" s="7" t="s">
        <v>34</v>
      </c>
      <c r="AA35" s="6"/>
      <c r="AB35" s="6" t="s">
        <v>2974</v>
      </c>
      <c r="AC35" s="6" t="s">
        <v>181</v>
      </c>
    </row>
    <row r="36" ht="22.5" customHeight="1">
      <c r="A36" s="11" t="str">
        <f>REGEXEXTRACT(D36, "\d{4}\.\s(.*?)\.\sProc\. ACM")"),"Driver Maneuver Interaction Identification with Anomaly-Aware Federated Learning on Heterogeneous Feature Representations</f>
        <v xml:space="preserve">Driver Maneuver Interaction Identification with Anomaly-Aware Federated Learning on Heterogeneous Feature Representations</v>
      </c>
      <c r="B36" s="7">
        <f t="shared" si="72"/>
        <v>180</v>
      </c>
      <c r="C36" s="8" t="s">
        <v>2975</v>
      </c>
      <c r="D36" s="6" t="s">
        <v>2976</v>
      </c>
      <c r="E36" s="9">
        <v>46102</v>
      </c>
      <c r="F36" s="7">
        <v>2023</v>
      </c>
      <c r="G36" s="7" t="s">
        <v>31</v>
      </c>
      <c r="H36" s="6" t="str">
        <f t="shared" si="69"/>
        <v>2023_Dec_180</v>
      </c>
      <c r="I36" s="12" t="str">
        <f t="shared" si="70"/>
        <v>https://doi.org/10.1145/3631421</v>
      </c>
      <c r="J36" s="7">
        <f>IF(D36:D61&lt;&gt;"", VALUE(REGEXEXTRACT(D36:D61, "(\d+)\s+pages")), )
</f>
        <v>28</v>
      </c>
      <c r="K36" s="6" t="s">
        <v>64</v>
      </c>
      <c r="L36" s="7" t="str">
        <f t="shared" si="73"/>
        <v>No</v>
      </c>
      <c r="M36" s="7" t="s">
        <v>34</v>
      </c>
      <c r="N36" s="7" t="s">
        <v>33</v>
      </c>
      <c r="O36" s="7" t="s">
        <v>34</v>
      </c>
      <c r="P36" s="6"/>
      <c r="Q36" s="6"/>
      <c r="R36" s="7" t="s">
        <v>33</v>
      </c>
      <c r="S36" s="7" t="s">
        <v>34</v>
      </c>
      <c r="T36" s="6"/>
      <c r="U36" s="6" t="s">
        <v>2977</v>
      </c>
      <c r="V36" s="7" t="s">
        <v>34</v>
      </c>
      <c r="W36" s="6" t="s">
        <v>2978</v>
      </c>
      <c r="X36" s="7" t="s">
        <v>34</v>
      </c>
      <c r="Y36" s="6" t="s">
        <v>2979</v>
      </c>
      <c r="Z36" s="7" t="s">
        <v>34</v>
      </c>
      <c r="AA36" s="6"/>
      <c r="AB36" s="6" t="s">
        <v>2980</v>
      </c>
      <c r="AC36" s="6" t="s">
        <v>181</v>
      </c>
    </row>
    <row r="37" ht="22.5" customHeight="1">
      <c r="A37" s="11" t="str">
        <f>REGEXEXTRACT(D37, "\d{4}\.\s(.*?)\.\sProc\. ACM")"),"Aragorn: A Privacy-Enhancing System for Mobile Cameras</f>
        <v xml:space="preserve">Aragorn: A Privacy-Enhancing System for Mobile Cameras</v>
      </c>
      <c r="B37" s="7">
        <f t="shared" si="72"/>
        <v>181</v>
      </c>
      <c r="C37" s="8" t="s">
        <v>2981</v>
      </c>
      <c r="D37" s="6" t="s">
        <v>2982</v>
      </c>
      <c r="E37" s="9">
        <v>46102</v>
      </c>
      <c r="F37" s="7">
        <v>2023</v>
      </c>
      <c r="G37" s="7" t="s">
        <v>31</v>
      </c>
      <c r="H37" s="6" t="str">
        <f t="shared" si="69"/>
        <v>2023_Dec_181</v>
      </c>
      <c r="I37" s="12" t="str">
        <f t="shared" si="70"/>
        <v>https://doi.org/10.1145/3631406</v>
      </c>
      <c r="J37" s="7">
        <f>IF(D37:D61&lt;&gt;"", VALUE(REGEXEXTRACT(D37:D61, "(\d+)\s+pages")), )
</f>
        <v>31</v>
      </c>
      <c r="K37" s="6" t="s">
        <v>652</v>
      </c>
      <c r="L37" s="7" t="str">
        <f t="shared" si="73"/>
        <v>No</v>
      </c>
      <c r="M37" s="7" t="s">
        <v>33</v>
      </c>
      <c r="N37" s="7" t="s">
        <v>33</v>
      </c>
      <c r="O37" s="7" t="s">
        <v>33</v>
      </c>
      <c r="P37" s="10" t="s">
        <v>2983</v>
      </c>
      <c r="Q37" s="6"/>
      <c r="R37" s="7" t="s">
        <v>33</v>
      </c>
      <c r="S37" s="7" t="s">
        <v>34</v>
      </c>
      <c r="T37" s="6"/>
      <c r="U37" s="6"/>
      <c r="V37" s="7" t="s">
        <v>34</v>
      </c>
      <c r="W37" s="6" t="s">
        <v>2984</v>
      </c>
      <c r="X37" s="7" t="s">
        <v>34</v>
      </c>
      <c r="Y37" s="6" t="s">
        <v>2985</v>
      </c>
      <c r="Z37" s="7" t="s">
        <v>34</v>
      </c>
      <c r="AA37" s="6" t="s">
        <v>2986</v>
      </c>
      <c r="AB37" s="6" t="s">
        <v>2987</v>
      </c>
      <c r="AC37" s="6" t="s">
        <v>181</v>
      </c>
    </row>
    <row r="38" ht="22.5" customHeight="1">
      <c r="A38" s="11" t="str">
        <f>REGEXEXTRACT(D38, "\d{4}\.\s(.*?)\.\sProc\. ACM")"),"Orientation-Aware 3D SLAM in Alternating Magnetic Field from Powerlines</f>
        <v xml:space="preserve">Orientation-Aware 3D SLAM in Alternating Magnetic Field from Powerlines</v>
      </c>
      <c r="B38" s="7">
        <f t="shared" si="72"/>
        <v>182</v>
      </c>
      <c r="C38" s="8" t="s">
        <v>2988</v>
      </c>
      <c r="D38" s="6" t="s">
        <v>2989</v>
      </c>
      <c r="E38" s="9">
        <v>46102</v>
      </c>
      <c r="F38" s="7">
        <v>2023</v>
      </c>
      <c r="G38" s="7" t="s">
        <v>31</v>
      </c>
      <c r="H38" s="6" t="str">
        <f t="shared" si="69"/>
        <v>2023_Dec_182</v>
      </c>
      <c r="I38" s="12" t="str">
        <f t="shared" si="70"/>
        <v>https://doi.org/10.1145/3631446</v>
      </c>
      <c r="J38" s="7">
        <f>IF(D38:D61&lt;&gt;"", VALUE(REGEXEXTRACT(D38:D61, "(\d+)\s+pages")), )
</f>
        <v>25</v>
      </c>
      <c r="K38" s="6" t="s">
        <v>45</v>
      </c>
      <c r="L38" s="7" t="str">
        <f t="shared" si="73"/>
        <v>No</v>
      </c>
      <c r="M38" s="7" t="s">
        <v>33</v>
      </c>
      <c r="N38" s="7" t="s">
        <v>34</v>
      </c>
      <c r="O38" s="7" t="s">
        <v>34</v>
      </c>
      <c r="P38" s="6"/>
      <c r="Q38" s="6"/>
      <c r="R38" s="7" t="s">
        <v>34</v>
      </c>
      <c r="S38" s="7" t="s">
        <v>34</v>
      </c>
      <c r="T38" s="6"/>
      <c r="U38" s="6"/>
      <c r="V38" s="7" t="s">
        <v>33</v>
      </c>
      <c r="W38" s="6" t="s">
        <v>2990</v>
      </c>
      <c r="X38" s="7" t="s">
        <v>34</v>
      </c>
      <c r="Y38" s="6" t="s">
        <v>2991</v>
      </c>
      <c r="Z38" s="7" t="s">
        <v>34</v>
      </c>
      <c r="AA38" s="6"/>
      <c r="AB38" s="6" t="s">
        <v>2992</v>
      </c>
      <c r="AC38" s="6" t="s">
        <v>181</v>
      </c>
    </row>
    <row r="39" ht="22.5" customHeight="1">
      <c r="A39" s="11" t="str">
        <f>REGEXEXTRACT(D39, "\d{4}\.\s(.*?)\.\sProc\. ACM")"),"Optimization-Free Test-Time Adaptation for Cross-Person Activity Recognition</f>
        <v xml:space="preserve">Optimization-Free Test-Time Adaptation for Cross-Person Activity Recognition</v>
      </c>
      <c r="B39" s="51">
        <f t="shared" si="72"/>
        <v>183</v>
      </c>
      <c r="C39" s="8" t="s">
        <v>2993</v>
      </c>
      <c r="D39" s="6" t="s">
        <v>2994</v>
      </c>
      <c r="E39" s="9">
        <v>46103</v>
      </c>
      <c r="F39" s="7">
        <v>2023</v>
      </c>
      <c r="G39" s="7" t="s">
        <v>31</v>
      </c>
      <c r="H39" s="6" t="str">
        <f t="shared" si="69"/>
        <v>2023_Dec_183</v>
      </c>
      <c r="I39" s="12" t="str">
        <f t="shared" si="70"/>
        <v>https://doi.org/10.1145/3631450</v>
      </c>
      <c r="J39" s="7">
        <f>IF(D39:D61&lt;&gt;"", VALUE(REGEXEXTRACT(D39:D61, "(\d+)\s+pages")), )
</f>
        <v>27</v>
      </c>
      <c r="K39" s="6" t="s">
        <v>64</v>
      </c>
      <c r="L39" s="7" t="str">
        <f t="shared" si="73"/>
        <v>No</v>
      </c>
      <c r="M39" s="7" t="s">
        <v>33</v>
      </c>
      <c r="N39" s="7" t="s">
        <v>33</v>
      </c>
      <c r="O39" s="7" t="s">
        <v>33</v>
      </c>
      <c r="P39" s="10" t="s">
        <v>2995</v>
      </c>
      <c r="Q39" s="6"/>
      <c r="R39" s="7" t="s">
        <v>34</v>
      </c>
      <c r="S39" s="7" t="s">
        <v>34</v>
      </c>
      <c r="T39" s="6"/>
      <c r="U39" s="6" t="s">
        <v>2996</v>
      </c>
      <c r="V39" s="7" t="s">
        <v>34</v>
      </c>
      <c r="W39" s="6" t="s">
        <v>2997</v>
      </c>
      <c r="X39" s="7" t="s">
        <v>34</v>
      </c>
      <c r="Y39" s="6" t="s">
        <v>2998</v>
      </c>
      <c r="Z39" s="7" t="s">
        <v>33</v>
      </c>
      <c r="AA39" s="6" t="s">
        <v>2999</v>
      </c>
      <c r="AB39" s="6" t="s">
        <v>3000</v>
      </c>
      <c r="AC39" s="6" t="s">
        <v>181</v>
      </c>
    </row>
    <row r="40" ht="22.5" customHeight="1">
      <c r="A40" s="11" t="str">
        <f>REGEXEXTRACT(D40, "\d{4}\.\s(.*?)\.\sProc\. ACM")"),"TextureSight: Texture Detection for Routine Activity Awareness with Wearable Laser Speckle Imaging</f>
        <v xml:space="preserve">TextureSight: Texture Detection for Routine Activity Awareness with Wearable Laser Speckle Imaging</v>
      </c>
      <c r="B40" s="7">
        <f t="shared" si="72"/>
        <v>184</v>
      </c>
      <c r="C40" s="8" t="s">
        <v>3001</v>
      </c>
      <c r="D40" s="6" t="s">
        <v>3002</v>
      </c>
      <c r="E40" s="9">
        <v>46103</v>
      </c>
      <c r="F40" s="7">
        <v>2023</v>
      </c>
      <c r="G40" s="7" t="s">
        <v>31</v>
      </c>
      <c r="H40" s="6" t="str">
        <f t="shared" si="69"/>
        <v>2023_Dec_184</v>
      </c>
      <c r="I40" s="12" t="str">
        <f t="shared" si="70"/>
        <v>https://doi.org/10.1145/3631413</v>
      </c>
      <c r="J40" s="7">
        <f>IF(D40:D61&lt;&gt;"", VALUE(REGEXEXTRACT(D40:D61, "(\d+)\s+pages")), )
</f>
        <v>27</v>
      </c>
      <c r="K40" s="6" t="s">
        <v>217</v>
      </c>
      <c r="L40" s="7" t="str">
        <f t="shared" si="73"/>
        <v>No</v>
      </c>
      <c r="M40" s="7" t="s">
        <v>33</v>
      </c>
      <c r="N40" s="7" t="s">
        <v>33</v>
      </c>
      <c r="O40" s="7" t="s">
        <v>34</v>
      </c>
      <c r="P40" s="6"/>
      <c r="Q40" s="6" t="s">
        <v>3003</v>
      </c>
      <c r="R40" s="7" t="s">
        <v>33</v>
      </c>
      <c r="S40" s="7" t="s">
        <v>34</v>
      </c>
      <c r="T40" s="6"/>
      <c r="U40" s="6" t="s">
        <v>3004</v>
      </c>
      <c r="V40" s="7" t="s">
        <v>33</v>
      </c>
      <c r="W40" s="6" t="s">
        <v>3005</v>
      </c>
      <c r="X40" s="7" t="s">
        <v>34</v>
      </c>
      <c r="Y40" s="6" t="s">
        <v>3006</v>
      </c>
      <c r="Z40" s="7" t="s">
        <v>34</v>
      </c>
      <c r="AA40" s="6"/>
      <c r="AB40" s="6" t="s">
        <v>3007</v>
      </c>
      <c r="AC40" s="6" t="s">
        <v>181</v>
      </c>
    </row>
    <row r="41" ht="22.5" customHeight="1">
      <c r="A41" s="14" t="str">
        <f>REGEXEXTRACT(D41, "\d{4}\.\s(.*?)\.\sProc\. ACM")"),"ToothFairy: Real-time Tooth-by-tooth Brushing Monitor Using Earphone Reversed Signals</f>
        <v xml:space="preserve">ToothFairy: Real-time Tooth-by-tooth Brushing Monitor Using Earphone Reversed Signals</v>
      </c>
      <c r="B41" s="15">
        <f t="shared" si="72"/>
        <v>185</v>
      </c>
      <c r="C41" s="16" t="s">
        <v>3008</v>
      </c>
      <c r="D41" s="17" t="s">
        <v>3009</v>
      </c>
      <c r="E41" s="18">
        <v>46103</v>
      </c>
      <c r="F41" s="15">
        <v>2023</v>
      </c>
      <c r="G41" s="15" t="s">
        <v>31</v>
      </c>
      <c r="H41" s="17" t="str">
        <f t="shared" si="69"/>
        <v>2023_Dec_185</v>
      </c>
      <c r="I41" s="19" t="str">
        <f t="shared" si="70"/>
        <v>https://doi.org/10.1145/3631412</v>
      </c>
      <c r="J41" s="15">
        <f>IF(D41:D61&lt;&gt;"", VALUE(REGEXEXTRACT(D41:D61, "(\d+)\s+pages")), )
</f>
        <v>19</v>
      </c>
      <c r="K41" s="17" t="s">
        <v>652</v>
      </c>
      <c r="L41" s="15" t="str">
        <f t="shared" si="73"/>
        <v>No</v>
      </c>
      <c r="M41" s="15" t="s">
        <v>34</v>
      </c>
      <c r="N41" s="15" t="s">
        <v>33</v>
      </c>
      <c r="O41" s="15" t="s">
        <v>34</v>
      </c>
      <c r="P41" s="17"/>
      <c r="Q41" s="17"/>
      <c r="R41" s="15" t="s">
        <v>34</v>
      </c>
      <c r="S41" s="15" t="s">
        <v>34</v>
      </c>
      <c r="T41" s="17"/>
      <c r="U41" s="17"/>
      <c r="V41" s="15" t="s">
        <v>34</v>
      </c>
      <c r="W41" s="17" t="s">
        <v>3010</v>
      </c>
      <c r="X41" s="15" t="s">
        <v>34</v>
      </c>
      <c r="Y41" s="17" t="s">
        <v>3011</v>
      </c>
      <c r="Z41" s="15" t="s">
        <v>34</v>
      </c>
      <c r="AA41" s="17"/>
      <c r="AB41" s="17" t="s">
        <v>3012</v>
      </c>
      <c r="AC41" s="17" t="s">
        <v>181</v>
      </c>
    </row>
    <row r="42" ht="22.5" customHeight="1">
      <c r="A42" s="11" t="str">
        <f>REGEXEXTRACT(D42, "\d{4}\.\s(.*?)\.\sProc\. ACM")"),"LiqDetector: Enabling Container-Independent Liquid Detection with mmWave Signals Based on a Dual-Reflection Model</f>
        <v xml:space="preserve">LiqDetector: Enabling Container-Independent Liquid Detection with mmWave Signals Based on a Dual-Reflection Model</v>
      </c>
      <c r="B42" s="7">
        <f t="shared" si="72"/>
        <v>186</v>
      </c>
      <c r="C42" s="8" t="s">
        <v>3013</v>
      </c>
      <c r="D42" s="6" t="s">
        <v>3014</v>
      </c>
      <c r="E42" s="9">
        <v>45985</v>
      </c>
      <c r="F42" s="7">
        <v>2023</v>
      </c>
      <c r="G42" s="7" t="s">
        <v>31</v>
      </c>
      <c r="H42" s="6" t="str">
        <f t="shared" si="69"/>
        <v>2023_Dec_186</v>
      </c>
      <c r="I42" s="12" t="str">
        <f t="shared" si="70"/>
        <v>https://doi.org/10.1145/3631443</v>
      </c>
      <c r="J42" s="7">
        <f>IF(D42:D61&lt;&gt;"", VALUE(REGEXEXTRACT(D42:D61, "(\d+)\s+pages")), )
</f>
        <v>24</v>
      </c>
      <c r="K42" s="6" t="s">
        <v>777</v>
      </c>
      <c r="L42" s="7" t="str">
        <f t="shared" si="73"/>
        <v>No</v>
      </c>
      <c r="M42" s="7" t="s">
        <v>34</v>
      </c>
      <c r="N42" s="7" t="s">
        <v>33</v>
      </c>
      <c r="O42" s="7" t="s">
        <v>34</v>
      </c>
      <c r="P42" s="6"/>
      <c r="Q42" s="6" t="s">
        <v>3015</v>
      </c>
      <c r="R42" s="7" t="s">
        <v>33</v>
      </c>
      <c r="S42" s="7" t="s">
        <v>34</v>
      </c>
      <c r="T42" s="6"/>
      <c r="U42" s="6" t="s">
        <v>3016</v>
      </c>
      <c r="V42" s="7" t="s">
        <v>33</v>
      </c>
      <c r="W42" s="6" t="s">
        <v>3017</v>
      </c>
      <c r="X42" s="7" t="s">
        <v>33</v>
      </c>
      <c r="Y42" s="6" t="s">
        <v>3018</v>
      </c>
      <c r="Z42" s="7" t="s">
        <v>34</v>
      </c>
      <c r="AA42" s="6" t="s">
        <v>2496</v>
      </c>
      <c r="AB42" s="6" t="s">
        <v>3019</v>
      </c>
      <c r="AC42" s="6" t="s">
        <v>355</v>
      </c>
    </row>
    <row r="43" ht="22.5" customHeight="1">
      <c r="A43" s="11" t="str">
        <f>REGEXEXTRACT(D43, "\d{4}\.\s(.*?)\.\sProc\. ACM")"),"AdaStreamLite: Environment-adaptive Streaming Speech Recognition on Mobile Devices</f>
        <v xml:space="preserve">AdaStreamLite: Environment-adaptive Streaming Speech Recognition on Mobile Devices</v>
      </c>
      <c r="B43" s="7">
        <f t="shared" si="72"/>
        <v>187</v>
      </c>
      <c r="C43" s="8" t="s">
        <v>3020</v>
      </c>
      <c r="D43" s="6" t="s">
        <v>3021</v>
      </c>
      <c r="E43" s="9">
        <v>45985</v>
      </c>
      <c r="F43" s="7">
        <v>2023</v>
      </c>
      <c r="G43" s="7" t="s">
        <v>31</v>
      </c>
      <c r="H43" s="6" t="str">
        <f t="shared" si="69"/>
        <v>2023_Dec_187</v>
      </c>
      <c r="I43" s="12" t="str">
        <f t="shared" si="70"/>
        <v>https://doi.org/10.1145/3631460</v>
      </c>
      <c r="J43" s="7">
        <f>IF(D43:D61&lt;&gt;"", VALUE(REGEXEXTRACT(D43:D61, "(\d+)\s+pages")), )
</f>
        <v>29</v>
      </c>
      <c r="K43" s="6" t="s">
        <v>133</v>
      </c>
      <c r="L43" s="7" t="str">
        <f t="shared" si="73"/>
        <v>No</v>
      </c>
      <c r="M43" s="7" t="s">
        <v>34</v>
      </c>
      <c r="N43" s="7" t="s">
        <v>33</v>
      </c>
      <c r="O43" s="7" t="s">
        <v>34</v>
      </c>
      <c r="P43" s="6"/>
      <c r="Q43" s="6" t="s">
        <v>3022</v>
      </c>
      <c r="R43" s="7" t="s">
        <v>33</v>
      </c>
      <c r="S43" s="7" t="s">
        <v>33</v>
      </c>
      <c r="T43" s="6"/>
      <c r="U43" s="6" t="s">
        <v>3023</v>
      </c>
      <c r="V43" s="7" t="s">
        <v>33</v>
      </c>
      <c r="W43" s="6" t="s">
        <v>3024</v>
      </c>
      <c r="X43" s="7" t="s">
        <v>34</v>
      </c>
      <c r="Y43" s="6" t="s">
        <v>3025</v>
      </c>
      <c r="Z43" s="7" t="s">
        <v>34</v>
      </c>
      <c r="AA43" s="6" t="s">
        <v>2496</v>
      </c>
      <c r="AB43" s="6" t="s">
        <v>3026</v>
      </c>
      <c r="AC43" s="6" t="s">
        <v>355</v>
      </c>
    </row>
    <row r="44" ht="22.5" customHeight="1">
      <c r="A44" s="11" t="str">
        <f>REGEXEXTRACT(D44, "\d{4}\.\s(.*?)\.\sProc\. ACM")"),"TS2ACT: Few-Shot Human Activity Sensing with Cross-Modal Co-Learning</f>
        <v xml:space="preserve">TS2ACT: Few-Shot Human Activity Sensing with Cross-Modal Co-Learning</v>
      </c>
      <c r="B44" s="7">
        <f t="shared" si="72"/>
        <v>188</v>
      </c>
      <c r="C44" s="8" t="s">
        <v>3027</v>
      </c>
      <c r="D44" s="6" t="s">
        <v>3028</v>
      </c>
      <c r="E44" s="9">
        <v>45985</v>
      </c>
      <c r="F44" s="7">
        <v>2023</v>
      </c>
      <c r="G44" s="7" t="s">
        <v>31</v>
      </c>
      <c r="H44" s="6" t="str">
        <f t="shared" si="69"/>
        <v>2023_Dec_188</v>
      </c>
      <c r="I44" s="12" t="str">
        <f t="shared" si="70"/>
        <v>https://doi.org/10.1145/3631445</v>
      </c>
      <c r="J44" s="7">
        <f>IF(D44:D61&lt;&gt;"", VALUE(REGEXEXTRACT(D44:D61, "(\d+)\s+pages")), )
</f>
        <v>22</v>
      </c>
      <c r="K44" s="6" t="s">
        <v>64</v>
      </c>
      <c r="L44" s="7" t="str">
        <f t="shared" si="73"/>
        <v>No</v>
      </c>
      <c r="M44" s="7" t="s">
        <v>34</v>
      </c>
      <c r="N44" s="7" t="s">
        <v>33</v>
      </c>
      <c r="O44" s="7" t="s">
        <v>33</v>
      </c>
      <c r="P44" s="12" t="s">
        <v>3029</v>
      </c>
      <c r="Q44" s="6" t="s">
        <v>3030</v>
      </c>
      <c r="R44" s="7" t="s">
        <v>33</v>
      </c>
      <c r="S44" s="7" t="s">
        <v>33</v>
      </c>
      <c r="T44" s="6"/>
      <c r="U44" s="6" t="s">
        <v>3031</v>
      </c>
      <c r="V44" s="7" t="s">
        <v>33</v>
      </c>
      <c r="W44" s="6" t="s">
        <v>3032</v>
      </c>
      <c r="X44" s="7" t="s">
        <v>34</v>
      </c>
      <c r="Y44" s="6" t="s">
        <v>3033</v>
      </c>
      <c r="Z44" s="7" t="s">
        <v>34</v>
      </c>
      <c r="AA44" s="6" t="s">
        <v>3034</v>
      </c>
      <c r="AB44" s="6" t="s">
        <v>3035</v>
      </c>
      <c r="AC44" s="6" t="s">
        <v>355</v>
      </c>
    </row>
    <row r="45" ht="22.5" customHeight="1">
      <c r="A45" s="11" t="str">
        <f>REGEXEXTRACT(D45, "\d{4}\.\s(.*?)\.\sProc\. ACM")"),"Reading Between the Heat: Co-Teaching Body Thermal Signatures for Non-intrusive Stress Detection</f>
        <v xml:space="preserve">Reading Between the Heat: Co-Teaching Body Thermal Signatures for Non-intrusive Stress Detection</v>
      </c>
      <c r="B45" s="7">
        <f t="shared" si="72"/>
        <v>189</v>
      </c>
      <c r="C45" s="8" t="s">
        <v>3036</v>
      </c>
      <c r="D45" s="6" t="s">
        <v>3037</v>
      </c>
      <c r="E45" s="9">
        <v>45985</v>
      </c>
      <c r="F45" s="7">
        <v>2023</v>
      </c>
      <c r="G45" s="7" t="s">
        <v>31</v>
      </c>
      <c r="H45" s="6" t="str">
        <f t="shared" si="69"/>
        <v>2023_Dec_189</v>
      </c>
      <c r="I45" s="12" t="str">
        <f t="shared" si="70"/>
        <v>https://doi.org/10.1145/3631441</v>
      </c>
      <c r="J45" s="7">
        <f>IF(D45:D61&lt;&gt;"", VALUE(REGEXEXTRACT(D45:D61, "(\d+)\s+pages")), )
</f>
        <v>30</v>
      </c>
      <c r="K45" s="6" t="s">
        <v>32</v>
      </c>
      <c r="L45" s="7" t="str">
        <f t="shared" si="73"/>
        <v>No</v>
      </c>
      <c r="M45" s="7" t="s">
        <v>33</v>
      </c>
      <c r="N45" s="7" t="s">
        <v>33</v>
      </c>
      <c r="O45" s="7" t="s">
        <v>34</v>
      </c>
      <c r="P45" s="6"/>
      <c r="Q45" s="6" t="s">
        <v>2518</v>
      </c>
      <c r="R45" s="7" t="s">
        <v>33</v>
      </c>
      <c r="S45" s="7" t="s">
        <v>34</v>
      </c>
      <c r="T45" s="6"/>
      <c r="U45" s="6" t="s">
        <v>3038</v>
      </c>
      <c r="V45" s="7" t="s">
        <v>33</v>
      </c>
      <c r="W45" s="6" t="s">
        <v>3039</v>
      </c>
      <c r="X45" s="7" t="s">
        <v>34</v>
      </c>
      <c r="Y45" s="6" t="s">
        <v>3040</v>
      </c>
      <c r="Z45" s="7" t="s">
        <v>34</v>
      </c>
      <c r="AA45" s="6" t="s">
        <v>2496</v>
      </c>
      <c r="AB45" s="6" t="s">
        <v>3041</v>
      </c>
      <c r="AC45" s="6" t="s">
        <v>355</v>
      </c>
    </row>
    <row r="46" ht="22.5" customHeight="1">
      <c r="A46" s="11" t="str">
        <f>REGEXEXTRACT(D46, "\d{4}\.\s(.*?)\.\sProc\. ACM")"),"Wall Matters: Rethinking the Effect of Wall for Wireless Sensing</f>
        <v xml:space="preserve">Wall Matters: Rethinking the Effect of Wall for Wireless Sensing</v>
      </c>
      <c r="B46" s="7">
        <f t="shared" si="72"/>
        <v>190</v>
      </c>
      <c r="C46" s="8" t="s">
        <v>3042</v>
      </c>
      <c r="D46" s="6" t="s">
        <v>3043</v>
      </c>
      <c r="E46" s="9">
        <v>45985</v>
      </c>
      <c r="F46" s="7">
        <v>2023</v>
      </c>
      <c r="G46" s="7" t="s">
        <v>31</v>
      </c>
      <c r="H46" s="6" t="str">
        <f t="shared" si="69"/>
        <v>2023_Dec_190</v>
      </c>
      <c r="I46" s="12" t="str">
        <f t="shared" si="70"/>
        <v>https://doi.org/10.1145/3631417</v>
      </c>
      <c r="J46" s="7">
        <f>IF(D46:D61&lt;&gt;"", VALUE(REGEXEXTRACT(D46:D61, "(\d+)\s+pages")), )
</f>
        <v>22</v>
      </c>
      <c r="K46" s="6" t="s">
        <v>71</v>
      </c>
      <c r="L46" s="7" t="str">
        <f t="shared" si="73"/>
        <v>No</v>
      </c>
      <c r="M46" s="7" t="s">
        <v>33</v>
      </c>
      <c r="N46" s="7" t="s">
        <v>33</v>
      </c>
      <c r="O46" s="7" t="s">
        <v>34</v>
      </c>
      <c r="P46" s="6"/>
      <c r="Q46" s="6" t="s">
        <v>2518</v>
      </c>
      <c r="R46" s="7" t="s">
        <v>33</v>
      </c>
      <c r="S46" s="7" t="s">
        <v>34</v>
      </c>
      <c r="T46" s="6"/>
      <c r="U46" s="6" t="s">
        <v>3044</v>
      </c>
      <c r="V46" s="7" t="s">
        <v>33</v>
      </c>
      <c r="W46" s="6" t="s">
        <v>3045</v>
      </c>
      <c r="X46" s="7" t="s">
        <v>34</v>
      </c>
      <c r="Y46" s="6" t="s">
        <v>3046</v>
      </c>
      <c r="Z46" s="7" t="s">
        <v>34</v>
      </c>
      <c r="AA46" s="6" t="s">
        <v>2496</v>
      </c>
      <c r="AB46" s="6" t="s">
        <v>3047</v>
      </c>
      <c r="AC46" s="6" t="s">
        <v>355</v>
      </c>
    </row>
    <row r="47" ht="22.5" customHeight="1">
      <c r="A47" s="11" t="str">
        <f>REGEXEXTRACT(D47, "\d{4}\.\s(.*?)\.\sProc\. ACM")"),"RimSense: Enabling Touch-based Interaction on Eyeglass Rim Using Piezoelectric Sensors</f>
        <v xml:space="preserve">RimSense: Enabling Touch-based Interaction on Eyeglass Rim Using Piezoelectric Sensors</v>
      </c>
      <c r="B47" s="7">
        <f t="shared" si="72"/>
        <v>191</v>
      </c>
      <c r="C47" s="8" t="s">
        <v>3048</v>
      </c>
      <c r="D47" s="6" t="s">
        <v>3049</v>
      </c>
      <c r="E47" s="9">
        <v>45986</v>
      </c>
      <c r="F47" s="7">
        <v>2023</v>
      </c>
      <c r="G47" s="7" t="s">
        <v>31</v>
      </c>
      <c r="H47" s="6" t="str">
        <f t="shared" si="69"/>
        <v>2023_Dec_191</v>
      </c>
      <c r="I47" s="12" t="str">
        <f t="shared" si="70"/>
        <v>https://doi.org/10.1145/3631456</v>
      </c>
      <c r="J47" s="7">
        <f>IF(D47:D61&lt;&gt;"", VALUE(REGEXEXTRACT(D47:D61, "(\d+)\s+pages")), )
</f>
        <v>24</v>
      </c>
      <c r="K47" s="6" t="s">
        <v>217</v>
      </c>
      <c r="L47" s="7" t="str">
        <f t="shared" si="73"/>
        <v>No</v>
      </c>
      <c r="M47" s="7" t="s">
        <v>34</v>
      </c>
      <c r="N47" s="7" t="s">
        <v>33</v>
      </c>
      <c r="O47" s="7" t="s">
        <v>34</v>
      </c>
      <c r="P47" s="6"/>
      <c r="Q47" s="6" t="s">
        <v>2518</v>
      </c>
      <c r="R47" s="7" t="s">
        <v>33</v>
      </c>
      <c r="S47" s="7" t="s">
        <v>34</v>
      </c>
      <c r="T47" s="6"/>
      <c r="U47" s="6" t="s">
        <v>3050</v>
      </c>
      <c r="V47" s="7" t="s">
        <v>33</v>
      </c>
      <c r="W47" s="6" t="s">
        <v>3051</v>
      </c>
      <c r="X47" s="7" t="s">
        <v>34</v>
      </c>
      <c r="Y47" s="6" t="s">
        <v>3052</v>
      </c>
      <c r="Z47" s="7" t="s">
        <v>34</v>
      </c>
      <c r="AA47" s="6" t="s">
        <v>2496</v>
      </c>
      <c r="AB47" s="6" t="s">
        <v>3053</v>
      </c>
      <c r="AC47" s="6" t="s">
        <v>355</v>
      </c>
    </row>
    <row r="48" ht="22.5" customHeight="1">
      <c r="A48" s="11" t="str">
        <f>REGEXEXTRACT(D48, "\d{4}\.\s(.*?)\.\sProc\. ACM")"),"DIPA2: An Image Dataset with Cross-cultural Privacy Perception Annotations</f>
        <v xml:space="preserve">DIPA2: An Image Dataset with Cross-cultural Privacy Perception Annotations</v>
      </c>
      <c r="B48" s="7">
        <f t="shared" si="72"/>
        <v>192</v>
      </c>
      <c r="C48" s="8" t="s">
        <v>3054</v>
      </c>
      <c r="D48" s="6" t="s">
        <v>3055</v>
      </c>
      <c r="E48" s="9">
        <v>45986</v>
      </c>
      <c r="F48" s="7">
        <v>2023</v>
      </c>
      <c r="G48" s="7" t="s">
        <v>31</v>
      </c>
      <c r="H48" s="6" t="str">
        <f t="shared" si="69"/>
        <v>2023_Dec_192</v>
      </c>
      <c r="I48" s="12" t="str">
        <f t="shared" si="70"/>
        <v>https://doi.org/10.1145/3631439</v>
      </c>
      <c r="J48" s="7">
        <f>IF(D48:D61&lt;&gt;"", VALUE(REGEXEXTRACT(D48:D61, "(\d+)\s+pages")), )
</f>
        <v>30</v>
      </c>
      <c r="K48" s="6" t="s">
        <v>99</v>
      </c>
      <c r="L48" s="7" t="str">
        <f>IF(REGEXMATCH(LOWER($A48),"(^|[^a-z])dataset(s)?([^a-z]|$)"),"Yes","No")"),"Yes</f>
        <v>Yes</v>
      </c>
      <c r="M48" s="7" t="s">
        <v>34</v>
      </c>
      <c r="N48" s="7" t="s">
        <v>33</v>
      </c>
      <c r="O48" s="7" t="s">
        <v>34</v>
      </c>
      <c r="P48" s="10" t="s">
        <v>3056</v>
      </c>
      <c r="Q48" s="6" t="s">
        <v>3057</v>
      </c>
      <c r="R48" s="7" t="s">
        <v>33</v>
      </c>
      <c r="S48" s="7" t="s">
        <v>33</v>
      </c>
      <c r="T48" s="10" t="s">
        <v>3056</v>
      </c>
      <c r="U48" s="6" t="s">
        <v>3058</v>
      </c>
      <c r="V48" s="7" t="s">
        <v>34</v>
      </c>
      <c r="W48" s="6"/>
      <c r="X48" s="7" t="s">
        <v>34</v>
      </c>
      <c r="Y48" s="6" t="s">
        <v>3059</v>
      </c>
      <c r="Z48" s="7" t="s">
        <v>34</v>
      </c>
      <c r="AA48" s="6" t="s">
        <v>3060</v>
      </c>
      <c r="AB48" s="6" t="s">
        <v>3061</v>
      </c>
      <c r="AC48" s="6" t="s">
        <v>355</v>
      </c>
    </row>
    <row r="49" ht="22.5" customHeight="1">
      <c r="A49" s="11" t="str">
        <f>REGEXEXTRACT(D49, "\d{4}\.\s(.*?)\.\sProc\. ACM")"),"HyperTracking: Exploring the Hyperbolic Model for Non-line-of-sight Device-free Wi-Fi Tracking</f>
        <v xml:space="preserve">HyperTracking: Exploring the Hyperbolic Model for Non-line-of-sight Device-free Wi-Fi Tracking</v>
      </c>
      <c r="B49" s="7">
        <f t="shared" si="72"/>
        <v>193</v>
      </c>
      <c r="C49" s="8" t="s">
        <v>3062</v>
      </c>
      <c r="D49" s="6" t="s">
        <v>3063</v>
      </c>
      <c r="E49" s="9">
        <v>45986</v>
      </c>
      <c r="F49" s="7">
        <v>2023</v>
      </c>
      <c r="G49" s="7" t="s">
        <v>31</v>
      </c>
      <c r="H49" s="6" t="str">
        <f t="shared" si="69"/>
        <v>2023_Dec_193</v>
      </c>
      <c r="I49" s="12" t="str">
        <f t="shared" si="70"/>
        <v>https://doi.org/10.1145/3631434</v>
      </c>
      <c r="J49" s="7">
        <f>IF(D49:D61&lt;&gt;"", VALUE(REGEXEXTRACT(D49:D61, "(\d+)\s+pages")), )
</f>
        <v>26</v>
      </c>
      <c r="K49" s="6" t="s">
        <v>64</v>
      </c>
      <c r="L49" s="7" t="str">
        <f t="shared" ref="L49:L61" si="74">IF(REGEXMATCH(LOWER($A49),"(^|[^a-z])dataset(s)?([^a-z]|$)"),"Yes","No")"),"No</f>
        <v>No</v>
      </c>
      <c r="M49" s="7" t="s">
        <v>34</v>
      </c>
      <c r="N49" s="7" t="s">
        <v>33</v>
      </c>
      <c r="O49" s="7" t="s">
        <v>34</v>
      </c>
      <c r="P49" s="6"/>
      <c r="Q49" s="6" t="s">
        <v>2518</v>
      </c>
      <c r="R49" s="7" t="s">
        <v>33</v>
      </c>
      <c r="S49" s="7" t="s">
        <v>34</v>
      </c>
      <c r="T49" s="6"/>
      <c r="U49" s="6" t="s">
        <v>3064</v>
      </c>
      <c r="V49" s="7" t="s">
        <v>33</v>
      </c>
      <c r="W49" s="6" t="s">
        <v>3065</v>
      </c>
      <c r="X49" s="7" t="s">
        <v>34</v>
      </c>
      <c r="Y49" s="6" t="s">
        <v>3066</v>
      </c>
      <c r="Z49" s="7" t="s">
        <v>34</v>
      </c>
      <c r="AA49" s="6" t="s">
        <v>2496</v>
      </c>
      <c r="AB49" s="6" t="s">
        <v>3067</v>
      </c>
      <c r="AC49" s="6" t="s">
        <v>355</v>
      </c>
    </row>
    <row r="50" ht="22.5" customHeight="1">
      <c r="A50" s="11" t="str">
        <f>REGEXEXTRACT(D50, "\d{4}\.\s(.*?)\.\sProc\. ACM")"),"SDE: Early Screening for Dry Eye Disease with Wireless Signals</f>
        <v xml:space="preserve">SDE: Early Screening for Dry Eye Disease with Wireless Signals</v>
      </c>
      <c r="B50" s="7">
        <f t="shared" si="72"/>
        <v>194</v>
      </c>
      <c r="C50" s="8" t="s">
        <v>3068</v>
      </c>
      <c r="D50" s="6" t="s">
        <v>3069</v>
      </c>
      <c r="E50" s="9">
        <v>45986</v>
      </c>
      <c r="F50" s="7">
        <v>2023</v>
      </c>
      <c r="G50" s="7" t="s">
        <v>31</v>
      </c>
      <c r="H50" s="6" t="str">
        <f t="shared" si="69"/>
        <v>2023_Dec_194</v>
      </c>
      <c r="I50" s="12" t="str">
        <f t="shared" si="70"/>
        <v>https://doi.org/10.1145/3631438</v>
      </c>
      <c r="J50" s="7">
        <f>IF(D50:D61&lt;&gt;"", VALUE(REGEXEXTRACT(D50:D61, "(\d+)\s+pages")), )
</f>
        <v>23</v>
      </c>
      <c r="K50" s="6" t="s">
        <v>133</v>
      </c>
      <c r="L50" s="7" t="str">
        <f t="shared" si="74"/>
        <v>No</v>
      </c>
      <c r="M50" s="7" t="s">
        <v>34</v>
      </c>
      <c r="N50" s="7" t="s">
        <v>33</v>
      </c>
      <c r="O50" s="7" t="s">
        <v>34</v>
      </c>
      <c r="P50" s="6"/>
      <c r="Q50" s="6" t="s">
        <v>3022</v>
      </c>
      <c r="R50" s="7" t="s">
        <v>33</v>
      </c>
      <c r="S50" s="7" t="s">
        <v>34</v>
      </c>
      <c r="T50" s="6"/>
      <c r="U50" s="6" t="s">
        <v>3070</v>
      </c>
      <c r="V50" s="7" t="s">
        <v>33</v>
      </c>
      <c r="W50" s="6" t="s">
        <v>3071</v>
      </c>
      <c r="X50" s="7" t="s">
        <v>33</v>
      </c>
      <c r="Y50" s="6" t="s">
        <v>3072</v>
      </c>
      <c r="Z50" s="7" t="s">
        <v>34</v>
      </c>
      <c r="AA50" s="6" t="s">
        <v>2496</v>
      </c>
      <c r="AB50" s="6" t="s">
        <v>3073</v>
      </c>
      <c r="AC50" s="6" t="s">
        <v>355</v>
      </c>
    </row>
    <row r="51" ht="22.5" customHeight="1">
      <c r="A51" s="11" t="str">
        <f>REGEXEXTRACT(D51, "\d{4}\.\s(.*?)\.\sProc\. ACM")"),"Thermal Earring: Low-power Wireless Earring for Longitudinal Earlobe Temperature Sensing</f>
        <v xml:space="preserve">Thermal Earring: Low-power Wireless Earring for Longitudinal Earlobe Temperature Sensing</v>
      </c>
      <c r="B51" s="7">
        <f t="shared" si="72"/>
        <v>195</v>
      </c>
      <c r="C51" s="8" t="s">
        <v>3074</v>
      </c>
      <c r="D51" s="6" t="s">
        <v>3075</v>
      </c>
      <c r="E51" s="9">
        <v>45986</v>
      </c>
      <c r="F51" s="7">
        <v>2023</v>
      </c>
      <c r="G51" s="7" t="s">
        <v>31</v>
      </c>
      <c r="H51" s="6" t="str">
        <f t="shared" si="69"/>
        <v>2023_Dec_195</v>
      </c>
      <c r="I51" s="12" t="str">
        <f t="shared" si="70"/>
        <v>https://doi.org/10.1145/3631440</v>
      </c>
      <c r="J51" s="7">
        <f>IF(D51:D61&lt;&gt;"", VALUE(REGEXEXTRACT(D51:D61, "(\d+)\s+pages")), )
</f>
        <v>28</v>
      </c>
      <c r="K51" s="6" t="s">
        <v>1093</v>
      </c>
      <c r="L51" s="7" t="str">
        <f t="shared" si="74"/>
        <v>No</v>
      </c>
      <c r="M51" s="7" t="s">
        <v>33</v>
      </c>
      <c r="N51" s="7" t="s">
        <v>33</v>
      </c>
      <c r="O51" s="7" t="s">
        <v>34</v>
      </c>
      <c r="P51" s="6"/>
      <c r="Q51" s="6" t="s">
        <v>3022</v>
      </c>
      <c r="R51" s="7" t="s">
        <v>33</v>
      </c>
      <c r="S51" s="7" t="s">
        <v>34</v>
      </c>
      <c r="T51" s="6"/>
      <c r="U51" s="6" t="s">
        <v>3076</v>
      </c>
      <c r="V51" s="7" t="s">
        <v>33</v>
      </c>
      <c r="W51" s="6" t="s">
        <v>3077</v>
      </c>
      <c r="X51" s="7" t="s">
        <v>34</v>
      </c>
      <c r="Y51" s="6" t="s">
        <v>3078</v>
      </c>
      <c r="Z51" s="7" t="s">
        <v>34</v>
      </c>
      <c r="AA51" s="6" t="s">
        <v>2496</v>
      </c>
      <c r="AB51" s="6" t="s">
        <v>3079</v>
      </c>
      <c r="AC51" s="6" t="s">
        <v>355</v>
      </c>
    </row>
    <row r="52" ht="22.5" customHeight="1">
      <c r="A52" s="11" t="str">
        <f>REGEXEXTRACT(D52, "\d{4}\.\s(.*?)\.\sProc\. ACM")"),"Soil-Powered Computing: The Engineer's Guide to Practical Soil Microbial Fuel Cell Design</f>
        <v xml:space="preserve">Soil-Powered Computing: The Engineer's Guide to Practical Soil Microbial Fuel Cell Design</v>
      </c>
      <c r="B52" s="7">
        <f t="shared" si="72"/>
        <v>196</v>
      </c>
      <c r="C52" s="8" t="s">
        <v>3080</v>
      </c>
      <c r="D52" s="6" t="s">
        <v>3081</v>
      </c>
      <c r="E52" s="9">
        <v>45987</v>
      </c>
      <c r="F52" s="7">
        <v>2023</v>
      </c>
      <c r="G52" s="7" t="s">
        <v>31</v>
      </c>
      <c r="H52" s="6" t="str">
        <f t="shared" si="69"/>
        <v>2023_Dec_196</v>
      </c>
      <c r="I52" s="12" t="str">
        <f t="shared" si="70"/>
        <v>https://doi.org/10.1145/3631410</v>
      </c>
      <c r="J52" s="7">
        <f>IF(D52:D61&lt;&gt;"", VALUE(REGEXEXTRACT(D52:D61, "(\d+)\s+pages")), )
</f>
        <v>40</v>
      </c>
      <c r="K52" s="6" t="s">
        <v>708</v>
      </c>
      <c r="L52" s="7" t="str">
        <f t="shared" si="74"/>
        <v>No</v>
      </c>
      <c r="M52" s="7" t="s">
        <v>33</v>
      </c>
      <c r="N52" s="7" t="s">
        <v>33</v>
      </c>
      <c r="O52" s="7" t="s">
        <v>33</v>
      </c>
      <c r="P52" s="12" t="s">
        <v>3082</v>
      </c>
      <c r="Q52" s="6" t="s">
        <v>3083</v>
      </c>
      <c r="R52" s="7" t="s">
        <v>33</v>
      </c>
      <c r="S52" s="7" t="s">
        <v>33</v>
      </c>
      <c r="T52" s="10" t="s">
        <v>3082</v>
      </c>
      <c r="U52" s="6" t="s">
        <v>3084</v>
      </c>
      <c r="V52" s="7" t="s">
        <v>33</v>
      </c>
      <c r="W52" s="6" t="s">
        <v>3085</v>
      </c>
      <c r="X52" s="7" t="s">
        <v>34</v>
      </c>
      <c r="Y52" s="6" t="s">
        <v>3086</v>
      </c>
      <c r="Z52" s="7" t="s">
        <v>144</v>
      </c>
      <c r="AA52" s="6" t="s">
        <v>3087</v>
      </c>
      <c r="AB52" s="6" t="s">
        <v>3088</v>
      </c>
      <c r="AC52" s="6" t="s">
        <v>355</v>
      </c>
    </row>
    <row r="53" ht="22.5" customHeight="1">
      <c r="A53" s="11" t="str">
        <f>REGEXEXTRACT(D53, "\d{4}\.\s(.*?)\.\sProc\. ACM")"),"PyroSense: 3D Posture Reconstruction Using Pyroelectric Infrared Sensing</f>
        <v xml:space="preserve">PyroSense: 3D Posture Reconstruction Using Pyroelectric Infrared Sensing</v>
      </c>
      <c r="B53" s="7">
        <f t="shared" si="72"/>
        <v>197</v>
      </c>
      <c r="C53" s="8" t="s">
        <v>3089</v>
      </c>
      <c r="D53" s="6" t="s">
        <v>3090</v>
      </c>
      <c r="E53" s="9">
        <v>45987</v>
      </c>
      <c r="F53" s="7">
        <v>2023</v>
      </c>
      <c r="G53" s="7" t="s">
        <v>31</v>
      </c>
      <c r="H53" s="6" t="str">
        <f t="shared" si="69"/>
        <v>2023_Dec_197</v>
      </c>
      <c r="I53" s="12" t="str">
        <f t="shared" si="70"/>
        <v>https://doi.org/10.1145/3631435</v>
      </c>
      <c r="J53" s="7">
        <f>IF(D53:D61&lt;&gt;"", VALUE(REGEXEXTRACT(D53:D61, "(\d+)\s+pages")), )
</f>
        <v>32</v>
      </c>
      <c r="K53" s="6" t="s">
        <v>348</v>
      </c>
      <c r="L53" s="7" t="str">
        <f t="shared" si="74"/>
        <v>No</v>
      </c>
      <c r="M53" s="7" t="s">
        <v>33</v>
      </c>
      <c r="N53" s="7" t="s">
        <v>33</v>
      </c>
      <c r="O53" s="7" t="s">
        <v>34</v>
      </c>
      <c r="P53" s="6"/>
      <c r="Q53" s="6" t="s">
        <v>3022</v>
      </c>
      <c r="R53" s="7" t="s">
        <v>33</v>
      </c>
      <c r="S53" s="7" t="s">
        <v>34</v>
      </c>
      <c r="T53" s="6"/>
      <c r="U53" s="6" t="s">
        <v>3091</v>
      </c>
      <c r="V53" s="7" t="s">
        <v>33</v>
      </c>
      <c r="W53" s="6" t="s">
        <v>3092</v>
      </c>
      <c r="X53" s="7" t="s">
        <v>34</v>
      </c>
      <c r="Y53" s="6" t="s">
        <v>3093</v>
      </c>
      <c r="Z53" s="7" t="s">
        <v>34</v>
      </c>
      <c r="AA53" s="6" t="s">
        <v>3094</v>
      </c>
      <c r="AB53" s="6" t="s">
        <v>3095</v>
      </c>
      <c r="AC53" s="6" t="s">
        <v>355</v>
      </c>
    </row>
    <row r="54" ht="22.5" customHeight="1">
      <c r="A54" s="11" t="str">
        <f>REGEXEXTRACT(D54, "\d{4}\.\s(.*?)\.\sProc\. ACM")"),"TouchEditor: Interaction Design and Evaluation of a Flexible Touchpad for Text Editing of Head-Mounted Displays in Speech-unfriendly Environments</f>
        <v xml:space="preserve">TouchEditor: Interaction Design and Evaluation of a Flexible Touchpad for Text Editing of Head-Mounted Displays in Speech-unfriendly Environments</v>
      </c>
      <c r="B54" s="7">
        <f t="shared" si="72"/>
        <v>198</v>
      </c>
      <c r="C54" s="8" t="s">
        <v>3096</v>
      </c>
      <c r="D54" s="6" t="s">
        <v>3097</v>
      </c>
      <c r="E54" s="9">
        <v>45987</v>
      </c>
      <c r="F54" s="7">
        <v>2023</v>
      </c>
      <c r="G54" s="7" t="s">
        <v>31</v>
      </c>
      <c r="H54" s="6" t="str">
        <f t="shared" si="69"/>
        <v>2023_Dec_198</v>
      </c>
      <c r="I54" s="12" t="str">
        <f t="shared" si="70"/>
        <v>https://doi.org/10.1145/3631454</v>
      </c>
      <c r="J54" s="7">
        <f>IF(D54:D61&lt;&gt;"", VALUE(REGEXEXTRACT(D54:D61, "(\d+)\s+pages")), )
</f>
        <v>29</v>
      </c>
      <c r="K54" s="6" t="s">
        <v>348</v>
      </c>
      <c r="L54" s="7" t="str">
        <f t="shared" si="74"/>
        <v>No</v>
      </c>
      <c r="M54" s="7" t="s">
        <v>34</v>
      </c>
      <c r="N54" s="7" t="s">
        <v>33</v>
      </c>
      <c r="O54" s="7" t="s">
        <v>34</v>
      </c>
      <c r="P54" s="6"/>
      <c r="Q54" s="6" t="s">
        <v>3098</v>
      </c>
      <c r="R54" s="7" t="s">
        <v>33</v>
      </c>
      <c r="S54" s="7" t="s">
        <v>34</v>
      </c>
      <c r="T54" s="6"/>
      <c r="U54" s="6" t="s">
        <v>3099</v>
      </c>
      <c r="V54" s="7" t="s">
        <v>33</v>
      </c>
      <c r="W54" s="6" t="s">
        <v>3100</v>
      </c>
      <c r="X54" s="7" t="s">
        <v>34</v>
      </c>
      <c r="Y54" s="6" t="s">
        <v>3101</v>
      </c>
      <c r="Z54" s="7" t="s">
        <v>34</v>
      </c>
      <c r="AA54" s="6" t="s">
        <v>2496</v>
      </c>
      <c r="AB54" s="6" t="s">
        <v>3102</v>
      </c>
      <c r="AC54" s="6" t="s">
        <v>355</v>
      </c>
    </row>
    <row r="55" ht="22.5" customHeight="1">
      <c r="A55" s="11" t="str">
        <f>REGEXEXTRACT(D55, "\d{4}\.\s(.*?)\.\sProc\. ACM")"),"LoCal: An Automatic Location Attribute Calibration Approach for Large-Scale Deployment of mmWave-based Sensing Systems</f>
        <v xml:space="preserve">LoCal: An Automatic Location Attribute Calibration Approach for Large-Scale Deployment of mmWave-based Sensing Systems</v>
      </c>
      <c r="B55" s="7">
        <f t="shared" si="72"/>
        <v>199</v>
      </c>
      <c r="C55" s="8" t="s">
        <v>3103</v>
      </c>
      <c r="D55" s="6" t="s">
        <v>3104</v>
      </c>
      <c r="E55" s="9">
        <v>45987</v>
      </c>
      <c r="F55" s="7">
        <v>2023</v>
      </c>
      <c r="G55" s="7" t="s">
        <v>31</v>
      </c>
      <c r="H55" s="6" t="str">
        <f t="shared" si="69"/>
        <v>2023_Dec_199</v>
      </c>
      <c r="I55" s="12" t="str">
        <f t="shared" si="70"/>
        <v>https://doi.org/10.1145/3631436</v>
      </c>
      <c r="J55" s="7">
        <f>IF(D55:D61&lt;&gt;"", VALUE(REGEXEXTRACT(D55:D61, "(\d+)\s+pages")), )
</f>
        <v>27</v>
      </c>
      <c r="K55" s="6" t="s">
        <v>32</v>
      </c>
      <c r="L55" s="7" t="str">
        <f t="shared" si="74"/>
        <v>No</v>
      </c>
      <c r="M55" s="7" t="s">
        <v>34</v>
      </c>
      <c r="N55" s="7" t="s">
        <v>33</v>
      </c>
      <c r="O55" s="7" t="s">
        <v>34</v>
      </c>
      <c r="P55" s="6"/>
      <c r="Q55" s="6" t="s">
        <v>3105</v>
      </c>
      <c r="R55" s="7" t="s">
        <v>33</v>
      </c>
      <c r="S55" s="7" t="s">
        <v>34</v>
      </c>
      <c r="T55" s="6"/>
      <c r="U55" s="6" t="s">
        <v>3106</v>
      </c>
      <c r="V55" s="7" t="s">
        <v>33</v>
      </c>
      <c r="W55" s="6" t="s">
        <v>3107</v>
      </c>
      <c r="X55" s="7" t="s">
        <v>33</v>
      </c>
      <c r="Y55" s="6" t="s">
        <v>3108</v>
      </c>
      <c r="Z55" s="7" t="s">
        <v>34</v>
      </c>
      <c r="AA55" s="6" t="s">
        <v>3109</v>
      </c>
      <c r="AB55" s="6" t="s">
        <v>3110</v>
      </c>
      <c r="AC55" s="6" t="s">
        <v>355</v>
      </c>
    </row>
    <row r="56" ht="22.5" customHeight="1">
      <c r="A56" s="11" t="str">
        <f>REGEXEXTRACT(D56, "\d{4}\.\s(.*?)\.\sProc\. ACM")"),"RLoc: Towards Robust Indoor Localization by Quantifying Uncertainty</f>
        <v xml:space="preserve">RLoc: Towards Robust Indoor Localization by Quantifying Uncertainty</v>
      </c>
      <c r="B56" s="7">
        <f t="shared" si="72"/>
        <v>200</v>
      </c>
      <c r="C56" s="8" t="s">
        <v>3111</v>
      </c>
      <c r="D56" s="6" t="s">
        <v>3112</v>
      </c>
      <c r="E56" s="9">
        <v>45987</v>
      </c>
      <c r="F56" s="7">
        <v>2023</v>
      </c>
      <c r="G56" s="7" t="s">
        <v>31</v>
      </c>
      <c r="H56" s="6" t="str">
        <f t="shared" si="69"/>
        <v>2023_Dec_200</v>
      </c>
      <c r="I56" s="12" t="str">
        <f t="shared" si="70"/>
        <v>https://doi.org/10.1145/3631437</v>
      </c>
      <c r="J56" s="7">
        <f>IF(D56:D61&lt;&gt;"", VALUE(REGEXEXTRACT(D56:D61, "(\d+)\s+pages")), )
</f>
        <v>28</v>
      </c>
      <c r="K56" s="6" t="s">
        <v>53</v>
      </c>
      <c r="L56" s="7" t="str">
        <f t="shared" si="74"/>
        <v>No</v>
      </c>
      <c r="M56" s="7" t="s">
        <v>34</v>
      </c>
      <c r="N56" s="7" t="s">
        <v>33</v>
      </c>
      <c r="O56" s="7" t="s">
        <v>34</v>
      </c>
      <c r="P56" s="6"/>
      <c r="Q56" s="6" t="s">
        <v>3022</v>
      </c>
      <c r="R56" s="7" t="s">
        <v>33</v>
      </c>
      <c r="S56" s="7" t="s">
        <v>33</v>
      </c>
      <c r="T56" s="10" t="s">
        <v>3113</v>
      </c>
      <c r="U56" s="6" t="s">
        <v>3114</v>
      </c>
      <c r="V56" s="7" t="s">
        <v>33</v>
      </c>
      <c r="W56" s="6" t="s">
        <v>3115</v>
      </c>
      <c r="X56" s="7" t="s">
        <v>33</v>
      </c>
      <c r="Y56" s="6" t="s">
        <v>3116</v>
      </c>
      <c r="Z56" s="7" t="s">
        <v>34</v>
      </c>
      <c r="AA56" s="6" t="s">
        <v>2496</v>
      </c>
      <c r="AB56" s="6" t="s">
        <v>3117</v>
      </c>
      <c r="AC56" s="6" t="s">
        <v>355</v>
      </c>
    </row>
    <row r="57" ht="22.5" customHeight="1">
      <c r="A57" s="11" t="str">
        <f>REGEXEXTRACT(D57, "\d{4}\.\s(.*?)\.\sProc\. ACM")"),"Waffle: A Waterproof mmWave-based Human Sensing System inside Bathrooms with Running Water</f>
        <v xml:space="preserve">Waffle: A Waterproof mmWave-based Human Sensing System inside Bathrooms with Running Water</v>
      </c>
      <c r="B57" s="7">
        <f t="shared" si="72"/>
        <v>201</v>
      </c>
      <c r="C57" s="8" t="s">
        <v>3118</v>
      </c>
      <c r="D57" s="6" t="s">
        <v>3119</v>
      </c>
      <c r="E57" s="9">
        <v>45988</v>
      </c>
      <c r="F57" s="7">
        <v>2023</v>
      </c>
      <c r="G57" s="7" t="s">
        <v>31</v>
      </c>
      <c r="H57" s="6" t="str">
        <f t="shared" si="69"/>
        <v>2023_Dec_201</v>
      </c>
      <c r="I57" s="12" t="str">
        <f t="shared" si="70"/>
        <v>https://doi.org/10.1145/3631458</v>
      </c>
      <c r="J57" s="7">
        <f>IF(D57:D61&lt;&gt;"", VALUE(REGEXEXTRACT(D57:D61, "(\d+)\s+pages")), )
</f>
        <v>29</v>
      </c>
      <c r="K57" s="6" t="s">
        <v>32</v>
      </c>
      <c r="L57" s="7" t="str">
        <f t="shared" si="74"/>
        <v>No</v>
      </c>
      <c r="M57" s="7" t="s">
        <v>34</v>
      </c>
      <c r="N57" s="7" t="s">
        <v>33</v>
      </c>
      <c r="O57" s="7" t="s">
        <v>34</v>
      </c>
      <c r="P57" s="6"/>
      <c r="Q57" s="6" t="s">
        <v>3022</v>
      </c>
      <c r="R57" s="7" t="s">
        <v>33</v>
      </c>
      <c r="S57" s="7" t="s">
        <v>34</v>
      </c>
      <c r="T57" s="6"/>
      <c r="U57" s="6" t="s">
        <v>3120</v>
      </c>
      <c r="V57" s="7" t="s">
        <v>33</v>
      </c>
      <c r="W57" s="6" t="s">
        <v>3121</v>
      </c>
      <c r="X57" s="7" t="s">
        <v>33</v>
      </c>
      <c r="Y57" s="6" t="s">
        <v>3122</v>
      </c>
      <c r="Z57" s="7" t="s">
        <v>34</v>
      </c>
      <c r="AA57" s="6" t="s">
        <v>3123</v>
      </c>
      <c r="AB57" s="6" t="s">
        <v>3124</v>
      </c>
      <c r="AC57" s="6" t="s">
        <v>355</v>
      </c>
    </row>
    <row r="58" ht="22.5" customHeight="1">
      <c r="A58" s="11" t="str">
        <f>REGEXEXTRACT(D58, "\d{4}\.\s(.*?)\.\sProc\. ACM")"),"Reflected Reality: Augmented Reality through the Mirror</f>
        <v xml:space="preserve">Reflected Reality: Augmented Reality through the Mirror</v>
      </c>
      <c r="B58" s="7">
        <f t="shared" si="72"/>
        <v>202</v>
      </c>
      <c r="C58" s="8" t="s">
        <v>3125</v>
      </c>
      <c r="D58" s="6" t="s">
        <v>3126</v>
      </c>
      <c r="E58" s="9">
        <v>45988</v>
      </c>
      <c r="F58" s="7">
        <v>2023</v>
      </c>
      <c r="G58" s="7" t="s">
        <v>31</v>
      </c>
      <c r="H58" s="6" t="str">
        <f t="shared" si="69"/>
        <v>2023_Dec_202</v>
      </c>
      <c r="I58" s="12" t="str">
        <f t="shared" si="70"/>
        <v>https://doi.org/10.1145/3631431</v>
      </c>
      <c r="J58" s="7">
        <f>IF(D58:D61&lt;&gt;"", VALUE(REGEXEXTRACT(D58:D61, "(\d+)\s+pages")), )
</f>
        <v>28</v>
      </c>
      <c r="K58" s="6" t="s">
        <v>652</v>
      </c>
      <c r="L58" s="7" t="str">
        <f t="shared" si="74"/>
        <v>No</v>
      </c>
      <c r="M58" s="7" t="s">
        <v>33</v>
      </c>
      <c r="N58" s="7" t="s">
        <v>33</v>
      </c>
      <c r="O58" s="7" t="s">
        <v>33</v>
      </c>
      <c r="P58" s="10" t="s">
        <v>3127</v>
      </c>
      <c r="Q58" s="6" t="s">
        <v>3128</v>
      </c>
      <c r="R58" s="7" t="s">
        <v>33</v>
      </c>
      <c r="S58" s="7" t="s">
        <v>34</v>
      </c>
      <c r="T58" s="6"/>
      <c r="U58" s="6" t="s">
        <v>3129</v>
      </c>
      <c r="V58" s="7" t="s">
        <v>33</v>
      </c>
      <c r="W58" s="6" t="s">
        <v>3130</v>
      </c>
      <c r="X58" s="7" t="s">
        <v>34</v>
      </c>
      <c r="Y58" s="6" t="s">
        <v>3131</v>
      </c>
      <c r="Z58" s="7" t="s">
        <v>34</v>
      </c>
      <c r="AA58" s="6" t="s">
        <v>3132</v>
      </c>
      <c r="AB58" s="6" t="s">
        <v>3133</v>
      </c>
      <c r="AC58" s="6" t="s">
        <v>355</v>
      </c>
    </row>
    <row r="59" ht="22.5" customHeight="1">
      <c r="A59" s="11" t="str">
        <f>REGEXEXTRACT(D59, "\d{4}\.\s(.*?)\.\sProc\. ACM")"),"Wi-Painter: Fine-grained Material Identification and Image Delineation Using COTS WiFi Devices</f>
        <v xml:space="preserve">Wi-Painter: Fine-grained Material Identification and Image Delineation Using COTS WiFi Devices</v>
      </c>
      <c r="B59" s="7">
        <f t="shared" si="72"/>
        <v>203</v>
      </c>
      <c r="C59" s="8" t="s">
        <v>3134</v>
      </c>
      <c r="D59" s="6" t="s">
        <v>3135</v>
      </c>
      <c r="E59" s="9">
        <v>45988</v>
      </c>
      <c r="F59" s="7">
        <v>2023</v>
      </c>
      <c r="G59" s="7" t="s">
        <v>31</v>
      </c>
      <c r="H59" s="6" t="str">
        <f t="shared" si="69"/>
        <v>2023_Dec_203</v>
      </c>
      <c r="I59" s="12" t="str">
        <f t="shared" si="70"/>
        <v>https://doi.org/10.1145/3633809</v>
      </c>
      <c r="J59" s="7">
        <f>IF(D59:D61&lt;&gt;"", VALUE(REGEXEXTRACT(D59:D61, "(\d+)\s+pages")), )
</f>
        <v>25</v>
      </c>
      <c r="K59" s="6" t="s">
        <v>71</v>
      </c>
      <c r="L59" s="7" t="str">
        <f t="shared" si="74"/>
        <v>No</v>
      </c>
      <c r="M59" s="7" t="s">
        <v>34</v>
      </c>
      <c r="N59" s="7" t="s">
        <v>33</v>
      </c>
      <c r="O59" s="7" t="s">
        <v>34</v>
      </c>
      <c r="P59" s="6"/>
      <c r="Q59" s="6" t="s">
        <v>3022</v>
      </c>
      <c r="R59" s="7" t="s">
        <v>33</v>
      </c>
      <c r="S59" s="7" t="s">
        <v>34</v>
      </c>
      <c r="T59" s="6"/>
      <c r="U59" s="6" t="s">
        <v>3136</v>
      </c>
      <c r="V59" s="7" t="s">
        <v>33</v>
      </c>
      <c r="W59" s="6" t="s">
        <v>3137</v>
      </c>
      <c r="X59" s="7" t="s">
        <v>34</v>
      </c>
      <c r="Y59" s="6" t="s">
        <v>3138</v>
      </c>
      <c r="Z59" s="7" t="s">
        <v>34</v>
      </c>
      <c r="AA59" s="6" t="s">
        <v>2496</v>
      </c>
      <c r="AB59" s="6" t="s">
        <v>3139</v>
      </c>
      <c r="AC59" s="6" t="s">
        <v>355</v>
      </c>
    </row>
    <row r="60" ht="22.5" customHeight="1">
      <c r="A60" s="11" t="str">
        <f>REGEXEXTRACT(D60, "\d{4}\.\s(.*?)\.\sProc\. ACM")"),"PASTEL: Privacy-Preserving Federated Learning in Edge Computing</f>
        <v xml:space="preserve">PASTEL: Privacy-Preserving Federated Learning in Edge Computing</v>
      </c>
      <c r="B60" s="7">
        <f t="shared" si="72"/>
        <v>204</v>
      </c>
      <c r="C60" s="8" t="s">
        <v>3140</v>
      </c>
      <c r="D60" s="6" t="s">
        <v>3141</v>
      </c>
      <c r="E60" s="9">
        <v>45988</v>
      </c>
      <c r="F60" s="7">
        <v>2023</v>
      </c>
      <c r="G60" s="7" t="s">
        <v>31</v>
      </c>
      <c r="H60" s="6" t="str">
        <f t="shared" si="69"/>
        <v>2023_Dec_204</v>
      </c>
      <c r="I60" s="12" t="str">
        <f t="shared" si="70"/>
        <v>https://doi.org/10.1145/3633808</v>
      </c>
      <c r="J60" s="7">
        <f>IF(D60:D61&lt;&gt;"", VALUE(REGEXEXTRACT(D60:D61, "(\d+)\s+pages")), )
</f>
        <v>29</v>
      </c>
      <c r="K60" s="6" t="s">
        <v>64</v>
      </c>
      <c r="L60" s="7" t="str">
        <f t="shared" si="74"/>
        <v>No</v>
      </c>
      <c r="M60" s="7" t="s">
        <v>34</v>
      </c>
      <c r="N60" s="7" t="s">
        <v>33</v>
      </c>
      <c r="O60" s="7" t="s">
        <v>33</v>
      </c>
      <c r="P60" s="10" t="s">
        <v>3142</v>
      </c>
      <c r="Q60" s="6" t="s">
        <v>3143</v>
      </c>
      <c r="R60" s="7" t="s">
        <v>33</v>
      </c>
      <c r="S60" s="7" t="s">
        <v>33</v>
      </c>
      <c r="T60" s="6"/>
      <c r="U60" s="6" t="s">
        <v>3144</v>
      </c>
      <c r="V60" s="7" t="s">
        <v>33</v>
      </c>
      <c r="W60" s="6" t="s">
        <v>3145</v>
      </c>
      <c r="X60" s="7" t="s">
        <v>34</v>
      </c>
      <c r="Y60" s="6" t="s">
        <v>3146</v>
      </c>
      <c r="Z60" s="7" t="s">
        <v>34</v>
      </c>
      <c r="AA60" s="6" t="s">
        <v>3109</v>
      </c>
      <c r="AB60" s="6" t="s">
        <v>3147</v>
      </c>
      <c r="AC60" s="6" t="s">
        <v>355</v>
      </c>
    </row>
    <row r="61" ht="22.5" customHeight="1">
      <c r="A61" s="11" t="str">
        <f>REGEXEXTRACT(D61, "\d{4}\.\s(.*?)\.\sProc\. ACM")"),"Enabling WiFi Sensing on New-generation WiFi Cards</f>
        <v xml:space="preserve">Enabling WiFi Sensing on New-generation WiFi Cards</v>
      </c>
      <c r="B61" s="7">
        <f t="shared" si="72"/>
        <v>205</v>
      </c>
      <c r="C61" s="8" t="s">
        <v>3148</v>
      </c>
      <c r="D61" s="6" t="s">
        <v>3149</v>
      </c>
      <c r="E61" s="9">
        <v>45988</v>
      </c>
      <c r="F61" s="7">
        <v>2023</v>
      </c>
      <c r="G61" s="7" t="s">
        <v>31</v>
      </c>
      <c r="H61" s="6" t="str">
        <f t="shared" si="69"/>
        <v>2023_Dec_205</v>
      </c>
      <c r="I61" s="12" t="str">
        <f t="shared" si="70"/>
        <v>https://doi.org/10.1145/3633807</v>
      </c>
      <c r="J61" s="7">
        <f>IF(D61&lt;&gt;"", VALUE(REGEXEXTRACT(D61, "(\d+)\s+pages")), )
</f>
        <v>26</v>
      </c>
      <c r="K61" s="6" t="s">
        <v>32</v>
      </c>
      <c r="L61" s="7" t="str">
        <f t="shared" si="74"/>
        <v>No</v>
      </c>
      <c r="M61" s="7" t="s">
        <v>34</v>
      </c>
      <c r="N61" s="7" t="s">
        <v>33</v>
      </c>
      <c r="O61" s="7" t="s">
        <v>34</v>
      </c>
      <c r="P61" s="6"/>
      <c r="Q61" s="6" t="s">
        <v>3022</v>
      </c>
      <c r="R61" s="7" t="s">
        <v>33</v>
      </c>
      <c r="S61" s="7" t="s">
        <v>34</v>
      </c>
      <c r="T61" s="6"/>
      <c r="U61" s="6" t="s">
        <v>3150</v>
      </c>
      <c r="V61" s="7" t="s">
        <v>33</v>
      </c>
      <c r="W61" s="6" t="s">
        <v>3151</v>
      </c>
      <c r="X61" s="7" t="s">
        <v>34</v>
      </c>
      <c r="Y61" s="6" t="s">
        <v>3152</v>
      </c>
      <c r="Z61" s="7" t="s">
        <v>34</v>
      </c>
      <c r="AA61" s="6" t="s">
        <v>3153</v>
      </c>
      <c r="AB61" s="6" t="s">
        <v>3154</v>
      </c>
      <c r="AC61" s="6" t="s">
        <v>355</v>
      </c>
    </row>
  </sheetData>
  <conditionalFormatting sqref="P1:P61">
    <cfRule type="colorScale" priority="1">
      <colorScale>
        <cfvo type="min"/>
        <cfvo type="max"/>
        <color indexed="65"/>
        <color rgb="FF57BB8A"/>
      </colorScale>
    </cfRule>
  </conditionalFormatting>
  <dataValidations count="2" disablePrompts="0">
    <dataValidation sqref="A2:A61 H2:I61 K2:K61 P2:Q61 T2:U61 W2:W61 Y2:Y61 AA2:AB61" type="none" allowBlank="1" errorStyle="stop" imeMode="noControl" operator="between" showDropDown="1" showErrorMessage="0" showInputMessage="0"/>
    <dataValidation sqref="D2:D61" type="none" allowBlank="1" errorStyle="stop" imeMode="noControl" operator="between" showDropDown="1" showErrorMessage="0" showInputMessage="0"/>
  </dataValidations>
  <hyperlinks>
    <hyperlink r:id="rId1" ref="C2"/>
    <hyperlink r:id="rId2" ref="P2"/>
    <hyperlink r:id="rId2" ref="T2"/>
    <hyperlink r:id="rId3" ref="C3"/>
    <hyperlink r:id="rId4" ref="C4"/>
    <hyperlink r:id="rId5" ref="C5"/>
    <hyperlink r:id="rId6" ref="C6"/>
    <hyperlink r:id="rId7" ref="C7"/>
    <hyperlink r:id="rId8" ref="T7"/>
    <hyperlink r:id="rId9" ref="C8"/>
    <hyperlink r:id="rId10" ref="C9"/>
    <hyperlink r:id="rId11" ref="C10"/>
    <hyperlink r:id="rId12" ref="C11"/>
    <hyperlink r:id="rId13" ref="C12"/>
    <hyperlink r:id="rId14" ref="C13"/>
    <hyperlink r:id="rId15" ref="P13"/>
    <hyperlink r:id="rId15" ref="T13"/>
    <hyperlink r:id="rId16" ref="C14"/>
    <hyperlink r:id="rId17" ref="C15"/>
    <hyperlink r:id="rId18" ref="P15"/>
    <hyperlink r:id="rId19" ref="C16"/>
    <hyperlink r:id="rId20" ref="C17"/>
    <hyperlink r:id="rId21" ref="C18"/>
    <hyperlink r:id="rId22" ref="P18"/>
    <hyperlink r:id="rId23" ref="C19"/>
    <hyperlink r:id="rId24" ref="P19"/>
    <hyperlink r:id="rId25" ref="C20"/>
    <hyperlink r:id="rId26" ref="C21"/>
    <hyperlink r:id="rId27" ref="C22"/>
    <hyperlink r:id="rId28" ref="C23"/>
    <hyperlink r:id="rId29" ref="C24"/>
    <hyperlink r:id="rId30" ref="C25"/>
    <hyperlink r:id="rId31" ref="C26"/>
    <hyperlink r:id="rId32" ref="C27"/>
    <hyperlink r:id="rId33" ref="P27"/>
    <hyperlink r:id="rId34" ref="C28"/>
    <hyperlink r:id="rId35" ref="P28"/>
    <hyperlink r:id="rId36" ref="T28"/>
    <hyperlink r:id="rId37" ref="C29"/>
    <hyperlink r:id="rId38" ref="C30"/>
    <hyperlink r:id="rId39" ref="C31"/>
    <hyperlink r:id="rId40" ref="C32"/>
    <hyperlink r:id="rId41" ref="C33"/>
    <hyperlink r:id="rId42" ref="C34"/>
    <hyperlink r:id="rId43" ref="C35"/>
    <hyperlink r:id="rId44" ref="C36"/>
    <hyperlink r:id="rId45" ref="C37"/>
    <hyperlink r:id="rId46" ref="P37"/>
    <hyperlink r:id="rId47" ref="C38"/>
    <hyperlink r:id="rId48" ref="C39"/>
    <hyperlink r:id="rId49" ref="P39"/>
    <hyperlink r:id="rId50" ref="C40"/>
    <hyperlink r:id="rId51" ref="C41"/>
    <hyperlink r:id="rId52" ref="C42"/>
    <hyperlink r:id="rId53" ref="C43"/>
    <hyperlink r:id="rId54" ref="C44"/>
    <hyperlink r:id="rId55" ref="P44"/>
    <hyperlink r:id="rId56" ref="C45"/>
    <hyperlink r:id="rId57" ref="C46"/>
    <hyperlink r:id="rId58" ref="C47"/>
    <hyperlink r:id="rId59" ref="C48"/>
    <hyperlink r:id="rId60" ref="P48"/>
    <hyperlink r:id="rId60" ref="T48"/>
    <hyperlink r:id="rId61" ref="C49"/>
    <hyperlink r:id="rId62" ref="C50"/>
    <hyperlink r:id="rId63" ref="C51"/>
    <hyperlink r:id="rId64" ref="C52"/>
    <hyperlink r:id="rId65" ref="P52"/>
    <hyperlink r:id="rId65" ref="T52"/>
    <hyperlink r:id="rId66" ref="C53"/>
    <hyperlink r:id="rId67" ref="C54"/>
    <hyperlink r:id="rId68" ref="C55"/>
    <hyperlink r:id="rId69" ref="C56"/>
    <hyperlink r:id="rId70" ref="T56"/>
    <hyperlink r:id="rId71" ref="C57"/>
    <hyperlink r:id="rId72" ref="C58"/>
    <hyperlink r:id="rId73" ref="P58"/>
    <hyperlink r:id="rId74" ref="C59"/>
    <hyperlink r:id="rId75" ref="C60"/>
    <hyperlink r:id="rId76" ref="P60"/>
    <hyperlink r:id="rId77" ref="C61"/>
  </hyperlinks>
  <printOptions headings="0" gridLines="1" horizontalCentered="1"/>
  <pageMargins left="0.25" right="0.25" top="0.75" bottom="0.75" header="0" footer="0"/>
  <pageSetup paperSize="9" scale="100" fitToWidth="1" fitToHeight="0" pageOrder="overThenDown" orientation="landscape" usePrinterDefaults="1" blackAndWhite="0" draft="0" cellComments="atEnd" useFirstPageNumber="0" errors="displayed" horizontalDpi="600" verticalDpi="600" copies="1"/>
  <headerFooter/>
  <legacyDrawing r:id="rId80"/>
  <tableParts count="1">
    <tablePart r:id="rId81"/>
  </tableParts>
  <extLst>
    <ext xmlns:x14="http://schemas.microsoft.com/office/spreadsheetml/2009/9/main" uri="{78C0D931-6437-407d-A8EE-F0AAD7539E65}">
      <x14:conditionalFormattings>
        <x14:conditionalFormatting xmlns:xm="http://schemas.microsoft.com/office/excel/2006/main">
          <x14:cfRule type="expression" priority="2" id="{BAD053FF-3661-499D-AC42-7B01D1487251}">
            <xm:f>AND(REGEXMATCH($O2,"^(Yes|Partially)$"), ISBLANK($P2))</xm:f>
            <x14:dxf>
              <font/>
              <fill>
                <patternFill patternType="solid">
                  <fgColor rgb="FFE68282"/>
                  <bgColor rgb="FFE68282"/>
                </patternFill>
              </fill>
              <border>
                <left/>
                <right/>
                <top/>
                <bottom/>
                <diagonal/>
              </border>
            </x14:dxf>
          </x14:cfRule>
          <xm:sqref>P2:P61</xm:sqref>
        </x14:conditionalFormatting>
        <x14:conditionalFormatting xmlns:xm="http://schemas.microsoft.com/office/excel/2006/main">
          <x14:cfRule type="expression" priority="3" id="{50B88C4A-0170-48F5-A86C-B15A7710799C}">
            <xm:f>AND(REGEXMATCH($S2,"^(Yes|Partially)$"), ISBLANK($T2))</xm:f>
            <x14:dxf>
              <font/>
              <fill>
                <patternFill patternType="solid">
                  <fgColor rgb="FFE68282"/>
                  <bgColor rgb="FFE68282"/>
                </patternFill>
              </fill>
              <border>
                <left/>
                <right/>
                <top/>
                <bottom/>
                <diagonal/>
              </border>
            </x14:dxf>
          </x14:cfRule>
          <xm:sqref>T2:T61</xm:sqref>
        </x14:conditionalFormatting>
        <x14:conditionalFormatting xmlns:xm="http://schemas.microsoft.com/office/excel/2006/main">
          <x14:cfRule type="expression" priority="4" id="{991F0069-1414-4D55-B03D-0AC01FCD7BA1}">
            <xm:f>AND($V2="Yes", ISBLANK($W2))</xm:f>
            <x14:dxf>
              <font/>
              <fill>
                <patternFill patternType="solid">
                  <fgColor rgb="FFE68282"/>
                  <bgColor rgb="FFE68282"/>
                </patternFill>
              </fill>
              <border>
                <left/>
                <right/>
                <top/>
                <bottom/>
                <diagonal/>
              </border>
            </x14:dxf>
          </x14:cfRule>
          <xm:sqref>W2:W61</xm:sqref>
        </x14:conditionalFormatting>
        <x14:conditionalFormatting xmlns:xm="http://schemas.microsoft.com/office/excel/2006/main">
          <x14:cfRule type="expression" priority="5" id="{84161D5D-38B5-4DEC-A108-705973A329DD}">
            <xm:f>AND($X2="Yes", ISBLANK($Y2))</xm:f>
            <x14:dxf>
              <font/>
              <fill>
                <patternFill patternType="solid">
                  <fgColor rgb="FFE68282"/>
                  <bgColor rgb="FFE68282"/>
                </patternFill>
              </fill>
              <border>
                <left/>
                <right/>
                <top/>
                <bottom/>
                <diagonal/>
              </border>
            </x14:dxf>
          </x14:cfRule>
          <xm:sqref>Y2:Y61</xm:sqref>
        </x14:conditionalFormatting>
      </x14:conditionalFormattings>
    </ext>
    <ext xmlns:x14="http://schemas.microsoft.com/office/spreadsheetml/2009/9/main" uri="{CCE6A557-97BC-4b89-ADB6-D9C93CAAB3DF}">
      <x14:dataValidations xmlns:xm="http://schemas.microsoft.com/office/excel/2006/main" count="10" disablePrompts="0">
        <x14:dataValidation xr:uid="{0541EF61-2C79-48AB-A1D0-96207C89780B}" type="list" allowBlank="1" errorStyle="stop" imeMode="noControl" operator="between" showDropDown="0" showErrorMessage="0" showInputMessage="0">
          <x14:formula1>
            <xm:f>"Yes,No"</xm:f>
          </x14:formula1>
          <xm:sqref>L2:L61</xm:sqref>
        </x14:dataValidation>
        <x14:dataValidation xr:uid="{0EEC02CA-EEC2-46C8-8967-52AF90935172}" type="list" allowBlank="1" errorStyle="stop" imeMode="noControl" operator="between" showDropDown="0" showErrorMessage="0" showInputMessage="0">
          <x14:formula1>
            <xm:f>"Yes,No,Unknown"</xm:f>
          </x14:formula1>
          <xm:sqref>R2:R61</xm:sqref>
        </x14:dataValidation>
        <x14:dataValidation xr:uid="{3E96BCC6-E3B8-45CB-BDEA-ED352124F808}" type="list" allowBlank="1" errorStyle="stop" imeMode="noControl" operator="between" showDropDown="0" showErrorMessage="0" showInputMessage="0">
          <x14:formula1>
            <xm:f>"Yes,No,Unknown"</xm:f>
          </x14:formula1>
          <xm:sqref>N2:N61</xm:sqref>
        </x14:dataValidation>
        <x14:dataValidation xr:uid="{367712A6-243A-4F1E-A46B-96224544F939}" type="list" allowBlank="1" errorStyle="stop" imeMode="noControl" operator="between" showDropDown="0" showErrorMessage="0" showInputMessage="0">
          <x14:formula1>
            <xm:f>"Yes,No,Partially,Unknown,N/A"</xm:f>
          </x14:formula1>
          <xm:sqref>Z2:Z61</xm:sqref>
        </x14:dataValidation>
        <x14:dataValidation xr:uid="{87DEFDD1-511E-48CB-9979-717E195D296B}" type="custom" allowBlank="1" errorStyle="stop" imeMode="noControl" operator="between" showDropDown="1" showErrorMessage="0" showInputMessage="0">
          <x14:formula1>
            <xm:f>AND(ISNUMBER(B2),(NOT(OR(NOT(ISERROR(DATEVALUE(B2))), AND(ISNUMBER(B2), LEFT(CELL("format", B2))="D")))))</xm:f>
          </x14:formula1>
          <xm:sqref>B2:B61 F2:F61 J2:J61</xm:sqref>
        </x14:dataValidation>
        <x14:dataValidation xr:uid="{E7BF2C81-1BCE-4A3A-A948-B607D323F4E6}" type="custom" allowBlank="1" errorStyle="stop" imeMode="noControl" operator="between" showDropDown="1" showErrorMessage="0" showInputMessage="0">
          <x14:formula1>
            <xm:f>OR(NOT(ISERROR(DATEVALUE(E2))), AND(ISNUMBER(E2), LEFT(CELL("format", E2))="D"))</xm:f>
          </x14:formula1>
          <xm:sqref>E2:E61</xm:sqref>
        </x14:dataValidation>
        <x14:dataValidation xr:uid="{B0174CBC-AB15-4351-BDA8-F2FD8BB7C4AC}" type="list" allowBlank="1" errorStyle="stop" imeMode="noControl" operator="between" showDropDown="0" showErrorMessage="0" showInputMessage="0">
          <x14:formula1>
            <xm:f>"Yes,No,Unknown"</xm:f>
          </x14:formula1>
          <xm:sqref>M2:M61</xm:sqref>
        </x14:dataValidation>
        <x14:dataValidation xr:uid="{A086C60B-4131-4350-BBBA-578322372B6A}" type="list" allowBlank="1" errorStyle="stop" imeMode="noControl" operator="between" showDropDown="0" showErrorMessage="0" showInputMessage="0">
          <x14:formula1>
            <xm:f>"Yes,No,Unknown,N/A"</xm:f>
          </x14:formula1>
          <xm:sqref>V2:V61 X2:X61</xm:sqref>
        </x14:dataValidation>
        <x14:dataValidation xr:uid="{976A6535-7FB9-4DF0-AB32-708B5B6505E4}" type="list" allowBlank="1" errorStyle="stop" imeMode="noControl" operator="between" showDropDown="0" showErrorMessage="0" showInputMessage="0">
          <x14:formula1>
            <xm:f>"Yes,No,Partially,Unknown,N/A,Upon_request"</xm:f>
          </x14:formula1>
          <xm:sqref>O2:O61 S2:S61</xm:sqref>
        </x14:dataValidation>
        <x14:dataValidation xr:uid="{CEC8FC07-DE09-406F-92E5-644202AFF1CF}" type="list" allowBlank="1" errorStyle="stop" imeMode="noControl" operator="between" showDropDown="0" showErrorMessage="0" showInputMessage="0">
          <x14:formula1>
            <xm:f>"Mar,Jun,Sep,Dec"</xm:f>
          </x14:formula1>
          <xm:sqref>G2:G61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1"/>
  </sheetPr>
  <sheetViews>
    <sheetView zoomScale="100" workbookViewId="0">
      <pane xSplit="2" ySplit="1" topLeftCell="C2" activePane="bottomRight" state="frozen"/>
      <selection activeCell="C2" activeCellId="0" sqref="C2"/>
    </sheetView>
  </sheetViews>
  <sheetFormatPr defaultColWidth="12.630000000000001" defaultRowHeight="15.75" customHeight="1"/>
  <cols>
    <col customWidth="1" min="1" max="1" width="24.25"/>
    <col customWidth="1" min="2" max="2" width="20.129999999999999"/>
    <col customWidth="1" min="3" max="3" width="21"/>
    <col customWidth="1" min="4" max="4" width="14.75"/>
    <col customWidth="1" min="6" max="6" width="11.880000000000001"/>
    <col customWidth="1" min="7" max="7" width="12.630000000000001"/>
    <col customWidth="1" min="8" max="8" width="15.130000000000001"/>
    <col customWidth="1" min="9" max="9" width="28"/>
    <col customWidth="1" min="10" max="10" width="18.879999999999999"/>
    <col customWidth="1" min="11" max="11" width="36.75"/>
    <col customWidth="1" min="12" max="12" width="21.379999999999999"/>
    <col customWidth="1" min="13" max="13" width="18.879999999999999"/>
    <col customWidth="1" min="14" max="14" width="19.879999999999999"/>
    <col customWidth="1" min="15" max="16" width="19.75"/>
    <col customWidth="1" min="17" max="17" width="34.5"/>
    <col customWidth="1" min="18" max="18" width="19"/>
    <col customWidth="1" min="19" max="19" width="19.379999999999999"/>
    <col customWidth="1" min="20" max="21" width="19.75"/>
    <col customWidth="1" min="22" max="22" width="22.629999999999999"/>
    <col customWidth="1" min="23" max="23" width="32.630000000000003"/>
    <col customWidth="1" min="24" max="24" width="22.629999999999999"/>
    <col customWidth="1" min="25" max="25" width="25.5"/>
    <col customWidth="1" min="26" max="26" width="27.25"/>
    <col customWidth="1" min="27" max="27" width="39.25"/>
    <col customWidth="1" min="28" max="29" width="34.130000000000003"/>
  </cols>
  <sheetData>
    <row r="1" ht="22.5" customHeight="1">
      <c r="A1" s="1" t="s">
        <v>0</v>
      </c>
      <c r="B1" s="2" t="s">
        <v>1</v>
      </c>
      <c r="C1" s="3" t="s">
        <v>2</v>
      </c>
      <c r="D1" s="3" t="s">
        <v>3</v>
      </c>
      <c r="E1" s="3" t="s">
        <v>4</v>
      </c>
      <c r="F1" s="2" t="s">
        <v>5</v>
      </c>
      <c r="G1" s="2" t="s">
        <v>6</v>
      </c>
      <c r="H1" s="2" t="s">
        <v>7</v>
      </c>
      <c r="I1" s="2" t="s">
        <v>8</v>
      </c>
      <c r="J1" s="2" t="s">
        <v>9</v>
      </c>
      <c r="K1" s="2" t="s">
        <v>10</v>
      </c>
      <c r="L1" s="2" t="s">
        <v>11</v>
      </c>
      <c r="M1" s="2" t="s">
        <v>12</v>
      </c>
      <c r="N1" s="4" t="s">
        <v>13</v>
      </c>
      <c r="O1" s="4" t="s">
        <v>14</v>
      </c>
      <c r="P1" s="4" t="s">
        <v>15</v>
      </c>
      <c r="Q1" s="4" t="s">
        <v>16</v>
      </c>
      <c r="R1" s="5" t="s">
        <v>17</v>
      </c>
      <c r="S1" s="5" t="s">
        <v>18</v>
      </c>
      <c r="T1" s="5" t="s">
        <v>19</v>
      </c>
      <c r="U1" s="5" t="s">
        <v>20</v>
      </c>
      <c r="V1" s="2" t="s">
        <v>21</v>
      </c>
      <c r="W1" s="3" t="s">
        <v>22</v>
      </c>
      <c r="X1" s="2" t="s">
        <v>23</v>
      </c>
      <c r="Y1" s="3" t="s">
        <v>24</v>
      </c>
      <c r="Z1" s="2" t="s">
        <v>25</v>
      </c>
      <c r="AA1" s="3" t="s">
        <v>26</v>
      </c>
      <c r="AB1" s="3" t="s">
        <v>27</v>
      </c>
      <c r="AC1" s="3" t="s">
        <v>28</v>
      </c>
    </row>
    <row r="2" ht="22.5" customHeight="1">
      <c r="A2" s="11" t="str">
        <f>REGEXEXTRACT(D2, "\d{4}\.\s(.*?)\.\sProc\. ACM")"),"AeroTraj: Trajectory Planning for Fast, and Accurate 3D Reconstruction Using a Drone-based LiDAR</f>
        <v xml:space="preserve">AeroTraj: Trajectory Planning for Fast, and Accurate 3D Reconstruction Using a Drone-based LiDAR</v>
      </c>
      <c r="B2" s="7">
        <f t="shared" ref="B2:B9" si="75">IFERROR(VALUE(REGEXEXTRACT(D2,"Article\s+(\d+)")),"")
</f>
        <v>83</v>
      </c>
      <c r="C2" s="8" t="s">
        <v>3155</v>
      </c>
      <c r="D2" s="6" t="s">
        <v>3156</v>
      </c>
      <c r="E2" s="9">
        <v>46043</v>
      </c>
      <c r="F2" s="7">
        <v>2023</v>
      </c>
      <c r="G2" s="7" t="s">
        <v>575</v>
      </c>
      <c r="H2" s="6" t="str">
        <f t="shared" ref="H2:H64" si="76">TEXT($F2,"0000") &amp; "_" &amp; $G2 &amp; "_" &amp; TEXT($B2,"000")</f>
        <v>2023_Sep_083</v>
      </c>
      <c r="I2" s="12" t="str">
        <f t="shared" ref="I2:I64" si="77">CONCATENATE("https",RIGHT(D2,LEN(D2) - (FIND("://",D2) - 1)))</f>
        <v>https://doi.org/10.1145/3610911</v>
      </c>
      <c r="J2" s="7">
        <f>IF(D2:D64&lt;&gt;"", VALUE(REGEXEXTRACT(D2:D64, "(\d+)\s+pages")), )
</f>
        <v>28</v>
      </c>
      <c r="K2" s="6" t="s">
        <v>64</v>
      </c>
      <c r="L2" s="7" t="str">
        <f t="shared" ref="L2:L9" si="78">IF(REGEXMATCH(LOWER($A2),"(^|[^a-z])dataset(s)?([^a-z]|$)"),"Yes","No")"),"No</f>
        <v>No</v>
      </c>
      <c r="M2" s="7" t="s">
        <v>34</v>
      </c>
      <c r="N2" s="7" t="s">
        <v>33</v>
      </c>
      <c r="O2" s="7" t="s">
        <v>34</v>
      </c>
      <c r="P2" s="6"/>
      <c r="Q2" s="6"/>
      <c r="R2" s="7" t="s">
        <v>34</v>
      </c>
      <c r="S2" s="7" t="s">
        <v>35</v>
      </c>
      <c r="T2" s="6"/>
      <c r="U2" s="6"/>
      <c r="V2" s="7" t="s">
        <v>33</v>
      </c>
      <c r="W2" s="6" t="s">
        <v>3157</v>
      </c>
      <c r="X2" s="7" t="s">
        <v>34</v>
      </c>
      <c r="Y2" s="13"/>
      <c r="Z2" s="7" t="s">
        <v>34</v>
      </c>
      <c r="AA2" s="6"/>
      <c r="AB2" s="6" t="s">
        <v>3158</v>
      </c>
      <c r="AC2" s="6" t="s">
        <v>39</v>
      </c>
    </row>
    <row r="3" ht="22.5" customHeight="1">
      <c r="A3" s="11" t="str">
        <f>REGEXEXTRACT(D3, "\d{4}\.\s(.*?)\.\sProc\. ACM")"),"E3D: Harvesting Energy from Everyday Kinetic Interactions Using 3D Printed Attachment Mechanisms</f>
        <v xml:space="preserve">E3D: Harvesting Energy from Everyday Kinetic Interactions Using 3D Printed Attachment Mechanisms</v>
      </c>
      <c r="B3" s="7">
        <f t="shared" si="75"/>
        <v>84</v>
      </c>
      <c r="C3" s="8" t="s">
        <v>3159</v>
      </c>
      <c r="D3" s="6" t="s">
        <v>3160</v>
      </c>
      <c r="E3" s="9">
        <v>46043</v>
      </c>
      <c r="F3" s="7">
        <v>2023</v>
      </c>
      <c r="G3" s="7" t="s">
        <v>575</v>
      </c>
      <c r="H3" s="6" t="str">
        <f t="shared" si="76"/>
        <v>2023_Sep_084</v>
      </c>
      <c r="I3" s="12" t="str">
        <f t="shared" si="77"/>
        <v>https://doi.org/10.1145/3610897</v>
      </c>
      <c r="J3" s="7">
        <f>IF(D3:D64&lt;&gt;"", VALUE(REGEXEXTRACT(D3:D64, "(\d+)\s+pages")), )
</f>
        <v>31</v>
      </c>
      <c r="K3" s="6" t="s">
        <v>777</v>
      </c>
      <c r="L3" s="7" t="str">
        <f t="shared" si="78"/>
        <v>No</v>
      </c>
      <c r="M3" s="7" t="s">
        <v>33</v>
      </c>
      <c r="N3" s="7" t="s">
        <v>33</v>
      </c>
      <c r="O3" s="7" t="s">
        <v>144</v>
      </c>
      <c r="P3" s="10" t="s">
        <v>3161</v>
      </c>
      <c r="Q3" s="6" t="s">
        <v>3162</v>
      </c>
      <c r="R3" s="7" t="s">
        <v>33</v>
      </c>
      <c r="S3" s="7" t="s">
        <v>34</v>
      </c>
      <c r="T3" s="6"/>
      <c r="U3" s="6"/>
      <c r="V3" s="7" t="s">
        <v>33</v>
      </c>
      <c r="W3" s="6" t="s">
        <v>3163</v>
      </c>
      <c r="X3" s="7" t="s">
        <v>34</v>
      </c>
      <c r="Y3" s="13"/>
      <c r="Z3" s="7" t="s">
        <v>34</v>
      </c>
      <c r="AA3" s="6" t="s">
        <v>3164</v>
      </c>
      <c r="AB3" s="6" t="s">
        <v>3165</v>
      </c>
      <c r="AC3" s="6" t="s">
        <v>39</v>
      </c>
    </row>
    <row r="4" ht="22.5" customHeight="1">
      <c r="A4" s="11" t="str">
        <f>REGEXEXTRACT(D4, "\d{4}\.\s(.*?)\.\sProc\. ACM")"),"MI-Poser: Human Body Pose Tracking Using Magnetic and Inertial Sensor Fusion with Metal Interference Mitigation</f>
        <v xml:space="preserve">MI-Poser: Human Body Pose Tracking Using Magnetic and Inertial Sensor Fusion with Metal Interference Mitigation</v>
      </c>
      <c r="B4" s="7">
        <f t="shared" si="75"/>
        <v>85</v>
      </c>
      <c r="C4" s="8" t="s">
        <v>3166</v>
      </c>
      <c r="D4" s="6" t="s">
        <v>3167</v>
      </c>
      <c r="E4" s="9">
        <v>46043</v>
      </c>
      <c r="F4" s="7">
        <v>2023</v>
      </c>
      <c r="G4" s="7" t="s">
        <v>575</v>
      </c>
      <c r="H4" s="6" t="str">
        <f t="shared" si="76"/>
        <v>2023_Sep_085</v>
      </c>
      <c r="I4" s="12" t="str">
        <f t="shared" si="77"/>
        <v>https://doi.org/10.1145/3610891</v>
      </c>
      <c r="J4" s="7">
        <f>IF(D4:D64&lt;&gt;"", VALUE(REGEXEXTRACT(D4:D64, "(\d+)\s+pages")), )
</f>
        <v>24</v>
      </c>
      <c r="K4" s="6" t="s">
        <v>217</v>
      </c>
      <c r="L4" s="7" t="str">
        <f t="shared" si="78"/>
        <v>No</v>
      </c>
      <c r="M4" s="7" t="s">
        <v>33</v>
      </c>
      <c r="N4" s="7" t="s">
        <v>33</v>
      </c>
      <c r="O4" s="7" t="s">
        <v>34</v>
      </c>
      <c r="P4" s="6"/>
      <c r="Q4" s="6"/>
      <c r="R4" s="7" t="s">
        <v>33</v>
      </c>
      <c r="S4" s="7" t="s">
        <v>144</v>
      </c>
      <c r="T4" s="6"/>
      <c r="U4" s="6" t="s">
        <v>3168</v>
      </c>
      <c r="V4" s="7" t="s">
        <v>33</v>
      </c>
      <c r="W4" s="6" t="s">
        <v>3169</v>
      </c>
      <c r="X4" s="7" t="s">
        <v>34</v>
      </c>
      <c r="Y4" s="13"/>
      <c r="Z4" s="7" t="s">
        <v>34</v>
      </c>
      <c r="AA4" s="6"/>
      <c r="AB4" s="6" t="s">
        <v>3170</v>
      </c>
      <c r="AC4" s="6" t="s">
        <v>39</v>
      </c>
    </row>
    <row r="5" ht="22.5" customHeight="1">
      <c r="A5" s="11" t="str">
        <f>REGEXEXTRACT(D5, "\d{4}\.\s(.*?)\.\sProc\. ACM")"),"PulmoListener: Continuous Acoustic Monitoring of Chronic Obstructive Pulmonary Disease in the Wild</f>
        <v xml:space="preserve">PulmoListener: Continuous Acoustic Monitoring of Chronic Obstructive Pulmonary Disease in the Wild</v>
      </c>
      <c r="B5" s="7">
        <f t="shared" si="75"/>
        <v>86</v>
      </c>
      <c r="C5" s="8" t="s">
        <v>3171</v>
      </c>
      <c r="D5" s="6" t="s">
        <v>3172</v>
      </c>
      <c r="E5" s="9">
        <v>46043</v>
      </c>
      <c r="F5" s="7">
        <v>2023</v>
      </c>
      <c r="G5" s="7" t="s">
        <v>575</v>
      </c>
      <c r="H5" s="6" t="str">
        <f t="shared" si="76"/>
        <v>2023_Sep_086</v>
      </c>
      <c r="I5" s="12" t="str">
        <f t="shared" si="77"/>
        <v>https://doi.org/10.1145/3610889</v>
      </c>
      <c r="J5" s="7">
        <f>IF(D5:D64&lt;&gt;"", VALUE(REGEXEXTRACT(D5:D64, "(\d+)\s+pages")), )
</f>
        <v>24</v>
      </c>
      <c r="K5" s="6" t="s">
        <v>32</v>
      </c>
      <c r="L5" s="7" t="str">
        <f t="shared" si="78"/>
        <v>No</v>
      </c>
      <c r="M5" s="7" t="s">
        <v>34</v>
      </c>
      <c r="N5" s="7" t="s">
        <v>33</v>
      </c>
      <c r="O5" s="7" t="s">
        <v>34</v>
      </c>
      <c r="P5" s="6"/>
      <c r="Q5" s="6"/>
      <c r="R5" s="7" t="s">
        <v>33</v>
      </c>
      <c r="S5" s="7" t="s">
        <v>34</v>
      </c>
      <c r="T5" s="6"/>
      <c r="U5" s="6"/>
      <c r="V5" s="7" t="s">
        <v>33</v>
      </c>
      <c r="W5" s="6" t="s">
        <v>3173</v>
      </c>
      <c r="X5" s="7" t="s">
        <v>34</v>
      </c>
      <c r="Y5" s="13"/>
      <c r="Z5" s="7" t="s">
        <v>34</v>
      </c>
      <c r="AA5" s="6"/>
      <c r="AB5" s="6" t="s">
        <v>3174</v>
      </c>
      <c r="AC5" s="6" t="s">
        <v>39</v>
      </c>
    </row>
    <row r="6" ht="22.5" customHeight="1">
      <c r="A6" s="11" t="str">
        <f>REGEXEXTRACT(D6, "\d{4}\.\s(.*?)\.\sProc\. ACM")"),"TAO: Context Detection from Daily Activity Patterns Using Temporal Analysis and Ontology</f>
        <v xml:space="preserve">TAO: Context Detection from Daily Activity Patterns Using Temporal Analysis and Ontology</v>
      </c>
      <c r="B6" s="7">
        <f t="shared" si="75"/>
        <v>87</v>
      </c>
      <c r="C6" s="8" t="s">
        <v>3175</v>
      </c>
      <c r="D6" s="6" t="s">
        <v>3176</v>
      </c>
      <c r="E6" s="9">
        <v>46043</v>
      </c>
      <c r="F6" s="7">
        <v>2023</v>
      </c>
      <c r="G6" s="7" t="s">
        <v>575</v>
      </c>
      <c r="H6" s="6" t="str">
        <f t="shared" si="76"/>
        <v>2023_Sep_087</v>
      </c>
      <c r="I6" s="12" t="str">
        <f t="shared" si="77"/>
        <v>https://doi.org/10.1145/3610896</v>
      </c>
      <c r="J6" s="7">
        <f>IF(D6:D64&lt;&gt;"", VALUE(REGEXEXTRACT(D6:D64, "(\d+)\s+pages")), )
</f>
        <v>32</v>
      </c>
      <c r="K6" s="6" t="s">
        <v>32</v>
      </c>
      <c r="L6" s="7" t="str">
        <f t="shared" si="78"/>
        <v>No</v>
      </c>
      <c r="M6" s="7" t="s">
        <v>33</v>
      </c>
      <c r="N6" s="7" t="s">
        <v>33</v>
      </c>
      <c r="O6" s="7" t="s">
        <v>33</v>
      </c>
      <c r="P6" s="10" t="s">
        <v>3177</v>
      </c>
      <c r="Q6" s="6"/>
      <c r="R6" s="7" t="s">
        <v>33</v>
      </c>
      <c r="S6" s="7" t="s">
        <v>144</v>
      </c>
      <c r="T6" s="6"/>
      <c r="U6" s="6" t="s">
        <v>3178</v>
      </c>
      <c r="V6" s="7" t="s">
        <v>34</v>
      </c>
      <c r="W6" s="6"/>
      <c r="X6" s="7" t="s">
        <v>34</v>
      </c>
      <c r="Y6" s="13"/>
      <c r="Z6" s="7" t="s">
        <v>33</v>
      </c>
      <c r="AA6" s="6" t="s">
        <v>3179</v>
      </c>
      <c r="AB6" s="6" t="s">
        <v>3180</v>
      </c>
      <c r="AC6" s="6" t="s">
        <v>39</v>
      </c>
    </row>
    <row r="7" ht="22.5" customHeight="1">
      <c r="A7" s="11" t="str">
        <f>REGEXEXTRACT(D7, "\d{4}\.\s(.*?)\.\sProc\. ACM")"),"HMGAN: A Hierarchical Multi-Modal Generative Adversarial Network Model for Wearable Human Activity Recognition</f>
        <v xml:space="preserve">HMGAN: A Hierarchical Multi-Modal Generative Adversarial Network Model for Wearable Human Activity Recognition</v>
      </c>
      <c r="B7" s="7">
        <f t="shared" si="75"/>
        <v>88</v>
      </c>
      <c r="C7" s="8" t="s">
        <v>3181</v>
      </c>
      <c r="D7" s="6" t="s">
        <v>3182</v>
      </c>
      <c r="E7" s="9">
        <v>46043</v>
      </c>
      <c r="F7" s="7">
        <v>2023</v>
      </c>
      <c r="G7" s="7" t="s">
        <v>575</v>
      </c>
      <c r="H7" s="6" t="str">
        <f t="shared" si="76"/>
        <v>2023_Sep_088</v>
      </c>
      <c r="I7" s="12" t="str">
        <f t="shared" si="77"/>
        <v>https://doi.org/10.1145/3610909</v>
      </c>
      <c r="J7" s="7">
        <f>IF(D7:D64&lt;&gt;"", VALUE(REGEXEXTRACT(D7:D64, "(\d+)\s+pages")), )
</f>
        <v>27</v>
      </c>
      <c r="K7" s="6" t="s">
        <v>71</v>
      </c>
      <c r="L7" s="7" t="str">
        <f t="shared" si="78"/>
        <v>No</v>
      </c>
      <c r="M7" s="7" t="s">
        <v>34</v>
      </c>
      <c r="N7" s="7" t="s">
        <v>33</v>
      </c>
      <c r="O7" s="7" t="s">
        <v>33</v>
      </c>
      <c r="P7" s="10" t="s">
        <v>3183</v>
      </c>
      <c r="Q7" s="6"/>
      <c r="R7" s="7" t="s">
        <v>33</v>
      </c>
      <c r="S7" s="7" t="s">
        <v>33</v>
      </c>
      <c r="T7" s="6"/>
      <c r="U7" s="6" t="s">
        <v>3184</v>
      </c>
      <c r="V7" s="7" t="s">
        <v>34</v>
      </c>
      <c r="W7" s="6" t="s">
        <v>787</v>
      </c>
      <c r="X7" s="7" t="s">
        <v>34</v>
      </c>
      <c r="Y7" s="13"/>
      <c r="Z7" s="7" t="s">
        <v>33</v>
      </c>
      <c r="AA7" s="6" t="s">
        <v>3185</v>
      </c>
      <c r="AB7" s="6" t="s">
        <v>3186</v>
      </c>
      <c r="AC7" s="6" t="s">
        <v>39</v>
      </c>
    </row>
    <row r="8" ht="22.5" customHeight="1">
      <c r="A8" s="11" t="str">
        <f>REGEXEXTRACT(D8, "\d{4}\.\s(.*?)\.\sProc\. ACM")"),"Environment-aware Multi-person Tracking in Indoor Environments with MmWave Radars</f>
        <v xml:space="preserve">Environment-aware Multi-person Tracking in Indoor Environments with MmWave Radars</v>
      </c>
      <c r="B8" s="7">
        <f t="shared" si="75"/>
        <v>89</v>
      </c>
      <c r="C8" s="8" t="s">
        <v>3187</v>
      </c>
      <c r="D8" s="6" t="s">
        <v>3188</v>
      </c>
      <c r="E8" s="9">
        <v>46043</v>
      </c>
      <c r="F8" s="7">
        <v>2023</v>
      </c>
      <c r="G8" s="7" t="s">
        <v>575</v>
      </c>
      <c r="H8" s="6" t="str">
        <f t="shared" si="76"/>
        <v>2023_Sep_089</v>
      </c>
      <c r="I8" s="12" t="str">
        <f t="shared" si="77"/>
        <v>https://doi.org/10.1145/3610902</v>
      </c>
      <c r="J8" s="7">
        <f>IF(D8:D64&lt;&gt;"", VALUE(REGEXEXTRACT(D8:D64, "(\d+)\s+pages")), )
</f>
        <v>29</v>
      </c>
      <c r="K8" s="6" t="s">
        <v>64</v>
      </c>
      <c r="L8" s="7" t="str">
        <f t="shared" si="78"/>
        <v>No</v>
      </c>
      <c r="M8" s="7" t="s">
        <v>34</v>
      </c>
      <c r="N8" s="7" t="s">
        <v>33</v>
      </c>
      <c r="O8" s="7" t="s">
        <v>34</v>
      </c>
      <c r="P8" s="13"/>
      <c r="Q8" s="6"/>
      <c r="R8" s="7" t="s">
        <v>34</v>
      </c>
      <c r="S8" s="7" t="s">
        <v>35</v>
      </c>
      <c r="T8" s="6"/>
      <c r="U8" s="6"/>
      <c r="V8" s="7" t="s">
        <v>33</v>
      </c>
      <c r="W8" s="6" t="s">
        <v>3189</v>
      </c>
      <c r="X8" s="7" t="s">
        <v>33</v>
      </c>
      <c r="Y8" s="6" t="s">
        <v>152</v>
      </c>
      <c r="Z8" s="7" t="s">
        <v>34</v>
      </c>
      <c r="AA8" s="6"/>
      <c r="AB8" s="6" t="s">
        <v>3190</v>
      </c>
      <c r="AC8" s="6" t="s">
        <v>39</v>
      </c>
    </row>
    <row r="9" ht="22.5" customHeight="1">
      <c r="A9" s="11" t="str">
        <f>REGEXEXTRACT(D9, "\d{4}\.\s(.*?)\.\sProc\. ACM")"),"RealityReplay: Detecting and Replaying Temporal Changes In Situ Using Mixed Reality</f>
        <v xml:space="preserve">RealityReplay: Detecting and Replaying Temporal Changes In Situ Using Mixed Reality</v>
      </c>
      <c r="B9" s="7">
        <f t="shared" si="75"/>
        <v>90</v>
      </c>
      <c r="C9" s="8" t="s">
        <v>3191</v>
      </c>
      <c r="D9" s="6" t="s">
        <v>3192</v>
      </c>
      <c r="E9" s="9">
        <v>46043</v>
      </c>
      <c r="F9" s="7">
        <v>2023</v>
      </c>
      <c r="G9" s="7" t="s">
        <v>575</v>
      </c>
      <c r="H9" s="6" t="str">
        <f t="shared" si="76"/>
        <v>2023_Sep_090</v>
      </c>
      <c r="I9" s="12" t="str">
        <f t="shared" si="77"/>
        <v>https://doi.org/10.1145/3610888</v>
      </c>
      <c r="J9" s="7">
        <f>IF(D9:D64&lt;&gt;"", VALUE(REGEXEXTRACT(D9:D64, "(\d+)\s+pages")), )
</f>
        <v>25</v>
      </c>
      <c r="K9" s="6" t="s">
        <v>133</v>
      </c>
      <c r="L9" s="7" t="str">
        <f t="shared" si="78"/>
        <v>No</v>
      </c>
      <c r="M9" s="7" t="s">
        <v>33</v>
      </c>
      <c r="N9" s="7" t="s">
        <v>33</v>
      </c>
      <c r="O9" s="7" t="s">
        <v>33</v>
      </c>
      <c r="P9" s="10" t="s">
        <v>3193</v>
      </c>
      <c r="Q9" s="6"/>
      <c r="R9" s="7" t="s">
        <v>34</v>
      </c>
      <c r="S9" s="7" t="s">
        <v>35</v>
      </c>
      <c r="T9" s="6"/>
      <c r="U9" s="6"/>
      <c r="V9" s="7" t="s">
        <v>33</v>
      </c>
      <c r="W9" s="6" t="s">
        <v>3194</v>
      </c>
      <c r="X9" s="7" t="s">
        <v>34</v>
      </c>
      <c r="Y9" s="13"/>
      <c r="Z9" s="7" t="s">
        <v>33</v>
      </c>
      <c r="AA9" s="6" t="s">
        <v>3195</v>
      </c>
      <c r="AB9" s="6" t="s">
        <v>3196</v>
      </c>
      <c r="AC9" s="6" t="s">
        <v>39</v>
      </c>
    </row>
    <row r="10" ht="22.5" customHeight="1">
      <c r="A10" s="11" t="str">
        <f>REGEXEXTRACT(D10, "\d{4}\.\s(.*?)\.\sProc\. ACM")"),"VibPath: Two-Factor Authentication with Your Hand's Vibration Response to Unlock Your Phone</f>
        <v xml:space="preserve">VibPath: Two-Factor Authentication with Your Hand's Vibration Response to Unlock Your Phone</v>
      </c>
      <c r="B10" s="7">
        <f t="shared" ref="B10:B64" si="79">IFERROR(VALUE(REGEXEXTRACT(D10,"Article\s+(\d+)")),"")
</f>
        <v>91</v>
      </c>
      <c r="C10" s="8" t="s">
        <v>3197</v>
      </c>
      <c r="D10" s="6" t="s">
        <v>3198</v>
      </c>
      <c r="E10" s="9">
        <v>46043</v>
      </c>
      <c r="F10" s="7">
        <v>2023</v>
      </c>
      <c r="G10" s="7" t="s">
        <v>575</v>
      </c>
      <c r="H10" s="6" t="str">
        <f t="shared" si="76"/>
        <v>2023_Sep_091</v>
      </c>
      <c r="I10" s="12" t="str">
        <f t="shared" si="77"/>
        <v>https://doi.org/10.1145/3610894</v>
      </c>
      <c r="J10" s="7">
        <f>IF(D10:D64&lt;&gt;"", VALUE(REGEXEXTRACT(D10:D64, "(\d+)\s+pages")), )
</f>
        <v>26</v>
      </c>
      <c r="K10" s="6" t="s">
        <v>133</v>
      </c>
      <c r="L10" s="7" t="str">
        <f t="shared" ref="L10:L24" si="80">IF(REGEXMATCH(LOWER($A10),"(^|[^a-z])dataset(s)?([^a-z]|$)"),"Yes","No")"),"No</f>
        <v>No</v>
      </c>
      <c r="M10" s="7" t="s">
        <v>34</v>
      </c>
      <c r="N10" s="7" t="s">
        <v>33</v>
      </c>
      <c r="O10" s="7" t="s">
        <v>34</v>
      </c>
      <c r="P10" s="6"/>
      <c r="Q10" s="6"/>
      <c r="R10" s="7" t="s">
        <v>33</v>
      </c>
      <c r="S10" s="7" t="s">
        <v>34</v>
      </c>
      <c r="T10" s="6"/>
      <c r="U10" s="6"/>
      <c r="V10" s="7" t="s">
        <v>34</v>
      </c>
      <c r="W10" s="6" t="s">
        <v>3199</v>
      </c>
      <c r="X10" s="7" t="s">
        <v>34</v>
      </c>
      <c r="Y10" s="13"/>
      <c r="Z10" s="7" t="s">
        <v>34</v>
      </c>
      <c r="AA10" s="6"/>
      <c r="AB10" s="6" t="s">
        <v>3200</v>
      </c>
      <c r="AC10" s="6" t="s">
        <v>39</v>
      </c>
    </row>
    <row r="11" ht="22.5" customHeight="1">
      <c r="A11" s="11" t="str">
        <f>REGEXEXTRACT(D11, "\d{4}\.\s(.*?)\.\sProc\. ACM")"),""It's Not an Issue of Malice, but of Ignorance": Towards Inclusive Video Conferencing for Presenters Who are d/Deaf or Hard of Hearing</f>
        <v xml:space="preserve">"It's Not an Issue of Malice, but of Ignorance": Towards Inclusive Video Conferencing for Presenters Who are d/Deaf or Hard of Hearing</v>
      </c>
      <c r="B11" s="7">
        <f t="shared" si="79"/>
        <v>92</v>
      </c>
      <c r="C11" s="8" t="s">
        <v>3201</v>
      </c>
      <c r="D11" s="6" t="s">
        <v>3202</v>
      </c>
      <c r="E11" s="9">
        <v>46043</v>
      </c>
      <c r="F11" s="7">
        <v>2023</v>
      </c>
      <c r="G11" s="7" t="s">
        <v>575</v>
      </c>
      <c r="H11" s="6" t="str">
        <f t="shared" si="76"/>
        <v>2023_Sep_092</v>
      </c>
      <c r="I11" s="12" t="str">
        <f t="shared" si="77"/>
        <v>https://doi.org/10.1145/3610901</v>
      </c>
      <c r="J11" s="7">
        <f>IF(D11:D64&lt;&gt;"", VALUE(REGEXEXTRACT(D11:D64, "(\d+)\s+pages")), )
</f>
        <v>31</v>
      </c>
      <c r="K11" s="6" t="s">
        <v>133</v>
      </c>
      <c r="L11" s="7" t="str">
        <f t="shared" si="80"/>
        <v>No</v>
      </c>
      <c r="M11" s="7" t="s">
        <v>34</v>
      </c>
      <c r="N11" s="7" t="s">
        <v>33</v>
      </c>
      <c r="O11" s="7" t="s">
        <v>34</v>
      </c>
      <c r="P11" s="6"/>
      <c r="Q11" s="6"/>
      <c r="R11" s="7" t="s">
        <v>34</v>
      </c>
      <c r="S11" s="7" t="s">
        <v>35</v>
      </c>
      <c r="T11" s="6"/>
      <c r="U11" s="6"/>
      <c r="V11" s="7" t="s">
        <v>34</v>
      </c>
      <c r="W11" s="6"/>
      <c r="X11" s="7" t="s">
        <v>34</v>
      </c>
      <c r="Y11" s="6" t="s">
        <v>3203</v>
      </c>
      <c r="Z11" s="7" t="s">
        <v>34</v>
      </c>
      <c r="AA11" s="6"/>
      <c r="AB11" s="6" t="s">
        <v>3204</v>
      </c>
      <c r="AC11" s="6" t="s">
        <v>39</v>
      </c>
    </row>
    <row r="12" ht="22.5" customHeight="1">
      <c r="A12" s="11" t="str">
        <f>REGEXEXTRACT(D12, "\d{4}\.\s(.*?)\.\sProc\. ACM")"),"Abacus Gestures: A Large Set of Math-Based Usable Finger-Counting Gestures for Mid-Air Interactions</f>
        <v xml:space="preserve">Abacus Gestures: A Large Set of Math-Based Usable Finger-Counting Gestures for Mid-Air Interactions</v>
      </c>
      <c r="B12" s="7">
        <f t="shared" si="79"/>
        <v>93</v>
      </c>
      <c r="C12" s="8" t="s">
        <v>3205</v>
      </c>
      <c r="D12" s="6" t="s">
        <v>3206</v>
      </c>
      <c r="E12" s="9">
        <v>46043</v>
      </c>
      <c r="F12" s="7">
        <v>2023</v>
      </c>
      <c r="G12" s="7" t="s">
        <v>575</v>
      </c>
      <c r="H12" s="6" t="str">
        <f t="shared" si="76"/>
        <v>2023_Sep_093</v>
      </c>
      <c r="I12" s="12" t="str">
        <f t="shared" si="77"/>
        <v>https://doi.org/10.1145/3610898</v>
      </c>
      <c r="J12" s="7">
        <f>IF(D12:D64&lt;&gt;"", VALUE(REGEXEXTRACT(D12:D64, "(\d+)\s+pages")), )
</f>
        <v>30</v>
      </c>
      <c r="K12" s="6" t="s">
        <v>133</v>
      </c>
      <c r="L12" s="7" t="str">
        <f t="shared" si="80"/>
        <v>No</v>
      </c>
      <c r="M12" s="7" t="s">
        <v>34</v>
      </c>
      <c r="N12" s="7" t="s">
        <v>33</v>
      </c>
      <c r="O12" s="7" t="s">
        <v>34</v>
      </c>
      <c r="P12" s="13"/>
      <c r="Q12" s="13"/>
      <c r="R12" s="7" t="s">
        <v>34</v>
      </c>
      <c r="S12" s="7" t="s">
        <v>35</v>
      </c>
      <c r="T12" s="13"/>
      <c r="U12" s="13"/>
      <c r="V12" s="7" t="s">
        <v>34</v>
      </c>
      <c r="W12" s="6" t="s">
        <v>3207</v>
      </c>
      <c r="X12" s="7" t="s">
        <v>34</v>
      </c>
      <c r="Y12" s="13"/>
      <c r="Z12" s="7" t="s">
        <v>34</v>
      </c>
      <c r="AA12" s="13"/>
      <c r="AB12" s="6" t="s">
        <v>3208</v>
      </c>
      <c r="AC12" s="6" t="s">
        <v>39</v>
      </c>
    </row>
    <row r="13" ht="22.5" customHeight="1">
      <c r="A13" s="11" t="str">
        <f>REGEXEXTRACT(D13, "\d{4}\.\s(.*?)\.\sProc\. ACM")"),"FewShotBP: Towards Personalized Ubiquitous Continuous Blood Pressure Measurement</f>
        <v xml:space="preserve">FewShotBP: Towards Personalized Ubiquitous Continuous Blood Pressure Measurement</v>
      </c>
      <c r="B13" s="7">
        <f t="shared" si="79"/>
        <v>94</v>
      </c>
      <c r="C13" s="8" t="s">
        <v>3209</v>
      </c>
      <c r="D13" s="6" t="s">
        <v>3210</v>
      </c>
      <c r="E13" s="9">
        <v>46043</v>
      </c>
      <c r="F13" s="7">
        <v>2023</v>
      </c>
      <c r="G13" s="7" t="s">
        <v>575</v>
      </c>
      <c r="H13" s="6" t="str">
        <f t="shared" si="76"/>
        <v>2023_Sep_094</v>
      </c>
      <c r="I13" s="12" t="str">
        <f t="shared" si="77"/>
        <v>https://doi.org/10.1145/3610918</v>
      </c>
      <c r="J13" s="7">
        <f>IF(D13:D64&lt;&gt;"", VALUE(REGEXEXTRACT(D13:D64, "(\d+)\s+pages")), )
</f>
        <v>39</v>
      </c>
      <c r="K13" s="6" t="s">
        <v>133</v>
      </c>
      <c r="L13" s="7" t="str">
        <f t="shared" si="80"/>
        <v>No</v>
      </c>
      <c r="M13" s="7" t="s">
        <v>33</v>
      </c>
      <c r="N13" s="7" t="s">
        <v>33</v>
      </c>
      <c r="O13" s="7" t="s">
        <v>33</v>
      </c>
      <c r="P13" s="10" t="s">
        <v>3211</v>
      </c>
      <c r="Q13" s="6"/>
      <c r="R13" s="7" t="s">
        <v>33</v>
      </c>
      <c r="S13" s="7" t="s">
        <v>144</v>
      </c>
      <c r="T13" s="6"/>
      <c r="U13" s="6" t="s">
        <v>3212</v>
      </c>
      <c r="V13" s="7" t="s">
        <v>34</v>
      </c>
      <c r="W13" s="6"/>
      <c r="X13" s="7" t="s">
        <v>33</v>
      </c>
      <c r="Y13" s="6" t="s">
        <v>3213</v>
      </c>
      <c r="Z13" s="7" t="s">
        <v>33</v>
      </c>
      <c r="AA13" s="6" t="s">
        <v>3214</v>
      </c>
      <c r="AB13" s="6" t="s">
        <v>3215</v>
      </c>
      <c r="AC13" s="6" t="s">
        <v>39</v>
      </c>
    </row>
    <row r="14" ht="22.5" customHeight="1">
      <c r="A14" s="11" t="str">
        <f>REGEXEXTRACT(D14, "\d{4}\.\s(.*?)\.\sProc\. ACM")"),"Investigating Passive Haptic Learning of Piano Songs Using Three Tactile Sensations of Vibration, Stroking and Tapping</f>
        <v xml:space="preserve">Investigating Passive Haptic Learning of Piano Songs Using Three Tactile Sensations of Vibration, Stroking and Tapping</v>
      </c>
      <c r="B14" s="7">
        <f t="shared" si="79"/>
        <v>95</v>
      </c>
      <c r="C14" s="8" t="s">
        <v>3216</v>
      </c>
      <c r="D14" s="6" t="s">
        <v>3217</v>
      </c>
      <c r="E14" s="9">
        <v>46044</v>
      </c>
      <c r="F14" s="7">
        <v>2023</v>
      </c>
      <c r="G14" s="7" t="s">
        <v>575</v>
      </c>
      <c r="H14" s="6" t="str">
        <f t="shared" si="76"/>
        <v>2023_Sep_095</v>
      </c>
      <c r="I14" s="12" t="str">
        <f t="shared" si="77"/>
        <v>https://doi.org/10.1145/3610899</v>
      </c>
      <c r="J14" s="7">
        <f>IF(D14:D64&lt;&gt;"", VALUE(REGEXEXTRACT(D14:D64, "(\d+)\s+pages")), )
</f>
        <v>19</v>
      </c>
      <c r="K14" s="6" t="s">
        <v>348</v>
      </c>
      <c r="L14" s="7" t="str">
        <f t="shared" si="80"/>
        <v>No</v>
      </c>
      <c r="M14" s="7" t="s">
        <v>34</v>
      </c>
      <c r="N14" s="7" t="s">
        <v>33</v>
      </c>
      <c r="O14" s="7" t="s">
        <v>33</v>
      </c>
      <c r="P14" s="10" t="s">
        <v>3218</v>
      </c>
      <c r="Q14" s="6"/>
      <c r="R14" s="7" t="s">
        <v>34</v>
      </c>
      <c r="S14" s="7" t="s">
        <v>35</v>
      </c>
      <c r="T14" s="6"/>
      <c r="U14" s="6"/>
      <c r="V14" s="7" t="s">
        <v>33</v>
      </c>
      <c r="W14" s="6" t="s">
        <v>3219</v>
      </c>
      <c r="X14" s="7" t="s">
        <v>34</v>
      </c>
      <c r="Y14" s="13"/>
      <c r="Z14" s="7" t="s">
        <v>34</v>
      </c>
      <c r="AA14" s="6" t="s">
        <v>3220</v>
      </c>
      <c r="AB14" s="6" t="s">
        <v>3221</v>
      </c>
      <c r="AC14" s="6" t="s">
        <v>39</v>
      </c>
    </row>
    <row r="15" ht="22.5" customHeight="1">
      <c r="A15" s="11" t="str">
        <f>REGEXEXTRACT(D15, "\d{4}\.\s(.*?)\.\sProc\. ACM")"),"MMTSA: Multi-Modal Temporal Segment Attention Network for Efficient Human Activity Recognition</f>
        <v xml:space="preserve">MMTSA: Multi-Modal Temporal Segment Attention Network for Efficient Human Activity Recognition</v>
      </c>
      <c r="B15" s="7">
        <f t="shared" si="79"/>
        <v>96</v>
      </c>
      <c r="C15" s="8" t="s">
        <v>3222</v>
      </c>
      <c r="D15" s="6" t="s">
        <v>3223</v>
      </c>
      <c r="E15" s="9">
        <v>46044</v>
      </c>
      <c r="F15" s="7">
        <v>2023</v>
      </c>
      <c r="G15" s="7" t="s">
        <v>575</v>
      </c>
      <c r="H15" s="6" t="str">
        <f t="shared" si="76"/>
        <v>2023_Sep_096</v>
      </c>
      <c r="I15" s="12" t="str">
        <f t="shared" si="77"/>
        <v>https://doi.org/10.1145/3610872</v>
      </c>
      <c r="J15" s="7">
        <f>IF(D15:D64&lt;&gt;"", VALUE(REGEXEXTRACT(D15:D64, "(\d+)\s+pages")), )
</f>
        <v>26</v>
      </c>
      <c r="K15" s="6" t="s">
        <v>71</v>
      </c>
      <c r="L15" s="7" t="str">
        <f t="shared" si="80"/>
        <v>No</v>
      </c>
      <c r="M15" s="7" t="s">
        <v>33</v>
      </c>
      <c r="N15" s="7" t="s">
        <v>33</v>
      </c>
      <c r="O15" s="7" t="s">
        <v>34</v>
      </c>
      <c r="P15" s="6"/>
      <c r="Q15" s="6"/>
      <c r="R15" s="7" t="s">
        <v>33</v>
      </c>
      <c r="S15" s="7" t="s">
        <v>33</v>
      </c>
      <c r="T15" s="6"/>
      <c r="U15" s="6" t="s">
        <v>3224</v>
      </c>
      <c r="V15" s="7" t="s">
        <v>34</v>
      </c>
      <c r="W15" s="6"/>
      <c r="X15" s="7" t="s">
        <v>34</v>
      </c>
      <c r="Y15" s="13"/>
      <c r="Z15" s="7" t="s">
        <v>34</v>
      </c>
      <c r="AA15" s="6"/>
      <c r="AB15" s="6" t="s">
        <v>3225</v>
      </c>
      <c r="AC15" s="6" t="s">
        <v>39</v>
      </c>
    </row>
    <row r="16" ht="22.5" customHeight="1">
      <c r="A16" s="11" t="str">
        <f>REGEXEXTRACT(D16, "\d{4}\.\s(.*?)\.\sProc\. ACM")"),"Iris: Passive Visible Light Positioning Using Light Spectral Information</f>
        <v xml:space="preserve">Iris: Passive Visible Light Positioning Using Light Spectral Information</v>
      </c>
      <c r="B16" s="7">
        <f t="shared" si="79"/>
        <v>97</v>
      </c>
      <c r="C16" s="8" t="s">
        <v>3226</v>
      </c>
      <c r="D16" s="6" t="s">
        <v>3227</v>
      </c>
      <c r="E16" s="9">
        <v>46044</v>
      </c>
      <c r="F16" s="7">
        <v>2023</v>
      </c>
      <c r="G16" s="7" t="s">
        <v>575</v>
      </c>
      <c r="H16" s="6" t="str">
        <f t="shared" si="76"/>
        <v>2023_Sep_097</v>
      </c>
      <c r="I16" s="12" t="str">
        <f t="shared" si="77"/>
        <v>https://doi.org/10.1145/3610913</v>
      </c>
      <c r="J16" s="7">
        <f>IF(D16:D64&lt;&gt;"", VALUE(REGEXEXTRACT(D16:D64, "(\d+)\s+pages")), )
</f>
        <v>27</v>
      </c>
      <c r="K16" s="6" t="s">
        <v>777</v>
      </c>
      <c r="L16" s="7" t="str">
        <f t="shared" si="80"/>
        <v>No</v>
      </c>
      <c r="M16" s="7" t="s">
        <v>34</v>
      </c>
      <c r="N16" s="7" t="s">
        <v>33</v>
      </c>
      <c r="O16" s="7" t="s">
        <v>34</v>
      </c>
      <c r="P16" s="6"/>
      <c r="Q16" s="6"/>
      <c r="R16" s="7" t="s">
        <v>33</v>
      </c>
      <c r="S16" s="7" t="s">
        <v>34</v>
      </c>
      <c r="T16" s="6"/>
      <c r="U16" s="6"/>
      <c r="V16" s="7" t="s">
        <v>33</v>
      </c>
      <c r="W16" s="6" t="s">
        <v>3228</v>
      </c>
      <c r="X16" s="7" t="s">
        <v>34</v>
      </c>
      <c r="Y16" s="13"/>
      <c r="Z16" s="7" t="s">
        <v>34</v>
      </c>
      <c r="AA16" s="6"/>
      <c r="AB16" s="6" t="s">
        <v>3229</v>
      </c>
      <c r="AC16" s="6" t="s">
        <v>39</v>
      </c>
    </row>
    <row r="17" ht="22.5" customHeight="1">
      <c r="A17" s="11" t="str">
        <f>REGEXEXTRACT(D17, "\d{4}\.\s(.*?)\.\sProc\. ACM")"),"MicroCam: Leveraging Smartphone Microscope Camera for Context-Aware Contact Surface Sensing</f>
        <v xml:space="preserve">MicroCam: Leveraging Smartphone Microscope Camera for Context-Aware Contact Surface Sensing</v>
      </c>
      <c r="B17" s="7">
        <f t="shared" si="79"/>
        <v>98</v>
      </c>
      <c r="C17" s="8" t="s">
        <v>3230</v>
      </c>
      <c r="D17" s="6" t="s">
        <v>3231</v>
      </c>
      <c r="E17" s="9">
        <v>46044</v>
      </c>
      <c r="F17" s="7">
        <v>2023</v>
      </c>
      <c r="G17" s="7" t="s">
        <v>575</v>
      </c>
      <c r="H17" s="6" t="str">
        <f t="shared" si="76"/>
        <v>2023_Sep_098</v>
      </c>
      <c r="I17" s="12" t="str">
        <f t="shared" si="77"/>
        <v>https://doi.org/10.1145/3610921</v>
      </c>
      <c r="J17" s="7">
        <f>IF(D17:D64&lt;&gt;"", VALUE(REGEXEXTRACT(D17:D64, "(\d+)\s+pages")), )
</f>
        <v>28</v>
      </c>
      <c r="K17" s="6" t="s">
        <v>243</v>
      </c>
      <c r="L17" s="7" t="str">
        <f t="shared" si="80"/>
        <v>No</v>
      </c>
      <c r="M17" s="7" t="s">
        <v>34</v>
      </c>
      <c r="N17" s="7" t="s">
        <v>33</v>
      </c>
      <c r="O17" s="7" t="s">
        <v>34</v>
      </c>
      <c r="P17" s="6"/>
      <c r="Q17" s="6"/>
      <c r="R17" s="7" t="s">
        <v>33</v>
      </c>
      <c r="S17" s="7" t="s">
        <v>34</v>
      </c>
      <c r="T17" s="6"/>
      <c r="U17" s="6"/>
      <c r="V17" s="7" t="s">
        <v>34</v>
      </c>
      <c r="W17" s="6" t="s">
        <v>124</v>
      </c>
      <c r="X17" s="7" t="s">
        <v>34</v>
      </c>
      <c r="Y17" s="13"/>
      <c r="Z17" s="7" t="s">
        <v>34</v>
      </c>
      <c r="AA17" s="6"/>
      <c r="AB17" s="6" t="s">
        <v>3232</v>
      </c>
      <c r="AC17" s="6" t="s">
        <v>39</v>
      </c>
    </row>
    <row r="18" ht="22.5" customHeight="1">
      <c r="A18" s="11" t="str">
        <f>REGEXEXTRACT(D18, "\d{4}\.\s(.*?)\.\sProc\. ACM")"),"Interaction Proxy Manager: Semantic Model Generation and Run-time Support for Reconstructing Ubiquitous User Interfaces of Mobile Services</f>
        <v xml:space="preserve">Interaction Proxy Manager: Semantic Model Generation and Run-time Support for Reconstructing Ubiquitous User Interfaces of Mobile Services</v>
      </c>
      <c r="B18" s="7">
        <f t="shared" si="79"/>
        <v>99</v>
      </c>
      <c r="C18" s="8" t="s">
        <v>3233</v>
      </c>
      <c r="D18" s="6" t="s">
        <v>3234</v>
      </c>
      <c r="E18" s="9">
        <v>46044</v>
      </c>
      <c r="F18" s="7">
        <v>2023</v>
      </c>
      <c r="G18" s="7" t="s">
        <v>575</v>
      </c>
      <c r="H18" s="6" t="str">
        <f t="shared" si="76"/>
        <v>2023_Sep_099</v>
      </c>
      <c r="I18" s="12" t="str">
        <f t="shared" si="77"/>
        <v>https://doi.org/10.1145/3610929</v>
      </c>
      <c r="J18" s="7">
        <f>IF(D18:D64&lt;&gt;"", VALUE(REGEXEXTRACT(D18:D64, "(\d+)\s+pages")), )
</f>
        <v>39</v>
      </c>
      <c r="K18" s="6" t="s">
        <v>133</v>
      </c>
      <c r="L18" s="7" t="str">
        <f t="shared" si="80"/>
        <v>No</v>
      </c>
      <c r="M18" s="7" t="s">
        <v>33</v>
      </c>
      <c r="N18" s="7" t="s">
        <v>33</v>
      </c>
      <c r="O18" s="7" t="s">
        <v>34</v>
      </c>
      <c r="P18" s="6"/>
      <c r="Q18" s="6" t="s">
        <v>3235</v>
      </c>
      <c r="R18" s="7" t="s">
        <v>33</v>
      </c>
      <c r="S18" s="7" t="s">
        <v>34</v>
      </c>
      <c r="T18" s="6"/>
      <c r="U18" s="6" t="s">
        <v>3236</v>
      </c>
      <c r="V18" s="7" t="s">
        <v>34</v>
      </c>
      <c r="W18" s="6"/>
      <c r="X18" s="7" t="s">
        <v>34</v>
      </c>
      <c r="Y18" s="13"/>
      <c r="Z18" s="7" t="s">
        <v>34</v>
      </c>
      <c r="AA18" s="6"/>
      <c r="AB18" s="6" t="s">
        <v>3237</v>
      </c>
      <c r="AC18" s="6" t="s">
        <v>39</v>
      </c>
    </row>
    <row r="19" ht="22.5" customHeight="1">
      <c r="A19" s="11" t="str">
        <f>REGEXEXTRACT(D19, "\d{4}\.\s(.*?)\.\sProc\. ACM")"),"GlassMessaging: Towards Ubiquitous Messaging Using OHMDs</f>
        <v xml:space="preserve">GlassMessaging: Towards Ubiquitous Messaging Using OHMDs</v>
      </c>
      <c r="B19" s="7">
        <f t="shared" si="79"/>
        <v>100</v>
      </c>
      <c r="C19" s="8" t="s">
        <v>3238</v>
      </c>
      <c r="D19" s="6" t="s">
        <v>3239</v>
      </c>
      <c r="E19" s="9">
        <v>46044</v>
      </c>
      <c r="F19" s="7">
        <v>2023</v>
      </c>
      <c r="G19" s="7" t="s">
        <v>575</v>
      </c>
      <c r="H19" s="6" t="str">
        <f t="shared" si="76"/>
        <v>2023_Sep_100</v>
      </c>
      <c r="I19" s="12" t="str">
        <f t="shared" si="77"/>
        <v>https://doi.org/10.1145/3610931</v>
      </c>
      <c r="J19" s="7">
        <f>IF(D19:D64&lt;&gt;"", VALUE(REGEXEXTRACT(D19:D64, "(\d+)\s+pages")), )
</f>
        <v>32</v>
      </c>
      <c r="K19" s="6" t="s">
        <v>133</v>
      </c>
      <c r="L19" s="7" t="str">
        <f t="shared" si="80"/>
        <v>No</v>
      </c>
      <c r="M19" s="7" t="s">
        <v>33</v>
      </c>
      <c r="N19" s="7" t="s">
        <v>33</v>
      </c>
      <c r="O19" s="7" t="s">
        <v>33</v>
      </c>
      <c r="P19" s="10" t="s">
        <v>3240</v>
      </c>
      <c r="Q19" s="6" t="s">
        <v>3241</v>
      </c>
      <c r="R19" s="7" t="s">
        <v>34</v>
      </c>
      <c r="S19" s="7" t="s">
        <v>35</v>
      </c>
      <c r="T19" s="6"/>
      <c r="U19" s="6"/>
      <c r="V19" s="7" t="s">
        <v>33</v>
      </c>
      <c r="W19" s="6" t="s">
        <v>3242</v>
      </c>
      <c r="X19" s="7" t="s">
        <v>34</v>
      </c>
      <c r="Y19" s="13"/>
      <c r="Z19" s="7" t="s">
        <v>33</v>
      </c>
      <c r="AA19" s="6" t="s">
        <v>3243</v>
      </c>
      <c r="AB19" s="6" t="s">
        <v>3244</v>
      </c>
      <c r="AC19" s="6" t="s">
        <v>39</v>
      </c>
    </row>
    <row r="20" ht="22.5" customHeight="1">
      <c r="A20" s="11" t="str">
        <f>REGEXEXTRACT(D20, "\d{4}\.\s(.*?)\.\sProc\. ACM")"),"Fast Radio Map Construction with Domain Disentangled Learning for Wireless Localization</f>
        <v xml:space="preserve">Fast Radio Map Construction with Domain Disentangled Learning for Wireless Localization</v>
      </c>
      <c r="B20" s="7">
        <f t="shared" si="79"/>
        <v>101</v>
      </c>
      <c r="C20" s="8" t="s">
        <v>3245</v>
      </c>
      <c r="D20" s="6" t="s">
        <v>3246</v>
      </c>
      <c r="E20" s="9">
        <v>46044</v>
      </c>
      <c r="F20" s="7">
        <v>2023</v>
      </c>
      <c r="G20" s="7" t="s">
        <v>575</v>
      </c>
      <c r="H20" s="6" t="str">
        <f t="shared" si="76"/>
        <v>2023_Sep_101</v>
      </c>
      <c r="I20" s="12" t="str">
        <f t="shared" si="77"/>
        <v>https://doi.org/10.1145/3610922</v>
      </c>
      <c r="J20" s="7">
        <f>IF(D20:D64&lt;&gt;"", VALUE(REGEXEXTRACT(D20:D64, "(\d+)\s+pages")), )
</f>
        <v>27</v>
      </c>
      <c r="K20" s="6" t="s">
        <v>71</v>
      </c>
      <c r="L20" s="7" t="str">
        <f t="shared" si="80"/>
        <v>No</v>
      </c>
      <c r="M20" s="7" t="s">
        <v>34</v>
      </c>
      <c r="N20" s="7" t="s">
        <v>33</v>
      </c>
      <c r="O20" s="7" t="s">
        <v>34</v>
      </c>
      <c r="P20" s="6"/>
      <c r="Q20" s="6"/>
      <c r="R20" s="7" t="s">
        <v>33</v>
      </c>
      <c r="S20" s="7" t="s">
        <v>144</v>
      </c>
      <c r="T20" s="6"/>
      <c r="U20" s="6" t="s">
        <v>3247</v>
      </c>
      <c r="V20" s="7" t="s">
        <v>33</v>
      </c>
      <c r="W20" s="6" t="s">
        <v>3248</v>
      </c>
      <c r="X20" s="7" t="s">
        <v>34</v>
      </c>
      <c r="Y20" s="13"/>
      <c r="Z20" s="7" t="s">
        <v>34</v>
      </c>
      <c r="AA20" s="6"/>
      <c r="AB20" s="6" t="s">
        <v>3249</v>
      </c>
      <c r="AC20" s="6" t="s">
        <v>39</v>
      </c>
    </row>
    <row r="21" ht="22.5" customHeight="1">
      <c r="A21" s="11" t="str">
        <f>REGEXEXTRACT(D21, "\d{4}\.\s(.*?)\.\sProc\. ACM")"),"InfoPrint: Embedding Interactive Information in 3D Prints Using Low-Cost Readily-Available Printers and Materials</f>
        <v xml:space="preserve">InfoPrint: Embedding Interactive Information in 3D Prints Using Low-Cost Readily-Available Printers and Materials</v>
      </c>
      <c r="B21" s="7">
        <f t="shared" si="79"/>
        <v>102</v>
      </c>
      <c r="C21" s="8" t="s">
        <v>3250</v>
      </c>
      <c r="D21" s="6" t="s">
        <v>3251</v>
      </c>
      <c r="E21" s="9">
        <v>46044</v>
      </c>
      <c r="F21" s="7">
        <v>2023</v>
      </c>
      <c r="G21" s="7" t="s">
        <v>575</v>
      </c>
      <c r="H21" s="6" t="str">
        <f t="shared" si="76"/>
        <v>2023_Sep_102</v>
      </c>
      <c r="I21" s="12" t="str">
        <f t="shared" si="77"/>
        <v>https://doi.org/10.1145/3610933</v>
      </c>
      <c r="J21" s="7">
        <f>IF(D21:D64&lt;&gt;"", VALUE(REGEXEXTRACT(D21:D64, "(\d+)\s+pages")), )
</f>
        <v>29</v>
      </c>
      <c r="K21" s="6" t="s">
        <v>71</v>
      </c>
      <c r="L21" s="7" t="str">
        <f t="shared" si="80"/>
        <v>No</v>
      </c>
      <c r="M21" s="7" t="s">
        <v>34</v>
      </c>
      <c r="N21" s="7" t="s">
        <v>34</v>
      </c>
      <c r="O21" s="7" t="s">
        <v>35</v>
      </c>
      <c r="P21" s="6"/>
      <c r="Q21" s="6"/>
      <c r="R21" s="7" t="s">
        <v>34</v>
      </c>
      <c r="S21" s="7" t="s">
        <v>35</v>
      </c>
      <c r="T21" s="6"/>
      <c r="U21" s="6"/>
      <c r="V21" s="7" t="s">
        <v>33</v>
      </c>
      <c r="W21" s="6" t="s">
        <v>3252</v>
      </c>
      <c r="X21" s="7" t="s">
        <v>33</v>
      </c>
      <c r="Y21" s="6" t="s">
        <v>3253</v>
      </c>
      <c r="Z21" s="7" t="s">
        <v>35</v>
      </c>
      <c r="AA21" s="6"/>
      <c r="AB21" s="6" t="s">
        <v>3254</v>
      </c>
      <c r="AC21" s="6" t="s">
        <v>39</v>
      </c>
    </row>
    <row r="22" ht="22.5" customHeight="1">
      <c r="A22" s="14" t="str">
        <f>REGEXEXTRACT(D22, "\d{4}\.\s(.*?)\.\sProc\. ACM")"),"A Meta-Synthesis of the Barriers and Facilitators for Personal Informatics Systems</f>
        <v xml:space="preserve">A Meta-Synthesis of the Barriers and Facilitators for Personal Informatics Systems</v>
      </c>
      <c r="B22" s="15">
        <f t="shared" si="79"/>
        <v>103</v>
      </c>
      <c r="C22" s="16" t="s">
        <v>3255</v>
      </c>
      <c r="D22" s="17" t="s">
        <v>3256</v>
      </c>
      <c r="E22" s="18">
        <v>46044</v>
      </c>
      <c r="F22" s="15">
        <v>2023</v>
      </c>
      <c r="G22" s="15" t="s">
        <v>575</v>
      </c>
      <c r="H22" s="17" t="str">
        <f t="shared" si="76"/>
        <v>2023_Sep_103</v>
      </c>
      <c r="I22" s="19" t="str">
        <f t="shared" si="77"/>
        <v>https://doi.org/10.1145/3610893</v>
      </c>
      <c r="J22" s="15">
        <f>IF(D22:D64&lt;&gt;"", VALUE(REGEXEXTRACT(D22:D64, "(\d+)\s+pages")), )
</f>
        <v>35</v>
      </c>
      <c r="K22" s="17" t="s">
        <v>110</v>
      </c>
      <c r="L22" s="15" t="str">
        <f t="shared" si="80"/>
        <v>No</v>
      </c>
      <c r="M22" s="15" t="s">
        <v>33</v>
      </c>
      <c r="N22" s="15" t="s">
        <v>34</v>
      </c>
      <c r="O22" s="15" t="s">
        <v>35</v>
      </c>
      <c r="P22" s="17"/>
      <c r="Q22" s="17"/>
      <c r="R22" s="15" t="s">
        <v>34</v>
      </c>
      <c r="S22" s="15" t="s">
        <v>35</v>
      </c>
      <c r="T22" s="17"/>
      <c r="U22" s="17"/>
      <c r="V22" s="15" t="s">
        <v>35</v>
      </c>
      <c r="W22" s="17"/>
      <c r="X22" s="15" t="s">
        <v>35</v>
      </c>
      <c r="Y22" s="20"/>
      <c r="Z22" s="15" t="s">
        <v>35</v>
      </c>
      <c r="AA22" s="17"/>
      <c r="AB22" s="17"/>
      <c r="AC22" s="17" t="s">
        <v>39</v>
      </c>
    </row>
    <row r="23" ht="22.5" customHeight="1">
      <c r="A23" s="11" t="str">
        <f>REGEXEXTRACT(D23, "\d{4}\.\s(.*?)\.\sProc\. ACM")"),"What and When to Explain? On-road Evaluation of Explanations in Highly Automated Vehicles</f>
        <v xml:space="preserve">What and When to Explain? On-road Evaluation of Explanations in Highly Automated Vehicles</v>
      </c>
      <c r="B23" s="7">
        <f t="shared" si="79"/>
        <v>104</v>
      </c>
      <c r="C23" s="8" t="s">
        <v>3257</v>
      </c>
      <c r="D23" s="6" t="s">
        <v>3258</v>
      </c>
      <c r="E23" s="9">
        <v>46106</v>
      </c>
      <c r="F23" s="7">
        <v>2023</v>
      </c>
      <c r="G23" s="7" t="s">
        <v>575</v>
      </c>
      <c r="H23" s="6" t="str">
        <f t="shared" si="76"/>
        <v>2023_Sep_104</v>
      </c>
      <c r="I23" s="12" t="str">
        <f t="shared" si="77"/>
        <v>https://doi.org/10.1145/3610886</v>
      </c>
      <c r="J23" s="7">
        <f>IF(D23:D64&lt;&gt;"", VALUE(REGEXEXTRACT(D23:D64, "(\d+)\s+pages")), )
</f>
        <v>26</v>
      </c>
      <c r="K23" s="6" t="s">
        <v>133</v>
      </c>
      <c r="L23" s="7" t="str">
        <f t="shared" si="80"/>
        <v>No</v>
      </c>
      <c r="M23" s="7" t="s">
        <v>33</v>
      </c>
      <c r="N23" s="7" t="s">
        <v>33</v>
      </c>
      <c r="O23" s="7" t="s">
        <v>33</v>
      </c>
      <c r="P23" s="10" t="s">
        <v>3259</v>
      </c>
      <c r="Q23" s="6"/>
      <c r="R23" s="7" t="s">
        <v>34</v>
      </c>
      <c r="S23" s="7" t="s">
        <v>34</v>
      </c>
      <c r="T23" s="6"/>
      <c r="U23" s="6"/>
      <c r="V23" s="7" t="s">
        <v>34</v>
      </c>
      <c r="W23" s="6"/>
      <c r="X23" s="7" t="s">
        <v>34</v>
      </c>
      <c r="Y23" s="13"/>
      <c r="Z23" s="7" t="s">
        <v>34</v>
      </c>
      <c r="AA23" s="6" t="s">
        <v>3260</v>
      </c>
      <c r="AB23" s="6" t="s">
        <v>3261</v>
      </c>
      <c r="AC23" s="6" t="s">
        <v>181</v>
      </c>
    </row>
    <row r="24" ht="22.5" customHeight="1">
      <c r="A24" s="11" t="str">
        <f>REGEXEXTRACT(D24, "\d{4}\.\s(.*?)\.\sProc\. ACM")"),"ProxiFit: Proximity Magnetic Sensing Using a Single Commodity Mobile toward Holistic Weight Exercise Monitoring</f>
        <v xml:space="preserve">ProxiFit: Proximity Magnetic Sensing Using a Single Commodity Mobile toward Holistic Weight Exercise Monitoring</v>
      </c>
      <c r="B24" s="7">
        <f t="shared" si="79"/>
        <v>105</v>
      </c>
      <c r="C24" s="8" t="s">
        <v>3262</v>
      </c>
      <c r="D24" s="6" t="s">
        <v>3263</v>
      </c>
      <c r="E24" s="9">
        <v>46106</v>
      </c>
      <c r="F24" s="7">
        <v>2023</v>
      </c>
      <c r="G24" s="7" t="s">
        <v>575</v>
      </c>
      <c r="H24" s="6" t="str">
        <f t="shared" si="76"/>
        <v>2023_Sep_105</v>
      </c>
      <c r="I24" s="12" t="str">
        <f t="shared" si="77"/>
        <v>https://doi.org/10.1145/3610920</v>
      </c>
      <c r="J24" s="7">
        <f>IF(D24:D64&lt;&gt;"", VALUE(REGEXEXTRACT(D24:D64, "(\d+)\s+pages")), )
</f>
        <v>32</v>
      </c>
      <c r="K24" s="6" t="s">
        <v>133</v>
      </c>
      <c r="L24" s="7" t="str">
        <f t="shared" si="80"/>
        <v>No</v>
      </c>
      <c r="M24" s="7" t="s">
        <v>34</v>
      </c>
      <c r="N24" s="7" t="s">
        <v>33</v>
      </c>
      <c r="O24" s="7" t="s">
        <v>34</v>
      </c>
      <c r="P24" s="6"/>
      <c r="Q24" s="6"/>
      <c r="R24" s="7" t="s">
        <v>33</v>
      </c>
      <c r="S24" s="7" t="s">
        <v>34</v>
      </c>
      <c r="T24" s="6"/>
      <c r="U24" s="6"/>
      <c r="V24" s="7" t="s">
        <v>34</v>
      </c>
      <c r="W24" s="6" t="s">
        <v>3264</v>
      </c>
      <c r="X24" s="7" t="s">
        <v>33</v>
      </c>
      <c r="Y24" s="6" t="s">
        <v>3265</v>
      </c>
      <c r="Z24" s="7" t="s">
        <v>34</v>
      </c>
      <c r="AA24" s="6"/>
      <c r="AB24" s="6" t="s">
        <v>3266</v>
      </c>
      <c r="AC24" s="6" t="s">
        <v>181</v>
      </c>
    </row>
    <row r="25" ht="22.5" customHeight="1">
      <c r="A25" s="50" t="str">
        <f>REGEXEXTRACT(D25, "\d{4}\.\s(.*?)\.\sProc\. ACM")"),"LAUREATE: A Dataset for Supporting Research in Affective Computing and Human Memory Augmentation</f>
        <v xml:space="preserve">LAUREATE: A Dataset for Supporting Research in Affective Computing and Human Memory Augmentation</v>
      </c>
      <c r="B25" s="7">
        <f t="shared" si="79"/>
        <v>106</v>
      </c>
      <c r="C25" s="8" t="s">
        <v>3267</v>
      </c>
      <c r="D25" s="6" t="s">
        <v>3268</v>
      </c>
      <c r="E25" s="9">
        <v>46106</v>
      </c>
      <c r="F25" s="7">
        <v>2023</v>
      </c>
      <c r="G25" s="7" t="s">
        <v>575</v>
      </c>
      <c r="H25" s="6" t="str">
        <f t="shared" si="76"/>
        <v>2023_Sep_106</v>
      </c>
      <c r="I25" s="12" t="str">
        <f t="shared" si="77"/>
        <v>https://doi.org/10.1145/3610892</v>
      </c>
      <c r="J25" s="7">
        <f>IF(D25:D64&lt;&gt;"", VALUE(REGEXEXTRACT(D25:D64, "(\d+)\s+pages")), )
</f>
        <v>41</v>
      </c>
      <c r="K25" s="6" t="s">
        <v>99</v>
      </c>
      <c r="L25" s="7" t="str">
        <f>IF(REGEXMATCH(LOWER($A25),"(^|[^a-z])dataset(s)?([^a-z]|$)"),"Yes","No")"),"Yes</f>
        <v>Yes</v>
      </c>
      <c r="M25" s="7" t="s">
        <v>34</v>
      </c>
      <c r="N25" s="7" t="s">
        <v>34</v>
      </c>
      <c r="O25" s="7" t="s">
        <v>55</v>
      </c>
      <c r="P25" s="6"/>
      <c r="Q25" s="6" t="s">
        <v>3269</v>
      </c>
      <c r="R25" s="7" t="s">
        <v>34</v>
      </c>
      <c r="S25" s="7" t="s">
        <v>55</v>
      </c>
      <c r="T25" s="6"/>
      <c r="U25" s="6"/>
      <c r="V25" s="7" t="s">
        <v>35</v>
      </c>
      <c r="W25" s="6"/>
      <c r="X25" s="7" t="s">
        <v>35</v>
      </c>
      <c r="Y25" s="13"/>
      <c r="Z25" s="7" t="s">
        <v>35</v>
      </c>
      <c r="AA25" s="6"/>
      <c r="AB25" s="6" t="s">
        <v>3270</v>
      </c>
      <c r="AC25" s="6" t="s">
        <v>181</v>
      </c>
    </row>
    <row r="26" ht="22.5" customHeight="1">
      <c r="A26" s="11" t="str">
        <f>REGEXEXTRACT(D26, "\d{4}\.\s(.*?)\.\sProc\. ACM")"),"SignRing: Continuous American Sign Language Recognition Using IMU Rings and Virtual IMU Data</f>
        <v xml:space="preserve">SignRing: Continuous American Sign Language Recognition Using IMU Rings and Virtual IMU Data</v>
      </c>
      <c r="B26" s="7">
        <f t="shared" si="79"/>
        <v>107</v>
      </c>
      <c r="C26" s="8" t="s">
        <v>3271</v>
      </c>
      <c r="D26" s="6" t="s">
        <v>3272</v>
      </c>
      <c r="E26" s="9">
        <v>46106</v>
      </c>
      <c r="F26" s="7">
        <v>2023</v>
      </c>
      <c r="G26" s="7" t="s">
        <v>575</v>
      </c>
      <c r="H26" s="6" t="str">
        <f t="shared" si="76"/>
        <v>2023_Sep_107</v>
      </c>
      <c r="I26" s="12" t="str">
        <f t="shared" si="77"/>
        <v>https://doi.org/10.1145/3610881</v>
      </c>
      <c r="J26" s="7">
        <f>IF(D26:D64&lt;&gt;"", VALUE(REGEXEXTRACT(D26:D64, "(\d+)\s+pages")), )
</f>
        <v>29</v>
      </c>
      <c r="K26" s="6" t="s">
        <v>217</v>
      </c>
      <c r="L26" s="7" t="str">
        <f t="shared" ref="L26:L64" si="81">IF(REGEXMATCH(LOWER($A26),"(^|[^a-z])dataset(s)?([^a-z]|$)"),"Yes","No")"),"No</f>
        <v>No</v>
      </c>
      <c r="M26" s="7" t="s">
        <v>34</v>
      </c>
      <c r="N26" s="7" t="s">
        <v>33</v>
      </c>
      <c r="O26" s="7" t="s">
        <v>34</v>
      </c>
      <c r="P26" s="6"/>
      <c r="Q26" s="6"/>
      <c r="R26" s="7" t="s">
        <v>33</v>
      </c>
      <c r="S26" s="7" t="s">
        <v>34</v>
      </c>
      <c r="T26" s="6"/>
      <c r="U26" s="10" t="s">
        <v>3273</v>
      </c>
      <c r="V26" s="7" t="s">
        <v>33</v>
      </c>
      <c r="W26" s="6" t="s">
        <v>3274</v>
      </c>
      <c r="X26" s="7" t="s">
        <v>33</v>
      </c>
      <c r="Y26" s="6" t="s">
        <v>3275</v>
      </c>
      <c r="Z26" s="7" t="s">
        <v>34</v>
      </c>
      <c r="AA26" s="6"/>
      <c r="AB26" s="6" t="s">
        <v>3276</v>
      </c>
      <c r="AC26" s="6" t="s">
        <v>181</v>
      </c>
    </row>
    <row r="27" ht="22.5" customHeight="1">
      <c r="A27" s="11" t="str">
        <f>REGEXEXTRACT(D27, "\d{4}\.\s(.*?)\.\sProc\. ACM")"),"Exploring the Opportunities of AR for Enriching Storytelling with Family Photos between Grandparents and Grandchildren</f>
        <v xml:space="preserve">Exploring the Opportunities of AR for Enriching Storytelling with Family Photos between Grandparents and Grandchildren</v>
      </c>
      <c r="B27" s="7">
        <f t="shared" si="79"/>
        <v>108</v>
      </c>
      <c r="C27" s="8" t="s">
        <v>3277</v>
      </c>
      <c r="D27" s="6" t="s">
        <v>3278</v>
      </c>
      <c r="E27" s="9">
        <v>46108</v>
      </c>
      <c r="F27" s="7">
        <v>2023</v>
      </c>
      <c r="G27" s="7" t="s">
        <v>575</v>
      </c>
      <c r="H27" s="6" t="str">
        <f t="shared" si="76"/>
        <v>2023_Sep_108</v>
      </c>
      <c r="I27" s="12" t="str">
        <f t="shared" si="77"/>
        <v>https://doi.org/10.1145/3610903</v>
      </c>
      <c r="J27" s="7">
        <f>IF(D27:D64&lt;&gt;"", VALUE(REGEXEXTRACT(D27:D64, "(\d+)\s+pages")), )
</f>
        <v>26</v>
      </c>
      <c r="K27" s="6" t="s">
        <v>652</v>
      </c>
      <c r="L27" s="7" t="str">
        <f t="shared" si="81"/>
        <v>No</v>
      </c>
      <c r="M27" s="7" t="s">
        <v>34</v>
      </c>
      <c r="N27" s="7" t="s">
        <v>33</v>
      </c>
      <c r="O27" s="7" t="s">
        <v>34</v>
      </c>
      <c r="P27" s="6"/>
      <c r="Q27" s="6" t="s">
        <v>3279</v>
      </c>
      <c r="R27" s="7" t="s">
        <v>34</v>
      </c>
      <c r="S27" s="7" t="s">
        <v>34</v>
      </c>
      <c r="T27" s="6"/>
      <c r="U27" s="6"/>
      <c r="V27" s="7" t="s">
        <v>34</v>
      </c>
      <c r="W27" s="6" t="s">
        <v>3280</v>
      </c>
      <c r="X27" s="7" t="s">
        <v>33</v>
      </c>
      <c r="Y27" s="6" t="s">
        <v>3281</v>
      </c>
      <c r="Z27" s="7" t="s">
        <v>34</v>
      </c>
      <c r="AA27" s="6"/>
      <c r="AB27" s="6" t="s">
        <v>3282</v>
      </c>
      <c r="AC27" s="6" t="s">
        <v>181</v>
      </c>
    </row>
    <row r="28" ht="22.5" customHeight="1">
      <c r="A28" s="11" t="str">
        <f>REGEXEXTRACT(D28, "\d{4}\.\s(.*?)\.\sProc\. ACM")"),"Automated Face-To-Face Conversation Detection on a Commodity Smartwatch with Acoustic Sensing</f>
        <v xml:space="preserve">Automated Face-To-Face Conversation Detection on a Commodity Smartwatch with Acoustic Sensing</v>
      </c>
      <c r="B28" s="7">
        <f t="shared" si="79"/>
        <v>109</v>
      </c>
      <c r="C28" s="8" t="s">
        <v>3283</v>
      </c>
      <c r="D28" s="6" t="s">
        <v>3284</v>
      </c>
      <c r="E28" s="9">
        <v>46108</v>
      </c>
      <c r="F28" s="7">
        <v>2023</v>
      </c>
      <c r="G28" s="7" t="s">
        <v>575</v>
      </c>
      <c r="H28" s="6" t="str">
        <f t="shared" si="76"/>
        <v>2023_Sep_109</v>
      </c>
      <c r="I28" s="12" t="str">
        <f t="shared" si="77"/>
        <v>https://doi.org/10.1145/3610882</v>
      </c>
      <c r="J28" s="7">
        <f>IF(D28:D64&lt;&gt;"", VALUE(REGEXEXTRACT(D28:D64, "(\d+)\s+pages")), )
</f>
        <v>29</v>
      </c>
      <c r="K28" s="6" t="s">
        <v>414</v>
      </c>
      <c r="L28" s="7" t="str">
        <f t="shared" si="81"/>
        <v>No</v>
      </c>
      <c r="M28" s="7" t="s">
        <v>33</v>
      </c>
      <c r="N28" s="7" t="s">
        <v>33</v>
      </c>
      <c r="O28" s="7" t="s">
        <v>34</v>
      </c>
      <c r="P28" s="6"/>
      <c r="Q28" s="6"/>
      <c r="R28" s="7" t="s">
        <v>33</v>
      </c>
      <c r="S28" s="7" t="s">
        <v>33</v>
      </c>
      <c r="T28" s="10" t="s">
        <v>3285</v>
      </c>
      <c r="U28" s="6"/>
      <c r="V28" s="7" t="s">
        <v>34</v>
      </c>
      <c r="W28" s="6" t="s">
        <v>3286</v>
      </c>
      <c r="X28" s="7" t="s">
        <v>34</v>
      </c>
      <c r="Y28" s="6" t="s">
        <v>3287</v>
      </c>
      <c r="Z28" s="7" t="s">
        <v>34</v>
      </c>
      <c r="AA28" s="6"/>
      <c r="AB28" s="6" t="s">
        <v>3288</v>
      </c>
      <c r="AC28" s="6" t="s">
        <v>181</v>
      </c>
    </row>
    <row r="29" ht="22.5" customHeight="1">
      <c r="A29" s="11" t="str">
        <f>REGEXEXTRACT(D29, "\d{4}\.\s(.*?)\.\sProc\. ACM")"),"MmStress: Distilling Human Stress from Daily Activities via Contact-less Millimeter-wave Sensing</f>
        <v xml:space="preserve">MmStress: Distilling Human Stress from Daily Activities via Contact-less Millimeter-wave Sensing</v>
      </c>
      <c r="B29" s="7">
        <f t="shared" si="79"/>
        <v>110</v>
      </c>
      <c r="C29" s="8" t="s">
        <v>3289</v>
      </c>
      <c r="D29" s="6" t="s">
        <v>3290</v>
      </c>
      <c r="E29" s="9">
        <v>46108</v>
      </c>
      <c r="F29" s="7">
        <v>2023</v>
      </c>
      <c r="G29" s="7" t="s">
        <v>575</v>
      </c>
      <c r="H29" s="6" t="str">
        <f t="shared" si="76"/>
        <v>2023_Sep_110</v>
      </c>
      <c r="I29" s="12" t="str">
        <f t="shared" si="77"/>
        <v>https://doi.org/10.1145/3610926</v>
      </c>
      <c r="J29" s="7">
        <f>IF(D29:D64&lt;&gt;"", VALUE(REGEXEXTRACT(D29:D64, "(\d+)\s+pages")), )
</f>
        <v>36</v>
      </c>
      <c r="K29" s="6" t="s">
        <v>2547</v>
      </c>
      <c r="L29" s="7" t="str">
        <f t="shared" si="81"/>
        <v>No</v>
      </c>
      <c r="M29" s="7" t="s">
        <v>34</v>
      </c>
      <c r="N29" s="7" t="s">
        <v>33</v>
      </c>
      <c r="O29" s="7" t="s">
        <v>34</v>
      </c>
      <c r="P29" s="6"/>
      <c r="Q29" s="6"/>
      <c r="R29" s="7" t="s">
        <v>33</v>
      </c>
      <c r="S29" s="7" t="s">
        <v>33</v>
      </c>
      <c r="T29" s="12" t="s">
        <v>3291</v>
      </c>
      <c r="U29" s="6"/>
      <c r="V29" s="7" t="s">
        <v>33</v>
      </c>
      <c r="W29" s="6" t="s">
        <v>3292</v>
      </c>
      <c r="X29" s="7" t="s">
        <v>33</v>
      </c>
      <c r="Y29" s="6" t="s">
        <v>3293</v>
      </c>
      <c r="Z29" s="7" t="s">
        <v>34</v>
      </c>
      <c r="AA29" s="6"/>
      <c r="AB29" s="6" t="s">
        <v>3294</v>
      </c>
      <c r="AC29" s="6" t="s">
        <v>181</v>
      </c>
    </row>
    <row r="30" ht="22.5" customHeight="1">
      <c r="A30" s="11" t="str">
        <f>REGEXEXTRACT(D30, "\d{4}\.\s(.*?)\.\sProc\. ACM")"),"PoseSonic: 3D Upper Body Pose Estimation Through Egocentric Acoustic Sensing on Smartglasses</f>
        <v xml:space="preserve">PoseSonic: 3D Upper Body Pose Estimation Through Egocentric Acoustic Sensing on Smartglasses</v>
      </c>
      <c r="B30" s="7">
        <f t="shared" si="79"/>
        <v>111</v>
      </c>
      <c r="C30" s="8" t="s">
        <v>3295</v>
      </c>
      <c r="D30" s="6" t="s">
        <v>3296</v>
      </c>
      <c r="E30" s="9">
        <v>46108</v>
      </c>
      <c r="F30" s="7">
        <v>2023</v>
      </c>
      <c r="G30" s="7" t="s">
        <v>575</v>
      </c>
      <c r="H30" s="6" t="str">
        <f t="shared" si="76"/>
        <v>2023_Sep_111</v>
      </c>
      <c r="I30" s="12" t="str">
        <f t="shared" si="77"/>
        <v>https://doi.org/10.1145/3610895</v>
      </c>
      <c r="J30" s="7">
        <f>IF(D30:D64&lt;&gt;"", VALUE(REGEXEXTRACT(D30:D64, "(\d+)\s+pages")), )
</f>
        <v>28</v>
      </c>
      <c r="K30" s="6" t="s">
        <v>217</v>
      </c>
      <c r="L30" s="7" t="str">
        <f t="shared" si="81"/>
        <v>No</v>
      </c>
      <c r="M30" s="7" t="s">
        <v>34</v>
      </c>
      <c r="N30" s="7" t="s">
        <v>33</v>
      </c>
      <c r="O30" s="7" t="s">
        <v>34</v>
      </c>
      <c r="P30" s="6"/>
      <c r="Q30" s="6"/>
      <c r="R30" s="7" t="s">
        <v>33</v>
      </c>
      <c r="S30" s="7" t="s">
        <v>34</v>
      </c>
      <c r="T30" s="6"/>
      <c r="U30" s="6"/>
      <c r="V30" s="7" t="s">
        <v>33</v>
      </c>
      <c r="W30" s="6" t="s">
        <v>3297</v>
      </c>
      <c r="X30" s="7" t="s">
        <v>33</v>
      </c>
      <c r="Y30" s="6" t="s">
        <v>3298</v>
      </c>
      <c r="Z30" s="7" t="s">
        <v>34</v>
      </c>
      <c r="AA30" s="6"/>
      <c r="AB30" s="6" t="s">
        <v>3299</v>
      </c>
      <c r="AC30" s="6" t="s">
        <v>181</v>
      </c>
    </row>
    <row r="31" ht="22.5" customHeight="1">
      <c r="A31" s="11" t="str">
        <f>REGEXEXTRACT(D31, "\d{4}\.\s(.*?)\.\sProc\. ACM")"),"Interaction Harvesting: A Design Probe of User-Powered Widgets</f>
        <v xml:space="preserve">Interaction Harvesting: A Design Probe of User-Powered Widgets</v>
      </c>
      <c r="B31" s="7">
        <f t="shared" si="79"/>
        <v>112</v>
      </c>
      <c r="C31" s="8" t="s">
        <v>3300</v>
      </c>
      <c r="D31" s="6" t="s">
        <v>3301</v>
      </c>
      <c r="E31" s="9">
        <v>46108</v>
      </c>
      <c r="F31" s="7">
        <v>2023</v>
      </c>
      <c r="G31" s="7" t="s">
        <v>575</v>
      </c>
      <c r="H31" s="6" t="str">
        <f t="shared" si="76"/>
        <v>2023_Sep_112</v>
      </c>
      <c r="I31" s="12" t="str">
        <f t="shared" si="77"/>
        <v>https://doi.org/10.1145/3610880</v>
      </c>
      <c r="J31" s="7">
        <f>IF(D31:D64&lt;&gt;"", VALUE(REGEXEXTRACT(D31:D64, "(\d+)\s+pages")), )
</f>
        <v>31</v>
      </c>
      <c r="K31" s="6" t="s">
        <v>3302</v>
      </c>
      <c r="L31" s="7" t="str">
        <f t="shared" si="81"/>
        <v>No</v>
      </c>
      <c r="M31" s="7" t="s">
        <v>33</v>
      </c>
      <c r="N31" s="7" t="s">
        <v>33</v>
      </c>
      <c r="O31" s="7" t="s">
        <v>34</v>
      </c>
      <c r="P31" s="12" t="s">
        <v>3303</v>
      </c>
      <c r="Q31" s="10" t="s">
        <v>3304</v>
      </c>
      <c r="R31" s="7" t="s">
        <v>33</v>
      </c>
      <c r="S31" s="7" t="s">
        <v>34</v>
      </c>
      <c r="T31" s="10" t="s">
        <v>3303</v>
      </c>
      <c r="U31" s="6"/>
      <c r="V31" s="7" t="s">
        <v>33</v>
      </c>
      <c r="W31" s="6" t="s">
        <v>3305</v>
      </c>
      <c r="X31" s="7" t="s">
        <v>33</v>
      </c>
      <c r="Y31" s="6" t="s">
        <v>3306</v>
      </c>
      <c r="Z31" s="7" t="s">
        <v>34</v>
      </c>
      <c r="AA31" s="6"/>
      <c r="AB31" s="6" t="s">
        <v>3307</v>
      </c>
      <c r="AC31" s="6" t="s">
        <v>181</v>
      </c>
    </row>
    <row r="32" ht="22.5" customHeight="1">
      <c r="A32" s="11" t="str">
        <f>REGEXEXTRACT(D32, "\d{4}\.\s(.*?)\.\sProc\. ACM")"),"Surveying the Social Comfort of Body, Device, and Environment-Based Augmented Reality Interactions in Confined Passenger Spaces Using Mixed Reality Composite Videos</f>
        <v xml:space="preserve">Surveying the Social Comfort of Body, Device, and Environment-Based Augmented Reality Interactions in Confined Passenger Spaces Using Mixed Reality Composite Videos</v>
      </c>
      <c r="B32" s="7">
        <f t="shared" si="79"/>
        <v>113</v>
      </c>
      <c r="C32" s="8" t="s">
        <v>3308</v>
      </c>
      <c r="D32" s="6" t="s">
        <v>3309</v>
      </c>
      <c r="E32" s="9">
        <v>46108</v>
      </c>
      <c r="F32" s="7">
        <v>2023</v>
      </c>
      <c r="G32" s="7" t="s">
        <v>575</v>
      </c>
      <c r="H32" s="6" t="str">
        <f t="shared" si="76"/>
        <v>2023_Sep_113</v>
      </c>
      <c r="I32" s="12" t="str">
        <f t="shared" si="77"/>
        <v>https://doi.org/10.1145/3610923</v>
      </c>
      <c r="J32" s="7">
        <f>IF(D32:D64&lt;&gt;"", VALUE(REGEXEXTRACT(D32:D64, "(\d+)\s+pages")), )
</f>
        <v>25</v>
      </c>
      <c r="K32" s="6" t="s">
        <v>42</v>
      </c>
      <c r="L32" s="7" t="str">
        <f t="shared" si="81"/>
        <v>No</v>
      </c>
      <c r="M32" s="7" t="s">
        <v>34</v>
      </c>
      <c r="N32" s="7" t="s">
        <v>34</v>
      </c>
      <c r="O32" s="7" t="s">
        <v>35</v>
      </c>
      <c r="P32" s="6"/>
      <c r="Q32" s="6"/>
      <c r="R32" s="7" t="s">
        <v>34</v>
      </c>
      <c r="S32" s="7" t="s">
        <v>35</v>
      </c>
      <c r="T32" s="6"/>
      <c r="U32" s="6"/>
      <c r="V32" s="7" t="s">
        <v>35</v>
      </c>
      <c r="W32" s="6"/>
      <c r="X32" s="7" t="s">
        <v>35</v>
      </c>
      <c r="Y32" s="6"/>
      <c r="Z32" s="7" t="s">
        <v>35</v>
      </c>
      <c r="AA32" s="6"/>
      <c r="AB32" s="6" t="s">
        <v>3310</v>
      </c>
      <c r="AC32" s="6" t="s">
        <v>181</v>
      </c>
    </row>
    <row r="33" ht="22.5" customHeight="1">
      <c r="A33" s="11" t="str">
        <f>REGEXEXTRACT(D33, "\d{4}\.\s(.*?)\.\sProc\. ACM")"),"LapTouch: Using the Lap for Seated Touch Interaction with HMDs</f>
        <v xml:space="preserve">LapTouch: Using the Lap for Seated Touch Interaction with HMDs</v>
      </c>
      <c r="B33" s="7">
        <f t="shared" si="79"/>
        <v>114</v>
      </c>
      <c r="C33" s="8" t="s">
        <v>3311</v>
      </c>
      <c r="D33" s="6" t="s">
        <v>3312</v>
      </c>
      <c r="E33" s="9">
        <v>46108</v>
      </c>
      <c r="F33" s="7">
        <v>2023</v>
      </c>
      <c r="G33" s="7" t="s">
        <v>575</v>
      </c>
      <c r="H33" s="6" t="str">
        <f t="shared" si="76"/>
        <v>2023_Sep_114</v>
      </c>
      <c r="I33" s="12" t="str">
        <f t="shared" si="77"/>
        <v>https://doi.org/10.1145/3610878</v>
      </c>
      <c r="J33" s="7">
        <f>IF(D33:D64&lt;&gt;"", VALUE(REGEXEXTRACT(D33:D64, "(\d+)\s+pages")), )
</f>
        <v>23</v>
      </c>
      <c r="K33" s="6" t="s">
        <v>133</v>
      </c>
      <c r="L33" s="7" t="str">
        <f t="shared" si="81"/>
        <v>No</v>
      </c>
      <c r="M33" s="7" t="s">
        <v>34</v>
      </c>
      <c r="N33" s="7" t="s">
        <v>33</v>
      </c>
      <c r="O33" s="7" t="s">
        <v>34</v>
      </c>
      <c r="P33" s="6"/>
      <c r="Q33" s="6" t="s">
        <v>3313</v>
      </c>
      <c r="R33" s="7" t="s">
        <v>33</v>
      </c>
      <c r="S33" s="7" t="s">
        <v>34</v>
      </c>
      <c r="T33" s="6"/>
      <c r="U33" s="6" t="s">
        <v>3314</v>
      </c>
      <c r="V33" s="7" t="s">
        <v>33</v>
      </c>
      <c r="W33" s="6" t="s">
        <v>3315</v>
      </c>
      <c r="X33" s="7" t="s">
        <v>34</v>
      </c>
      <c r="Y33" s="6" t="s">
        <v>3316</v>
      </c>
      <c r="Z33" s="7" t="s">
        <v>34</v>
      </c>
      <c r="AA33" s="6"/>
      <c r="AB33" s="6" t="s">
        <v>3317</v>
      </c>
      <c r="AC33" s="6" t="s">
        <v>181</v>
      </c>
    </row>
    <row r="34" ht="22.5" customHeight="1">
      <c r="A34" s="11" t="str">
        <f>REGEXEXTRACT(D34, "\d{4}\.\s(.*?)\.\sProc\. ACM")"),"CASES: A Cognition-Aware Smart Eyewear System for Understanding How People Read</f>
        <v xml:space="preserve">CASES: A Cognition-Aware Smart Eyewear System for Understanding How People Read</v>
      </c>
      <c r="B34" s="7">
        <f t="shared" si="79"/>
        <v>115</v>
      </c>
      <c r="C34" s="8" t="s">
        <v>3318</v>
      </c>
      <c r="D34" s="6" t="s">
        <v>3319</v>
      </c>
      <c r="E34" s="9">
        <v>46109</v>
      </c>
      <c r="F34" s="7">
        <v>2023</v>
      </c>
      <c r="G34" s="7" t="s">
        <v>575</v>
      </c>
      <c r="H34" s="6" t="str">
        <f t="shared" si="76"/>
        <v>2023_Sep_115</v>
      </c>
      <c r="I34" s="12" t="str">
        <f t="shared" si="77"/>
        <v>https://doi.org/10.1145/3610910</v>
      </c>
      <c r="J34" s="7">
        <f>IF(D34:D64&lt;&gt;"", VALUE(REGEXEXTRACT(D34:D64, "(\d+)\s+pages")), )
</f>
        <v>31</v>
      </c>
      <c r="K34" s="6" t="s">
        <v>2547</v>
      </c>
      <c r="L34" s="7" t="str">
        <f t="shared" si="81"/>
        <v>No</v>
      </c>
      <c r="M34" s="7" t="s">
        <v>34</v>
      </c>
      <c r="N34" s="7" t="s">
        <v>33</v>
      </c>
      <c r="O34" s="7" t="s">
        <v>34</v>
      </c>
      <c r="P34" s="6"/>
      <c r="Q34" s="6"/>
      <c r="R34" s="7" t="s">
        <v>33</v>
      </c>
      <c r="S34" s="7" t="s">
        <v>33</v>
      </c>
      <c r="T34" s="10" t="s">
        <v>3320</v>
      </c>
      <c r="U34" s="6"/>
      <c r="V34" s="7" t="s">
        <v>33</v>
      </c>
      <c r="W34" s="6" t="s">
        <v>3321</v>
      </c>
      <c r="X34" s="7" t="s">
        <v>33</v>
      </c>
      <c r="Y34" s="6" t="s">
        <v>3322</v>
      </c>
      <c r="Z34" s="7" t="s">
        <v>34</v>
      </c>
      <c r="AA34" s="6"/>
      <c r="AB34" s="6" t="s">
        <v>3323</v>
      </c>
      <c r="AC34" s="6" t="s">
        <v>181</v>
      </c>
    </row>
    <row r="35" ht="22.5" customHeight="1">
      <c r="A35" s="11" t="str">
        <f>REGEXEXTRACT(D35, "\d{4}\.\s(.*?)\.\sProc\. ACM")"),"AttFL: A Personalized Federated Learning Framework for Time-series Mobile and Embedded Sensor Data Processing</f>
        <v xml:space="preserve">AttFL: A Personalized Federated Learning Framework for Time-series Mobile and Embedded Sensor Data Processing</v>
      </c>
      <c r="B35" s="7">
        <f t="shared" si="79"/>
        <v>116</v>
      </c>
      <c r="C35" s="8" t="s">
        <v>3324</v>
      </c>
      <c r="D35" s="6" t="s">
        <v>3325</v>
      </c>
      <c r="E35" s="9">
        <v>46109</v>
      </c>
      <c r="F35" s="7">
        <v>2023</v>
      </c>
      <c r="G35" s="7" t="s">
        <v>575</v>
      </c>
      <c r="H35" s="6" t="str">
        <f t="shared" si="76"/>
        <v>2023_Sep_116</v>
      </c>
      <c r="I35" s="12" t="str">
        <f t="shared" si="77"/>
        <v>https://doi.org/10.1145/3610917</v>
      </c>
      <c r="J35" s="7">
        <f>IF(D35:D64&lt;&gt;"", VALUE(REGEXEXTRACT(D35:D64, "(\d+)\s+pages")), )
</f>
        <v>31</v>
      </c>
      <c r="K35" s="6" t="s">
        <v>64</v>
      </c>
      <c r="L35" s="7" t="str">
        <f t="shared" si="81"/>
        <v>No</v>
      </c>
      <c r="M35" s="7" t="s">
        <v>34</v>
      </c>
      <c r="N35" s="7" t="s">
        <v>33</v>
      </c>
      <c r="O35" s="7" t="s">
        <v>33</v>
      </c>
      <c r="P35" s="10" t="s">
        <v>3326</v>
      </c>
      <c r="Q35" s="6"/>
      <c r="R35" s="7" t="s">
        <v>34</v>
      </c>
      <c r="S35" s="7" t="s">
        <v>34</v>
      </c>
      <c r="T35" s="6"/>
      <c r="U35" s="6" t="s">
        <v>3327</v>
      </c>
      <c r="V35" s="7" t="s">
        <v>34</v>
      </c>
      <c r="W35" s="6"/>
      <c r="X35" s="7" t="s">
        <v>34</v>
      </c>
      <c r="Y35" s="6" t="s">
        <v>3328</v>
      </c>
      <c r="Z35" s="7" t="s">
        <v>144</v>
      </c>
      <c r="AA35" s="6" t="s">
        <v>3329</v>
      </c>
      <c r="AB35" s="6" t="s">
        <v>3330</v>
      </c>
      <c r="AC35" s="6" t="s">
        <v>181</v>
      </c>
    </row>
    <row r="36" ht="22.5" customHeight="1">
      <c r="A36" s="11" t="str">
        <f>REGEXEXTRACT(D36, "\d{4}\.\s(.*?)\.\sProc\. ACM")"),"VAX: Using Existing Video and Audio-based Activity Recognition Models to Bootstrap Privacy-Sensitive Sensors</f>
        <v xml:space="preserve">VAX: Using Existing Video and Audio-based Activity Recognition Models to Bootstrap Privacy-Sensitive Sensors</v>
      </c>
      <c r="B36" s="7">
        <f t="shared" si="79"/>
        <v>117</v>
      </c>
      <c r="C36" s="8" t="s">
        <v>3331</v>
      </c>
      <c r="D36" s="6" t="s">
        <v>3332</v>
      </c>
      <c r="E36" s="9">
        <v>46109</v>
      </c>
      <c r="F36" s="7">
        <v>2023</v>
      </c>
      <c r="G36" s="7" t="s">
        <v>575</v>
      </c>
      <c r="H36" s="6" t="str">
        <f t="shared" si="76"/>
        <v>2023_Sep_117</v>
      </c>
      <c r="I36" s="12" t="str">
        <f t="shared" si="77"/>
        <v>https://doi.org/10.1145/3610907</v>
      </c>
      <c r="J36" s="7">
        <f>IF(D36:D64&lt;&gt;"", VALUE(REGEXEXTRACT(D36:D64, "(\d+)\s+pages")), )
</f>
        <v>24</v>
      </c>
      <c r="K36" s="6" t="s">
        <v>217</v>
      </c>
      <c r="L36" s="7" t="str">
        <f t="shared" si="81"/>
        <v>No</v>
      </c>
      <c r="M36" s="7" t="s">
        <v>33</v>
      </c>
      <c r="N36" s="7" t="s">
        <v>33</v>
      </c>
      <c r="O36" s="7" t="s">
        <v>33</v>
      </c>
      <c r="P36" s="10" t="s">
        <v>3333</v>
      </c>
      <c r="Q36" s="6"/>
      <c r="R36" s="7" t="s">
        <v>34</v>
      </c>
      <c r="S36" s="7" t="s">
        <v>34</v>
      </c>
      <c r="T36" s="6"/>
      <c r="U36" s="6"/>
      <c r="V36" s="7" t="s">
        <v>33</v>
      </c>
      <c r="W36" s="6" t="s">
        <v>3334</v>
      </c>
      <c r="X36" s="7" t="s">
        <v>34</v>
      </c>
      <c r="Y36" s="6" t="s">
        <v>3335</v>
      </c>
      <c r="Z36" s="7" t="s">
        <v>144</v>
      </c>
      <c r="AA36" s="6" t="s">
        <v>3336</v>
      </c>
      <c r="AB36" s="6" t="s">
        <v>3337</v>
      </c>
      <c r="AC36" s="6" t="s">
        <v>181</v>
      </c>
    </row>
    <row r="37" ht="22.5" customHeight="1">
      <c r="A37" s="11" t="str">
        <f>REGEXEXTRACT(D37, "\d{4}\.\s(.*?)\.\sProc\. ACM")"),"Diagnosing Medical Score Calculator Apps</f>
        <v xml:space="preserve">Diagnosing Medical Score Calculator Apps</v>
      </c>
      <c r="B37" s="7">
        <f t="shared" si="79"/>
        <v>118</v>
      </c>
      <c r="C37" s="8" t="s">
        <v>3338</v>
      </c>
      <c r="D37" s="6" t="s">
        <v>3339</v>
      </c>
      <c r="E37" s="9">
        <v>46109</v>
      </c>
      <c r="F37" s="7">
        <v>2023</v>
      </c>
      <c r="G37" s="7" t="s">
        <v>575</v>
      </c>
      <c r="H37" s="6" t="str">
        <f t="shared" si="76"/>
        <v>2023_Sep_118</v>
      </c>
      <c r="I37" s="12" t="str">
        <f t="shared" si="77"/>
        <v>https://doi.org/10.1145/3610912</v>
      </c>
      <c r="J37" s="7">
        <f>IF(D37:D64&lt;&gt;"", VALUE(REGEXEXTRACT(D37:D64, "(\d+)\s+pages")), )
</f>
        <v>27</v>
      </c>
      <c r="K37" s="6" t="s">
        <v>64</v>
      </c>
      <c r="L37" s="7" t="str">
        <f t="shared" si="81"/>
        <v>No</v>
      </c>
      <c r="M37" s="7" t="s">
        <v>33</v>
      </c>
      <c r="N37" s="7" t="s">
        <v>33</v>
      </c>
      <c r="O37" s="7" t="s">
        <v>34</v>
      </c>
      <c r="P37" s="6"/>
      <c r="Q37" s="6"/>
      <c r="R37" s="7" t="s">
        <v>33</v>
      </c>
      <c r="S37" s="7" t="s">
        <v>33</v>
      </c>
      <c r="T37" s="10" t="s">
        <v>3340</v>
      </c>
      <c r="U37" s="6"/>
      <c r="V37" s="7" t="s">
        <v>34</v>
      </c>
      <c r="W37" s="6" t="s">
        <v>3341</v>
      </c>
      <c r="X37" s="7" t="s">
        <v>34</v>
      </c>
      <c r="Y37" s="6" t="s">
        <v>3342</v>
      </c>
      <c r="Z37" s="7" t="s">
        <v>34</v>
      </c>
      <c r="AA37" s="6"/>
      <c r="AB37" s="6" t="s">
        <v>3343</v>
      </c>
      <c r="AC37" s="6" t="s">
        <v>181</v>
      </c>
    </row>
    <row r="38" ht="22.5" customHeight="1">
      <c r="A38" s="11" t="str">
        <f>REGEXEXTRACT(D38, "\d{4}\.\s(.*?)\.\sProc\. ACM")"),"VidAdapter: Adapting Blackboard-Style Videos for Ubiquitous Viewing</f>
        <v xml:space="preserve">VidAdapter: Adapting Blackboard-Style Videos for Ubiquitous Viewing</v>
      </c>
      <c r="B38" s="7">
        <f t="shared" si="79"/>
        <v>119</v>
      </c>
      <c r="C38" s="8" t="s">
        <v>3344</v>
      </c>
      <c r="D38" s="6" t="s">
        <v>3345</v>
      </c>
      <c r="E38" s="9">
        <v>46109</v>
      </c>
      <c r="F38" s="7">
        <v>2023</v>
      </c>
      <c r="G38" s="7" t="s">
        <v>575</v>
      </c>
      <c r="H38" s="6" t="str">
        <f t="shared" si="76"/>
        <v>2023_Sep_119</v>
      </c>
      <c r="I38" s="12" t="str">
        <f t="shared" si="77"/>
        <v>https://doi.org/10.1145/3610928</v>
      </c>
      <c r="J38" s="7">
        <f>IF(D38:D64&lt;&gt;"", VALUE(REGEXEXTRACT(D38:D64, "(\d+)\s+pages")), )
</f>
        <v>19</v>
      </c>
      <c r="K38" s="6" t="s">
        <v>133</v>
      </c>
      <c r="L38" s="7" t="str">
        <f t="shared" si="81"/>
        <v>No</v>
      </c>
      <c r="M38" s="7" t="s">
        <v>33</v>
      </c>
      <c r="N38" s="7" t="s">
        <v>33</v>
      </c>
      <c r="O38" s="7" t="s">
        <v>34</v>
      </c>
      <c r="P38" s="6"/>
      <c r="Q38" s="6"/>
      <c r="R38" s="7" t="s">
        <v>34</v>
      </c>
      <c r="S38" s="7" t="s">
        <v>34</v>
      </c>
      <c r="T38" s="6"/>
      <c r="U38" s="6"/>
      <c r="V38" s="7" t="s">
        <v>34</v>
      </c>
      <c r="W38" s="6" t="s">
        <v>3346</v>
      </c>
      <c r="X38" s="7" t="s">
        <v>34</v>
      </c>
      <c r="Y38" s="6" t="s">
        <v>3347</v>
      </c>
      <c r="Z38" s="7" t="s">
        <v>34</v>
      </c>
      <c r="AA38" s="6"/>
      <c r="AB38" s="6" t="s">
        <v>3348</v>
      </c>
      <c r="AC38" s="6" t="s">
        <v>181</v>
      </c>
    </row>
    <row r="39" ht="22.5" customHeight="1">
      <c r="A39" s="11" t="str">
        <f>REGEXEXTRACT(D39, "\d{4}\.\s(.*?)\.\sProc\. ACM")"),"N-euro Predictor: A Neural Network Approach for Smoothing and Predicting Motion Trajectory</f>
        <v xml:space="preserve">N-euro Predictor: A Neural Network Approach for Smoothing and Predicting Motion Trajectory</v>
      </c>
      <c r="B39" s="7">
        <f t="shared" si="79"/>
        <v>120</v>
      </c>
      <c r="C39" s="8" t="s">
        <v>3349</v>
      </c>
      <c r="D39" s="6" t="s">
        <v>3350</v>
      </c>
      <c r="E39" s="9">
        <v>46109</v>
      </c>
      <c r="F39" s="7">
        <v>2023</v>
      </c>
      <c r="G39" s="7" t="s">
        <v>575</v>
      </c>
      <c r="H39" s="6" t="str">
        <f t="shared" si="76"/>
        <v>2023_Sep_120</v>
      </c>
      <c r="I39" s="12" t="str">
        <f t="shared" si="77"/>
        <v>https://doi.org/10.1145/3610884</v>
      </c>
      <c r="J39" s="7">
        <f>IF(D39:D64&lt;&gt;"", VALUE(REGEXEXTRACT(D39:D64, "(\d+)\s+pages")), )
</f>
        <v>25</v>
      </c>
      <c r="K39" s="6" t="s">
        <v>133</v>
      </c>
      <c r="L39" s="7" t="str">
        <f t="shared" si="81"/>
        <v>No</v>
      </c>
      <c r="M39" s="7" t="s">
        <v>34</v>
      </c>
      <c r="N39" s="7" t="s">
        <v>33</v>
      </c>
      <c r="O39" s="7" t="s">
        <v>34</v>
      </c>
      <c r="P39" s="6"/>
      <c r="Q39" s="6"/>
      <c r="R39" s="7" t="s">
        <v>33</v>
      </c>
      <c r="S39" s="7" t="s">
        <v>34</v>
      </c>
      <c r="T39" s="6"/>
      <c r="U39" s="6"/>
      <c r="V39" s="7" t="s">
        <v>34</v>
      </c>
      <c r="W39" s="6" t="s">
        <v>3351</v>
      </c>
      <c r="X39" s="7" t="s">
        <v>34</v>
      </c>
      <c r="Y39" s="6" t="s">
        <v>3352</v>
      </c>
      <c r="Z39" s="7" t="s">
        <v>34</v>
      </c>
      <c r="AA39" s="6"/>
      <c r="AB39" s="6" t="s">
        <v>3353</v>
      </c>
      <c r="AC39" s="6" t="s">
        <v>181</v>
      </c>
    </row>
    <row r="40" ht="22.5" customHeight="1">
      <c r="A40" s="11" t="str">
        <f>REGEXEXTRACT(D40, "\d{4}\.\s(.*?)\.\sProc\. ACM")"),"Predicting Symptom Improvement During Depression Treatment Using Sleep Sensory Data</f>
        <v xml:space="preserve">Predicting Symptom Improvement During Depression Treatment Using Sleep Sensory Data</v>
      </c>
      <c r="B40" s="7">
        <f t="shared" si="79"/>
        <v>121</v>
      </c>
      <c r="C40" s="8" t="s">
        <v>3354</v>
      </c>
      <c r="D40" s="6" t="s">
        <v>3355</v>
      </c>
      <c r="E40" s="9">
        <v>46110</v>
      </c>
      <c r="F40" s="7">
        <v>2023</v>
      </c>
      <c r="G40" s="7" t="s">
        <v>575</v>
      </c>
      <c r="H40" s="6" t="str">
        <f t="shared" si="76"/>
        <v>2023_Sep_121</v>
      </c>
      <c r="I40" s="12" t="str">
        <f t="shared" si="77"/>
        <v>https://doi.org/10.1145/3610932</v>
      </c>
      <c r="J40" s="7">
        <f>IF(D40:D64&lt;&gt;"", VALUE(REGEXEXTRACT(D40:D64, "(\d+)\s+pages")), )
</f>
        <v>21</v>
      </c>
      <c r="K40" s="6" t="s">
        <v>133</v>
      </c>
      <c r="L40" s="7" t="str">
        <f t="shared" si="81"/>
        <v>No</v>
      </c>
      <c r="M40" s="7" t="s">
        <v>34</v>
      </c>
      <c r="N40" s="7" t="s">
        <v>33</v>
      </c>
      <c r="O40" s="7" t="s">
        <v>34</v>
      </c>
      <c r="P40" s="6"/>
      <c r="Q40" s="6"/>
      <c r="R40" s="7" t="s">
        <v>33</v>
      </c>
      <c r="S40" s="7" t="s">
        <v>34</v>
      </c>
      <c r="T40" s="6"/>
      <c r="U40" s="6"/>
      <c r="V40" s="7" t="s">
        <v>34</v>
      </c>
      <c r="W40" s="6" t="s">
        <v>3356</v>
      </c>
      <c r="X40" s="7" t="s">
        <v>34</v>
      </c>
      <c r="Y40" s="6" t="s">
        <v>3357</v>
      </c>
      <c r="Z40" s="7" t="s">
        <v>34</v>
      </c>
      <c r="AA40" s="6"/>
      <c r="AB40" s="6" t="s">
        <v>3358</v>
      </c>
      <c r="AC40" s="6" t="s">
        <v>181</v>
      </c>
    </row>
    <row r="41" ht="22.5" customHeight="1">
      <c r="A41" s="11" t="str">
        <f>REGEXEXTRACT(D41, "\d{4}\.\s(.*?)\.\sProc\. ACM")"),"CrowdQ: Predicting the Queue State of Hospital Emergency Department Using Crowdsensing Mobility Data-Driven Models</f>
        <v xml:space="preserve">CrowdQ: Predicting the Queue State of Hospital Emergency Department Using Crowdsensing Mobility Data-Driven Models</v>
      </c>
      <c r="B41" s="7">
        <f t="shared" si="79"/>
        <v>122</v>
      </c>
      <c r="C41" s="8" t="s">
        <v>3359</v>
      </c>
      <c r="D41" s="6" t="s">
        <v>3360</v>
      </c>
      <c r="E41" s="9">
        <v>46110</v>
      </c>
      <c r="F41" s="7">
        <v>2023</v>
      </c>
      <c r="G41" s="7" t="s">
        <v>575</v>
      </c>
      <c r="H41" s="6" t="str">
        <f t="shared" si="76"/>
        <v>2023_Sep_122</v>
      </c>
      <c r="I41" s="12" t="str">
        <f t="shared" si="77"/>
        <v>https://doi.org/10.1145/3610875</v>
      </c>
      <c r="J41" s="7">
        <f>IF(D41:D64&lt;&gt;"", VALUE(REGEXEXTRACT(D41:D64, "(\d+)\s+pages")), )
</f>
        <v>28</v>
      </c>
      <c r="K41" s="6" t="s">
        <v>64</v>
      </c>
      <c r="L41" s="7" t="str">
        <f t="shared" si="81"/>
        <v>No</v>
      </c>
      <c r="M41" s="7" t="s">
        <v>34</v>
      </c>
      <c r="N41" s="7" t="s">
        <v>33</v>
      </c>
      <c r="O41" s="7" t="s">
        <v>34</v>
      </c>
      <c r="P41" s="6"/>
      <c r="Q41" s="6"/>
      <c r="R41" s="7" t="s">
        <v>33</v>
      </c>
      <c r="S41" s="7" t="s">
        <v>34</v>
      </c>
      <c r="T41" s="6"/>
      <c r="U41" s="6" t="s">
        <v>3361</v>
      </c>
      <c r="V41" s="7" t="s">
        <v>34</v>
      </c>
      <c r="W41" s="6" t="s">
        <v>3362</v>
      </c>
      <c r="X41" s="7" t="s">
        <v>33</v>
      </c>
      <c r="Y41" s="6" t="s">
        <v>3363</v>
      </c>
      <c r="Z41" s="7" t="s">
        <v>34</v>
      </c>
      <c r="AA41" s="6"/>
      <c r="AB41" s="6" t="s">
        <v>3364</v>
      </c>
      <c r="AC41" s="6" t="s">
        <v>181</v>
      </c>
    </row>
    <row r="42" ht="22.5" customHeight="1">
      <c r="A42" s="11" t="str">
        <f>REGEXEXTRACT(D42, "\d{4}\.\s(.*?)\.\sProc\. ACM")"),"Can You Ear Me? A Comparison of Different Private and Public Notification Channels for the Earlobe</f>
        <v xml:space="preserve">Can You Ear Me? A Comparison of Different Private and Public Notification Channels for the Earlobe</v>
      </c>
      <c r="B42" s="7">
        <f t="shared" si="79"/>
        <v>123</v>
      </c>
      <c r="C42" s="8" t="s">
        <v>3365</v>
      </c>
      <c r="D42" s="6" t="s">
        <v>3366</v>
      </c>
      <c r="E42" s="9">
        <v>46110</v>
      </c>
      <c r="F42" s="7">
        <v>2023</v>
      </c>
      <c r="G42" s="7" t="s">
        <v>575</v>
      </c>
      <c r="H42" s="6" t="str">
        <f t="shared" si="76"/>
        <v>2023_Sep_123</v>
      </c>
      <c r="I42" s="12" t="str">
        <f t="shared" si="77"/>
        <v>https://doi.org/10.1145/3610925</v>
      </c>
      <c r="J42" s="7">
        <f>IF(D42:D64&lt;&gt;"", VALUE(REGEXEXTRACT(D42:D64, "(\d+)\s+pages")), )
</f>
        <v>23</v>
      </c>
      <c r="K42" s="6" t="s">
        <v>1093</v>
      </c>
      <c r="L42" s="7" t="str">
        <f t="shared" si="81"/>
        <v>No</v>
      </c>
      <c r="M42" s="7" t="s">
        <v>33</v>
      </c>
      <c r="N42" s="7" t="s">
        <v>33</v>
      </c>
      <c r="O42" s="7" t="s">
        <v>34</v>
      </c>
      <c r="P42" s="6"/>
      <c r="Q42" s="6"/>
      <c r="R42" s="7" t="s">
        <v>34</v>
      </c>
      <c r="S42" s="7" t="s">
        <v>34</v>
      </c>
      <c r="T42" s="6"/>
      <c r="U42" s="6"/>
      <c r="V42" s="7" t="s">
        <v>33</v>
      </c>
      <c r="W42" s="6" t="s">
        <v>3367</v>
      </c>
      <c r="X42" s="7" t="s">
        <v>33</v>
      </c>
      <c r="Y42" s="6" t="s">
        <v>3368</v>
      </c>
      <c r="Z42" s="7" t="s">
        <v>34</v>
      </c>
      <c r="AA42" s="6"/>
      <c r="AB42" s="6" t="s">
        <v>3369</v>
      </c>
      <c r="AC42" s="6" t="s">
        <v>181</v>
      </c>
    </row>
    <row r="43" ht="22.5" customHeight="1">
      <c r="A43" s="14" t="str">
        <f>REGEXEXTRACT(D43, "\d{4}\.\s(.*?)\.\sProc\. ACM")"),"MR Object Identification and Interaction: Fusing Object Situation Information from Heterogeneous Sources</f>
        <v xml:space="preserve">MR Object Identification and Interaction: Fusing Object Situation Information from Heterogeneous Sources</v>
      </c>
      <c r="B43" s="15">
        <f t="shared" si="79"/>
        <v>124</v>
      </c>
      <c r="C43" s="16" t="s">
        <v>3370</v>
      </c>
      <c r="D43" s="17" t="s">
        <v>3371</v>
      </c>
      <c r="E43" s="18">
        <v>46110</v>
      </c>
      <c r="F43" s="15">
        <v>2023</v>
      </c>
      <c r="G43" s="15" t="s">
        <v>575</v>
      </c>
      <c r="H43" s="17" t="str">
        <f t="shared" si="76"/>
        <v>2023_Sep_124</v>
      </c>
      <c r="I43" s="19" t="str">
        <f t="shared" si="77"/>
        <v>https://doi.org/10.1145/3610879</v>
      </c>
      <c r="J43" s="15">
        <f>IF(D43:D64&lt;&gt;"", VALUE(REGEXEXTRACT(D43:D64, "(\d+)\s+pages")), )
</f>
        <v>26</v>
      </c>
      <c r="K43" s="17" t="s">
        <v>777</v>
      </c>
      <c r="L43" s="15" t="str">
        <f t="shared" si="81"/>
        <v>No</v>
      </c>
      <c r="M43" s="15" t="s">
        <v>33</v>
      </c>
      <c r="N43" s="15" t="s">
        <v>33</v>
      </c>
      <c r="O43" s="15" t="s">
        <v>33</v>
      </c>
      <c r="P43" s="22" t="s">
        <v>3372</v>
      </c>
      <c r="Q43" s="17"/>
      <c r="R43" s="15" t="s">
        <v>34</v>
      </c>
      <c r="S43" s="15" t="s">
        <v>34</v>
      </c>
      <c r="T43" s="17"/>
      <c r="U43" s="17"/>
      <c r="V43" s="15" t="s">
        <v>33</v>
      </c>
      <c r="W43" s="17" t="s">
        <v>3373</v>
      </c>
      <c r="X43" s="15" t="s">
        <v>33</v>
      </c>
      <c r="Y43" s="17" t="s">
        <v>3374</v>
      </c>
      <c r="Z43" s="15" t="s">
        <v>33</v>
      </c>
      <c r="AA43" s="17" t="s">
        <v>3375</v>
      </c>
      <c r="AB43" s="17" t="s">
        <v>3376</v>
      </c>
      <c r="AC43" s="17" t="s">
        <v>181</v>
      </c>
    </row>
    <row r="44" ht="22.5" customHeight="1">
      <c r="A44" s="11" t="str">
        <f>REGEXEXTRACT(D44, "\d{4}\.\s(.*?)\.\sProc\. ACM")"),"Cross-Modality Graph-based Language and Sensor Data Co-Learning of Human-Mobility Interaction</f>
        <v xml:space="preserve">Cross-Modality Graph-based Language and Sensor Data Co-Learning of Human-Mobility Interaction</v>
      </c>
      <c r="B44" s="7">
        <f t="shared" si="79"/>
        <v>125</v>
      </c>
      <c r="C44" s="8" t="s">
        <v>3377</v>
      </c>
      <c r="D44" s="6" t="s">
        <v>3378</v>
      </c>
      <c r="E44" s="9">
        <v>45989</v>
      </c>
      <c r="F44" s="7">
        <v>2023</v>
      </c>
      <c r="G44" s="7" t="s">
        <v>575</v>
      </c>
      <c r="H44" s="6" t="str">
        <f t="shared" si="76"/>
        <v>2023_Sep_125</v>
      </c>
      <c r="I44" s="12" t="str">
        <f t="shared" si="77"/>
        <v>https://doi.org/10.1145/3610904</v>
      </c>
      <c r="J44" s="7">
        <f>IF(D44:D64&lt;&gt;"", VALUE(REGEXEXTRACT(D44:D64, "(\d+)\s+pages")), )
</f>
        <v>25</v>
      </c>
      <c r="K44" s="6" t="s">
        <v>64</v>
      </c>
      <c r="L44" s="7" t="str">
        <f t="shared" si="81"/>
        <v>No</v>
      </c>
      <c r="M44" s="7" t="s">
        <v>34</v>
      </c>
      <c r="N44" s="7" t="s">
        <v>33</v>
      </c>
      <c r="O44" s="7" t="s">
        <v>34</v>
      </c>
      <c r="P44" s="6"/>
      <c r="Q44" s="6" t="s">
        <v>3379</v>
      </c>
      <c r="R44" s="7" t="s">
        <v>33</v>
      </c>
      <c r="S44" s="7" t="s">
        <v>144</v>
      </c>
      <c r="T44" s="6"/>
      <c r="U44" s="6" t="s">
        <v>3380</v>
      </c>
      <c r="V44" s="7" t="s">
        <v>33</v>
      </c>
      <c r="W44" s="6" t="s">
        <v>3381</v>
      </c>
      <c r="X44" s="7" t="s">
        <v>34</v>
      </c>
      <c r="Y44" s="6" t="s">
        <v>3382</v>
      </c>
      <c r="Z44" s="7" t="s">
        <v>34</v>
      </c>
      <c r="AA44" s="6" t="s">
        <v>3383</v>
      </c>
      <c r="AB44" s="6" t="s">
        <v>3384</v>
      </c>
      <c r="AC44" s="6" t="s">
        <v>355</v>
      </c>
    </row>
    <row r="45" ht="22.5" customHeight="1">
      <c r="A45" s="11" t="str">
        <f>REGEXEXTRACT(D45, "\d{4}\.\s(.*?)\.\sProc\. ACM")"),"Privacy against Real-Time Speech Emotion Detection via Acoustic Adversarial Evasion of Machine Learning</f>
        <v xml:space="preserve">Privacy against Real-Time Speech Emotion Detection via Acoustic Adversarial Evasion of Machine Learning</v>
      </c>
      <c r="B45" s="7">
        <f t="shared" si="79"/>
        <v>126</v>
      </c>
      <c r="C45" s="8" t="s">
        <v>3385</v>
      </c>
      <c r="D45" s="6" t="s">
        <v>3386</v>
      </c>
      <c r="E45" s="9">
        <v>45989</v>
      </c>
      <c r="F45" s="7">
        <v>2023</v>
      </c>
      <c r="G45" s="7" t="s">
        <v>575</v>
      </c>
      <c r="H45" s="6" t="str">
        <f t="shared" si="76"/>
        <v>2023_Sep_126</v>
      </c>
      <c r="I45" s="12" t="str">
        <f t="shared" si="77"/>
        <v>https://doi.org/10.1145/3610887</v>
      </c>
      <c r="J45" s="7">
        <f>IF(D45:D64&lt;&gt;"", VALUE(REGEXEXTRACT(D45:D64, "(\d+)\s+pages")), )
</f>
        <v>30</v>
      </c>
      <c r="K45" s="6" t="s">
        <v>32</v>
      </c>
      <c r="L45" s="7" t="str">
        <f t="shared" si="81"/>
        <v>No</v>
      </c>
      <c r="M45" s="7" t="s">
        <v>33</v>
      </c>
      <c r="N45" s="7" t="s">
        <v>33</v>
      </c>
      <c r="O45" s="7" t="s">
        <v>34</v>
      </c>
      <c r="P45" s="6"/>
      <c r="Q45" s="6" t="s">
        <v>3387</v>
      </c>
      <c r="R45" s="7" t="s">
        <v>33</v>
      </c>
      <c r="S45" s="7" t="s">
        <v>33</v>
      </c>
      <c r="T45" s="6"/>
      <c r="U45" s="6" t="s">
        <v>3388</v>
      </c>
      <c r="V45" s="7" t="s">
        <v>33</v>
      </c>
      <c r="W45" s="6" t="s">
        <v>3389</v>
      </c>
      <c r="X45" s="7" t="s">
        <v>33</v>
      </c>
      <c r="Y45" s="6" t="s">
        <v>3390</v>
      </c>
      <c r="Z45" s="7" t="s">
        <v>34</v>
      </c>
      <c r="AA45" s="6" t="s">
        <v>3391</v>
      </c>
      <c r="AB45" s="6" t="s">
        <v>3392</v>
      </c>
      <c r="AC45" s="6" t="s">
        <v>355</v>
      </c>
    </row>
    <row r="46" ht="22.5" customHeight="1">
      <c r="A46" s="11" t="str">
        <f>REGEXEXTRACT(D46, "\d{4}\.\s(.*?)\.\sProc\. ACM")"),"Wi-Flex: Reflex Detection with Commodity WiFi</f>
        <v xml:space="preserve">Wi-Flex: Reflex Detection with Commodity WiFi</v>
      </c>
      <c r="B46" s="7">
        <f t="shared" si="79"/>
        <v>127</v>
      </c>
      <c r="C46" s="8" t="s">
        <v>3393</v>
      </c>
      <c r="D46" s="6" t="s">
        <v>3394</v>
      </c>
      <c r="E46" s="9">
        <v>45990</v>
      </c>
      <c r="F46" s="7">
        <v>2023</v>
      </c>
      <c r="G46" s="7" t="s">
        <v>575</v>
      </c>
      <c r="H46" s="6" t="str">
        <f t="shared" si="76"/>
        <v>2023_Sep_127</v>
      </c>
      <c r="I46" s="12" t="str">
        <f t="shared" si="77"/>
        <v>https://doi.org/10.1145/3610930</v>
      </c>
      <c r="J46" s="7">
        <f>IF(D46:D64&lt;&gt;"", VALUE(REGEXEXTRACT(D46:D64, "(\d+)\s+pages")), )
</f>
        <v>27</v>
      </c>
      <c r="K46" s="6" t="s">
        <v>32</v>
      </c>
      <c r="L46" s="7" t="str">
        <f t="shared" si="81"/>
        <v>No</v>
      </c>
      <c r="M46" s="7" t="s">
        <v>33</v>
      </c>
      <c r="N46" s="7" t="s">
        <v>33</v>
      </c>
      <c r="O46" s="7" t="s">
        <v>34</v>
      </c>
      <c r="P46" s="6"/>
      <c r="Q46" s="6" t="s">
        <v>3395</v>
      </c>
      <c r="R46" s="7" t="s">
        <v>33</v>
      </c>
      <c r="S46" s="7" t="s">
        <v>34</v>
      </c>
      <c r="T46" s="6"/>
      <c r="U46" s="6" t="s">
        <v>3396</v>
      </c>
      <c r="V46" s="7" t="s">
        <v>33</v>
      </c>
      <c r="W46" s="6" t="s">
        <v>3397</v>
      </c>
      <c r="X46" s="7" t="s">
        <v>34</v>
      </c>
      <c r="Y46" s="6" t="s">
        <v>3398</v>
      </c>
      <c r="Z46" s="7" t="s">
        <v>34</v>
      </c>
      <c r="AA46" s="6" t="s">
        <v>3399</v>
      </c>
      <c r="AB46" s="6" t="s">
        <v>3400</v>
      </c>
      <c r="AC46" s="6" t="s">
        <v>355</v>
      </c>
    </row>
    <row r="47" ht="22.5" customHeight="1">
      <c r="A47" s="11" t="str">
        <f>REGEXEXTRACT(D47, "\d{4}\.\s(.*?)\.\sProc\. ACM")"),"Society's Attitudes Towards Human Augmentation and Performance Enhancement Technologies (SHAPE) Scale</f>
        <v xml:space="preserve">Society's Attitudes Towards Human Augmentation and Performance Enhancement Technologies (SHAPE) Scale</v>
      </c>
      <c r="B47" s="7">
        <f t="shared" si="79"/>
        <v>128</v>
      </c>
      <c r="C47" s="8" t="s">
        <v>3401</v>
      </c>
      <c r="D47" s="6" t="s">
        <v>3402</v>
      </c>
      <c r="E47" s="9">
        <v>45990</v>
      </c>
      <c r="F47" s="7">
        <v>2023</v>
      </c>
      <c r="G47" s="7" t="s">
        <v>575</v>
      </c>
      <c r="H47" s="6" t="str">
        <f t="shared" si="76"/>
        <v>2023_Sep_128</v>
      </c>
      <c r="I47" s="12" t="str">
        <f t="shared" si="77"/>
        <v>https://doi.org/10.1145/3610915</v>
      </c>
      <c r="J47" s="7">
        <f>IF(D47:D64&lt;&gt;"", VALUE(REGEXEXTRACT(D47:D64, "(\d+)\s+pages")), )
</f>
        <v>23</v>
      </c>
      <c r="K47" s="6" t="s">
        <v>42</v>
      </c>
      <c r="L47" s="7" t="str">
        <f t="shared" si="81"/>
        <v>No</v>
      </c>
      <c r="M47" s="7" t="s">
        <v>33</v>
      </c>
      <c r="N47" s="7" t="s">
        <v>34</v>
      </c>
      <c r="O47" s="7" t="s">
        <v>35</v>
      </c>
      <c r="P47" s="6"/>
      <c r="Q47" s="6"/>
      <c r="R47" s="7" t="s">
        <v>34</v>
      </c>
      <c r="S47" s="7" t="s">
        <v>35</v>
      </c>
      <c r="T47" s="6"/>
      <c r="U47" s="6"/>
      <c r="V47" s="7" t="s">
        <v>35</v>
      </c>
      <c r="W47" s="6"/>
      <c r="X47" s="7" t="s">
        <v>35</v>
      </c>
      <c r="Y47" s="13"/>
      <c r="Z47" s="7" t="s">
        <v>35</v>
      </c>
      <c r="AA47" s="6"/>
      <c r="AB47" s="6"/>
      <c r="AC47" s="6" t="s">
        <v>355</v>
      </c>
    </row>
    <row r="48" ht="22.5" customHeight="1">
      <c r="A48" s="11" t="str">
        <f>REGEXEXTRACT(D48, "\d{4}\.\s(.*?)\.\sProc\. ACM")"),"Cross-technology Communication between Visible Light and Battery-free RFIDs</f>
        <v xml:space="preserve">Cross-technology Communication between Visible Light and Battery-free RFIDs</v>
      </c>
      <c r="B48" s="7">
        <f t="shared" si="79"/>
        <v>129</v>
      </c>
      <c r="C48" s="8" t="s">
        <v>3403</v>
      </c>
      <c r="D48" s="6" t="s">
        <v>3404</v>
      </c>
      <c r="E48" s="9">
        <v>45991</v>
      </c>
      <c r="F48" s="7">
        <v>2023</v>
      </c>
      <c r="G48" s="7" t="s">
        <v>575</v>
      </c>
      <c r="H48" s="6" t="str">
        <f t="shared" si="76"/>
        <v>2023_Sep_129</v>
      </c>
      <c r="I48" s="12" t="str">
        <f t="shared" si="77"/>
        <v>https://doi.org/10.1145/3610883</v>
      </c>
      <c r="J48" s="7">
        <f>IF(D48:D64&lt;&gt;"", VALUE(REGEXEXTRACT(D48:D64, "(\d+)\s+pages")), )
</f>
        <v>20</v>
      </c>
      <c r="K48" s="6" t="s">
        <v>45</v>
      </c>
      <c r="L48" s="7" t="str">
        <f t="shared" si="81"/>
        <v>No</v>
      </c>
      <c r="M48" s="7" t="s">
        <v>34</v>
      </c>
      <c r="N48" s="7" t="s">
        <v>33</v>
      </c>
      <c r="O48" s="7" t="s">
        <v>34</v>
      </c>
      <c r="P48" s="6"/>
      <c r="Q48" s="6" t="s">
        <v>373</v>
      </c>
      <c r="R48" s="7" t="s">
        <v>33</v>
      </c>
      <c r="S48" s="7" t="s">
        <v>34</v>
      </c>
      <c r="T48" s="6"/>
      <c r="U48" s="6" t="s">
        <v>3405</v>
      </c>
      <c r="V48" s="7" t="s">
        <v>33</v>
      </c>
      <c r="W48" s="6" t="s">
        <v>3406</v>
      </c>
      <c r="X48" s="7" t="s">
        <v>34</v>
      </c>
      <c r="Y48" s="6" t="s">
        <v>3407</v>
      </c>
      <c r="Z48" s="7" t="s">
        <v>34</v>
      </c>
      <c r="AA48" s="6" t="s">
        <v>3408</v>
      </c>
      <c r="AB48" s="6" t="s">
        <v>3409</v>
      </c>
      <c r="AC48" s="6" t="s">
        <v>355</v>
      </c>
    </row>
    <row r="49" ht="22.5" customHeight="1">
      <c r="A49" s="11" t="str">
        <f>REGEXEXTRACT(D49, "\d{4}\.\s(.*?)\.\sProc\. ACM")"),"PATCH: A Plug-in Framework of Non-blocking Inference for Distributed Multimodal System</f>
        <v xml:space="preserve">PATCH: A Plug-in Framework of Non-blocking Inference for Distributed Multimodal System</v>
      </c>
      <c r="B49" s="7">
        <f t="shared" si="79"/>
        <v>130</v>
      </c>
      <c r="C49" s="8" t="s">
        <v>3410</v>
      </c>
      <c r="D49" s="6" t="s">
        <v>3411</v>
      </c>
      <c r="E49" s="9">
        <v>45991</v>
      </c>
      <c r="F49" s="7">
        <v>2023</v>
      </c>
      <c r="G49" s="7" t="s">
        <v>575</v>
      </c>
      <c r="H49" s="6" t="str">
        <f t="shared" si="76"/>
        <v>2023_Sep_130</v>
      </c>
      <c r="I49" s="12" t="str">
        <f t="shared" si="77"/>
        <v>https://doi.org/10.1145/3610885</v>
      </c>
      <c r="J49" s="7">
        <f>IF(D49:D64&lt;&gt;"", VALUE(REGEXEXTRACT(D49:D64, "(\d+)\s+pages")), )
</f>
        <v>24</v>
      </c>
      <c r="K49" s="6" t="s">
        <v>133</v>
      </c>
      <c r="L49" s="7" t="str">
        <f t="shared" si="81"/>
        <v>No</v>
      </c>
      <c r="M49" s="7" t="s">
        <v>34</v>
      </c>
      <c r="N49" s="7" t="s">
        <v>33</v>
      </c>
      <c r="O49" s="7" t="s">
        <v>34</v>
      </c>
      <c r="P49" s="6"/>
      <c r="Q49" s="6" t="s">
        <v>381</v>
      </c>
      <c r="R49" s="7" t="s">
        <v>33</v>
      </c>
      <c r="S49" s="7" t="s">
        <v>144</v>
      </c>
      <c r="T49" s="6"/>
      <c r="U49" s="6" t="s">
        <v>3412</v>
      </c>
      <c r="V49" s="7" t="s">
        <v>33</v>
      </c>
      <c r="W49" s="6" t="s">
        <v>3413</v>
      </c>
      <c r="X49" s="7" t="s">
        <v>34</v>
      </c>
      <c r="Y49" s="6" t="s">
        <v>3414</v>
      </c>
      <c r="Z49" s="7" t="s">
        <v>34</v>
      </c>
      <c r="AA49" s="6" t="s">
        <v>3415</v>
      </c>
      <c r="AB49" s="6" t="s">
        <v>3416</v>
      </c>
      <c r="AC49" s="6" t="s">
        <v>355</v>
      </c>
    </row>
    <row r="50" ht="22.5" customHeight="1">
      <c r="A50" s="11" t="str">
        <f>REGEXEXTRACT(D50, "\d{4}\.\s(.*?)\.\sProc\. ACM")"),"Knowing Your Heart Condition Anytime: User-Independent ECG Measurement Using Commercial Mobile Phones</f>
        <v xml:space="preserve">Knowing Your Heart Condition Anytime: User-Independent ECG Measurement Using Commercial Mobile Phones</v>
      </c>
      <c r="B50" s="7">
        <f t="shared" si="79"/>
        <v>131</v>
      </c>
      <c r="C50" s="8" t="s">
        <v>3417</v>
      </c>
      <c r="D50" s="6" t="s">
        <v>3418</v>
      </c>
      <c r="E50" s="9">
        <v>45992</v>
      </c>
      <c r="F50" s="7">
        <v>2023</v>
      </c>
      <c r="G50" s="7" t="s">
        <v>575</v>
      </c>
      <c r="H50" s="6" t="str">
        <f t="shared" si="76"/>
        <v>2023_Sep_131</v>
      </c>
      <c r="I50" s="12" t="str">
        <f t="shared" si="77"/>
        <v>https://doi.org/10.1145/3610871</v>
      </c>
      <c r="J50" s="7">
        <f>IF(D50:D64&lt;&gt;"", VALUE(REGEXEXTRACT(D50:D64, "(\d+)\s+pages")), )
</f>
        <v>28</v>
      </c>
      <c r="K50" s="6" t="s">
        <v>133</v>
      </c>
      <c r="L50" s="7" t="str">
        <f t="shared" si="81"/>
        <v>No</v>
      </c>
      <c r="M50" s="7" t="s">
        <v>34</v>
      </c>
      <c r="N50" s="7" t="s">
        <v>33</v>
      </c>
      <c r="O50" s="7" t="s">
        <v>34</v>
      </c>
      <c r="P50" s="6"/>
      <c r="Q50" s="6" t="s">
        <v>381</v>
      </c>
      <c r="R50" s="7" t="s">
        <v>33</v>
      </c>
      <c r="S50" s="7" t="s">
        <v>34</v>
      </c>
      <c r="T50" s="6"/>
      <c r="U50" s="6" t="s">
        <v>3419</v>
      </c>
      <c r="V50" s="7" t="s">
        <v>33</v>
      </c>
      <c r="W50" s="6" t="s">
        <v>3420</v>
      </c>
      <c r="X50" s="7" t="s">
        <v>34</v>
      </c>
      <c r="Y50" s="6" t="s">
        <v>3421</v>
      </c>
      <c r="Z50" s="7" t="s">
        <v>34</v>
      </c>
      <c r="AA50" s="6" t="s">
        <v>3422</v>
      </c>
      <c r="AB50" s="6" t="s">
        <v>3423</v>
      </c>
      <c r="AC50" s="6" t="s">
        <v>355</v>
      </c>
    </row>
    <row r="51" ht="22.5" customHeight="1">
      <c r="A51" s="11" t="str">
        <f>REGEXEXTRACT(D51, "\d{4}\.\s(.*?)\.\sProc\. ACM")"),"SUrban: Stable Prediction for Unseen Urban Data from Location-based Sensors</f>
        <v xml:space="preserve">SUrban: Stable Prediction for Unseen Urban Data from Location-based Sensors</v>
      </c>
      <c r="B51" s="7">
        <f t="shared" si="79"/>
        <v>132</v>
      </c>
      <c r="C51" s="8" t="s">
        <v>3424</v>
      </c>
      <c r="D51" s="6" t="s">
        <v>3425</v>
      </c>
      <c r="E51" s="9">
        <v>45992</v>
      </c>
      <c r="F51" s="7">
        <v>2023</v>
      </c>
      <c r="G51" s="7" t="s">
        <v>575</v>
      </c>
      <c r="H51" s="6" t="str">
        <f t="shared" si="76"/>
        <v>2023_Sep_132</v>
      </c>
      <c r="I51" s="12" t="str">
        <f t="shared" si="77"/>
        <v>https://doi.org/10.1145/3610877</v>
      </c>
      <c r="J51" s="7">
        <f>IF(D51:D64&lt;&gt;"", VALUE(REGEXEXTRACT(D51:D64, "(\d+)\s+pages")), )
</f>
        <v>20</v>
      </c>
      <c r="K51" s="6" t="s">
        <v>71</v>
      </c>
      <c r="L51" s="7" t="str">
        <f t="shared" si="81"/>
        <v>No</v>
      </c>
      <c r="M51" s="7" t="s">
        <v>34</v>
      </c>
      <c r="N51" s="7" t="s">
        <v>33</v>
      </c>
      <c r="O51" s="7" t="s">
        <v>34</v>
      </c>
      <c r="P51" s="6"/>
      <c r="Q51" s="6" t="s">
        <v>3426</v>
      </c>
      <c r="R51" s="7" t="s">
        <v>33</v>
      </c>
      <c r="S51" s="7" t="s">
        <v>33</v>
      </c>
      <c r="T51" s="10" t="s">
        <v>3427</v>
      </c>
      <c r="U51" s="6" t="s">
        <v>3428</v>
      </c>
      <c r="V51" s="7" t="s">
        <v>34</v>
      </c>
      <c r="W51" s="6" t="s">
        <v>3429</v>
      </c>
      <c r="X51" s="7" t="s">
        <v>34</v>
      </c>
      <c r="Y51" s="6" t="s">
        <v>3430</v>
      </c>
      <c r="Z51" s="7" t="s">
        <v>34</v>
      </c>
      <c r="AA51" s="6" t="s">
        <v>3431</v>
      </c>
      <c r="AB51" s="6" t="s">
        <v>3432</v>
      </c>
      <c r="AC51" s="6" t="s">
        <v>355</v>
      </c>
    </row>
    <row r="52" ht="22.5" customHeight="1">
      <c r="A52" s="11" t="str">
        <f>REGEXEXTRACT(D52, "\d{4}\.\s(.*?)\.\sProc\. ACM")"),"The Power of Speech in the Wild: Discriminative Power of Daily Voice Diaries in Understanding Auditory Verbal Hallucinations Using Deep Learning</f>
        <v xml:space="preserve">The Power of Speech in the Wild: Discriminative Power of Daily Voice Diaries in Understanding Auditory Verbal Hallucinations Using Deep Learning</v>
      </c>
      <c r="B52" s="7">
        <f t="shared" si="79"/>
        <v>133</v>
      </c>
      <c r="C52" s="8" t="s">
        <v>3433</v>
      </c>
      <c r="D52" s="6" t="s">
        <v>3434</v>
      </c>
      <c r="E52" s="9">
        <v>45993</v>
      </c>
      <c r="F52" s="7">
        <v>2023</v>
      </c>
      <c r="G52" s="7" t="s">
        <v>575</v>
      </c>
      <c r="H52" s="6" t="str">
        <f t="shared" si="76"/>
        <v>2023_Sep_133</v>
      </c>
      <c r="I52" s="12" t="str">
        <f t="shared" si="77"/>
        <v>https://doi.org/10.1145/3610890</v>
      </c>
      <c r="J52" s="7">
        <f>IF(D52:D64&lt;&gt;"", VALUE(REGEXEXTRACT(D52:D64, "(\d+)\s+pages")), )
</f>
        <v>29</v>
      </c>
      <c r="K52" s="6" t="s">
        <v>32</v>
      </c>
      <c r="L52" s="7" t="str">
        <f t="shared" si="81"/>
        <v>No</v>
      </c>
      <c r="M52" s="7" t="s">
        <v>34</v>
      </c>
      <c r="N52" s="7" t="s">
        <v>33</v>
      </c>
      <c r="O52" s="7" t="s">
        <v>34</v>
      </c>
      <c r="P52" s="6"/>
      <c r="Q52" s="6" t="s">
        <v>349</v>
      </c>
      <c r="R52" s="7" t="s">
        <v>33</v>
      </c>
      <c r="S52" s="7" t="s">
        <v>34</v>
      </c>
      <c r="T52" s="6"/>
      <c r="U52" s="6" t="s">
        <v>3435</v>
      </c>
      <c r="V52" s="7" t="s">
        <v>33</v>
      </c>
      <c r="W52" s="6" t="s">
        <v>3436</v>
      </c>
      <c r="X52" s="7" t="s">
        <v>33</v>
      </c>
      <c r="Y52" s="6" t="s">
        <v>3437</v>
      </c>
      <c r="Z52" s="7" t="s">
        <v>34</v>
      </c>
      <c r="AA52" s="6" t="s">
        <v>3438</v>
      </c>
      <c r="AB52" s="6" t="s">
        <v>3439</v>
      </c>
      <c r="AC52" s="6" t="s">
        <v>355</v>
      </c>
    </row>
    <row r="53" ht="22.5" customHeight="1">
      <c r="A53" s="11" t="str">
        <f>REGEXEXTRACT(D53, "\d{4}\.\s(.*?)\.\sProc\. ACM")"),"Detecting Social Contexts from Mobile Sensing Indicators in Virtual Interactions with Socially Anxious Individuals</f>
        <v xml:space="preserve">Detecting Social Contexts from Mobile Sensing Indicators in Virtual Interactions with Socially Anxious Individuals</v>
      </c>
      <c r="B53" s="7">
        <f t="shared" si="79"/>
        <v>134</v>
      </c>
      <c r="C53" s="8" t="s">
        <v>3440</v>
      </c>
      <c r="D53" s="6" t="s">
        <v>3441</v>
      </c>
      <c r="E53" s="9">
        <v>45993</v>
      </c>
      <c r="F53" s="7">
        <v>2023</v>
      </c>
      <c r="G53" s="7" t="s">
        <v>575</v>
      </c>
      <c r="H53" s="6" t="str">
        <f t="shared" si="76"/>
        <v>2023_Sep_134</v>
      </c>
      <c r="I53" s="12" t="str">
        <f t="shared" si="77"/>
        <v>https://doi.org/10.1145/3610916</v>
      </c>
      <c r="J53" s="7">
        <f>IF(D53:D64&lt;&gt;"", VALUE(REGEXEXTRACT(D53:D64, "(\d+)\s+pages")), )
</f>
        <v>26</v>
      </c>
      <c r="K53" s="6" t="s">
        <v>32</v>
      </c>
      <c r="L53" s="7" t="str">
        <f t="shared" si="81"/>
        <v>No</v>
      </c>
      <c r="M53" s="7" t="s">
        <v>33</v>
      </c>
      <c r="N53" s="7" t="s">
        <v>33</v>
      </c>
      <c r="O53" s="7" t="s">
        <v>34</v>
      </c>
      <c r="P53" s="6"/>
      <c r="Q53" s="6" t="s">
        <v>381</v>
      </c>
      <c r="R53" s="7" t="s">
        <v>33</v>
      </c>
      <c r="S53" s="7" t="s">
        <v>34</v>
      </c>
      <c r="T53" s="6"/>
      <c r="U53" s="6" t="s">
        <v>3442</v>
      </c>
      <c r="V53" s="7" t="s">
        <v>33</v>
      </c>
      <c r="W53" s="6" t="s">
        <v>3443</v>
      </c>
      <c r="X53" s="7" t="s">
        <v>34</v>
      </c>
      <c r="Y53" s="6" t="s">
        <v>3444</v>
      </c>
      <c r="Z53" s="7" t="s">
        <v>34</v>
      </c>
      <c r="AA53" s="6" t="s">
        <v>3445</v>
      </c>
      <c r="AB53" s="6" t="s">
        <v>3446</v>
      </c>
      <c r="AC53" s="6" t="s">
        <v>355</v>
      </c>
    </row>
    <row r="54" ht="22.5" customHeight="1">
      <c r="A54" s="11" t="str">
        <f>REGEXEXTRACT(D54, "\d{4}\.\s(.*?)\.\sProc\. ACM")"),"SmarCyPad: A Smart Seat Pad for Cycling Fitness Tracking Leveraging Low-cost Conductive Fabric Sensors</f>
        <v xml:space="preserve">SmarCyPad: A Smart Seat Pad for Cycling Fitness Tracking Leveraging Low-cost Conductive Fabric Sensors</v>
      </c>
      <c r="B54" s="7">
        <f t="shared" si="79"/>
        <v>135</v>
      </c>
      <c r="C54" s="8" t="s">
        <v>3447</v>
      </c>
      <c r="D54" s="6" t="s">
        <v>3448</v>
      </c>
      <c r="E54" s="9">
        <v>45999</v>
      </c>
      <c r="F54" s="7">
        <v>2023</v>
      </c>
      <c r="G54" s="7" t="s">
        <v>575</v>
      </c>
      <c r="H54" s="6" t="str">
        <f t="shared" si="76"/>
        <v>2023_Sep_135</v>
      </c>
      <c r="I54" s="12" t="str">
        <f t="shared" si="77"/>
        <v>https://doi.org/10.1145/3610927</v>
      </c>
      <c r="J54" s="7">
        <f>IF(D54:D64&lt;&gt;"", VALUE(REGEXEXTRACT(D54:D64, "(\d+)\s+pages")), )
</f>
        <v>26</v>
      </c>
      <c r="K54" s="6" t="s">
        <v>348</v>
      </c>
      <c r="L54" s="7" t="str">
        <f t="shared" si="81"/>
        <v>No</v>
      </c>
      <c r="M54" s="7" t="s">
        <v>33</v>
      </c>
      <c r="N54" s="7" t="s">
        <v>33</v>
      </c>
      <c r="O54" s="7" t="s">
        <v>34</v>
      </c>
      <c r="P54" s="6"/>
      <c r="Q54" s="6" t="s">
        <v>3449</v>
      </c>
      <c r="R54" s="7" t="s">
        <v>33</v>
      </c>
      <c r="S54" s="7" t="s">
        <v>34</v>
      </c>
      <c r="T54" s="6"/>
      <c r="U54" s="6" t="s">
        <v>3450</v>
      </c>
      <c r="V54" s="7" t="s">
        <v>33</v>
      </c>
      <c r="W54" s="6" t="s">
        <v>3451</v>
      </c>
      <c r="X54" s="7" t="s">
        <v>34</v>
      </c>
      <c r="Y54" s="6" t="s">
        <v>3452</v>
      </c>
      <c r="Z54" s="7" t="s">
        <v>34</v>
      </c>
      <c r="AA54" s="6" t="s">
        <v>3453</v>
      </c>
      <c r="AB54" s="6" t="s">
        <v>3454</v>
      </c>
      <c r="AC54" s="6" t="s">
        <v>355</v>
      </c>
    </row>
    <row r="55" ht="22.5" customHeight="1">
      <c r="A55" s="11" t="str">
        <f>REGEXEXTRACT(D55, "\d{4}\.\s(.*?)\.\sProc\. ACM")"),"I Know Your Intent: Graph-enhanced Intent-aware User Device Interaction Prediction via Contrastive Learning</f>
        <v xml:space="preserve">I Know Your Intent: Graph-enhanced Intent-aware User Device Interaction Prediction via Contrastive Learning</v>
      </c>
      <c r="B55" s="7">
        <f t="shared" si="79"/>
        <v>136</v>
      </c>
      <c r="C55" s="8" t="s">
        <v>3455</v>
      </c>
      <c r="D55" s="6" t="s">
        <v>3456</v>
      </c>
      <c r="E55" s="9">
        <v>45999</v>
      </c>
      <c r="F55" s="7">
        <v>2023</v>
      </c>
      <c r="G55" s="7" t="s">
        <v>575</v>
      </c>
      <c r="H55" s="6" t="str">
        <f t="shared" si="76"/>
        <v>2023_Sep_136</v>
      </c>
      <c r="I55" s="12" t="str">
        <f t="shared" si="77"/>
        <v>https://doi.org/10.1145/3610906</v>
      </c>
      <c r="J55" s="7">
        <f>IF(D55:D64&lt;&gt;"", VALUE(REGEXEXTRACT(D55:D64, "(\d+)\s+pages")), )
</f>
        <v>28</v>
      </c>
      <c r="K55" s="6" t="s">
        <v>32</v>
      </c>
      <c r="L55" s="7" t="str">
        <f t="shared" si="81"/>
        <v>No</v>
      </c>
      <c r="M55" s="7" t="s">
        <v>33</v>
      </c>
      <c r="N55" s="7" t="s">
        <v>33</v>
      </c>
      <c r="O55" s="7" t="s">
        <v>34</v>
      </c>
      <c r="P55" s="6"/>
      <c r="Q55" s="6" t="s">
        <v>3457</v>
      </c>
      <c r="R55" s="7" t="s">
        <v>33</v>
      </c>
      <c r="S55" s="7" t="s">
        <v>144</v>
      </c>
      <c r="T55" s="10" t="s">
        <v>3458</v>
      </c>
      <c r="U55" s="6" t="s">
        <v>3459</v>
      </c>
      <c r="V55" s="7" t="s">
        <v>33</v>
      </c>
      <c r="W55" s="6" t="s">
        <v>3460</v>
      </c>
      <c r="X55" s="7" t="s">
        <v>34</v>
      </c>
      <c r="Y55" s="6" t="s">
        <v>3461</v>
      </c>
      <c r="Z55" s="7" t="s">
        <v>34</v>
      </c>
      <c r="AA55" s="6" t="s">
        <v>3462</v>
      </c>
      <c r="AB55" s="6" t="s">
        <v>3463</v>
      </c>
      <c r="AC55" s="6" t="s">
        <v>355</v>
      </c>
    </row>
    <row r="56" ht="22.5" customHeight="1">
      <c r="A56" s="11" t="str">
        <f>REGEXEXTRACT(D56, "\d{4}\.\s(.*?)\.\sProc\. ACM")"),"Echo: Reverberation-based Fast Black-Box Adversarial Attacks on Intelligent Audio Systems</f>
        <v xml:space="preserve">Echo: Reverberation-based Fast Black-Box Adversarial Attacks on Intelligent Audio Systems</v>
      </c>
      <c r="B56" s="7">
        <f t="shared" si="79"/>
        <v>137</v>
      </c>
      <c r="C56" s="8" t="s">
        <v>3464</v>
      </c>
      <c r="D56" s="6" t="s">
        <v>3465</v>
      </c>
      <c r="E56" s="9">
        <v>45999</v>
      </c>
      <c r="F56" s="7">
        <v>2023</v>
      </c>
      <c r="G56" s="7" t="s">
        <v>575</v>
      </c>
      <c r="H56" s="6" t="str">
        <f t="shared" si="76"/>
        <v>2023_Sep_137</v>
      </c>
      <c r="I56" s="12" t="str">
        <f t="shared" si="77"/>
        <v>https://doi.org/10.1145/3610874</v>
      </c>
      <c r="J56" s="7">
        <f>IF(D56:D64&lt;&gt;"", VALUE(REGEXEXTRACT(D56:D64, "(\d+)\s+pages")), )
</f>
        <v>24</v>
      </c>
      <c r="K56" s="6" t="s">
        <v>32</v>
      </c>
      <c r="L56" s="7" t="str">
        <f t="shared" si="81"/>
        <v>No</v>
      </c>
      <c r="M56" s="7" t="s">
        <v>34</v>
      </c>
      <c r="N56" s="7" t="s">
        <v>33</v>
      </c>
      <c r="O56" s="7" t="s">
        <v>34</v>
      </c>
      <c r="P56" s="6"/>
      <c r="Q56" s="6" t="s">
        <v>3466</v>
      </c>
      <c r="R56" s="7" t="s">
        <v>33</v>
      </c>
      <c r="S56" s="7" t="s">
        <v>33</v>
      </c>
      <c r="T56" s="6"/>
      <c r="U56" s="6" t="s">
        <v>3467</v>
      </c>
      <c r="V56" s="7" t="s">
        <v>33</v>
      </c>
      <c r="W56" s="6" t="s">
        <v>3468</v>
      </c>
      <c r="X56" s="7" t="s">
        <v>34</v>
      </c>
      <c r="Y56" s="6" t="s">
        <v>3469</v>
      </c>
      <c r="Z56" s="7" t="s">
        <v>34</v>
      </c>
      <c r="AA56" s="6" t="s">
        <v>3470</v>
      </c>
      <c r="AB56" s="6" t="s">
        <v>3471</v>
      </c>
      <c r="AC56" s="6" t="s">
        <v>355</v>
      </c>
    </row>
    <row r="57" ht="22.5" customHeight="1">
      <c r="A57" s="11" t="str">
        <f>REGEXEXTRACT(D57, "\d{4}\.\s(.*?)\.\sProc\. ACM")"),"Headar: Sensing Head Gestures for Confirmation Dialogs on Smartwatches with Wearable Millimeter-Wave Radar</f>
        <v xml:space="preserve">Headar: Sensing Head Gestures for Confirmation Dialogs on Smartwatches with Wearable Millimeter-Wave Radar</v>
      </c>
      <c r="B57" s="7">
        <f t="shared" si="79"/>
        <v>138</v>
      </c>
      <c r="C57" s="8" t="s">
        <v>3472</v>
      </c>
      <c r="D57" s="6" t="s">
        <v>3473</v>
      </c>
      <c r="E57" s="9">
        <v>45999</v>
      </c>
      <c r="F57" s="7">
        <v>2023</v>
      </c>
      <c r="G57" s="7" t="s">
        <v>575</v>
      </c>
      <c r="H57" s="6" t="str">
        <f t="shared" si="76"/>
        <v>2023_Sep_138</v>
      </c>
      <c r="I57" s="12" t="str">
        <f t="shared" si="77"/>
        <v>https://doi.org/10.1145/3610900</v>
      </c>
      <c r="J57" s="7">
        <f>IF(D57:D64&lt;&gt;"", VALUE(REGEXEXTRACT(D57:D64, "(\d+)\s+pages")), )
</f>
        <v>28</v>
      </c>
      <c r="K57" s="6" t="s">
        <v>348</v>
      </c>
      <c r="L57" s="7" t="str">
        <f t="shared" si="81"/>
        <v>No</v>
      </c>
      <c r="M57" s="7" t="s">
        <v>33</v>
      </c>
      <c r="N57" s="7" t="s">
        <v>33</v>
      </c>
      <c r="O57" s="7" t="s">
        <v>34</v>
      </c>
      <c r="P57" s="6"/>
      <c r="Q57" s="6" t="s">
        <v>3474</v>
      </c>
      <c r="R57" s="7" t="s">
        <v>33</v>
      </c>
      <c r="S57" s="7" t="s">
        <v>34</v>
      </c>
      <c r="T57" s="6"/>
      <c r="U57" s="6" t="s">
        <v>3475</v>
      </c>
      <c r="V57" s="7" t="s">
        <v>33</v>
      </c>
      <c r="W57" s="6" t="s">
        <v>3476</v>
      </c>
      <c r="X57" s="7" t="s">
        <v>33</v>
      </c>
      <c r="Y57" s="6" t="s">
        <v>3477</v>
      </c>
      <c r="Z57" s="7" t="s">
        <v>34</v>
      </c>
      <c r="AA57" s="6" t="s">
        <v>3478</v>
      </c>
      <c r="AB57" s="6" t="s">
        <v>3479</v>
      </c>
      <c r="AC57" s="6" t="s">
        <v>355</v>
      </c>
    </row>
    <row r="58" ht="22.5" customHeight="1">
      <c r="A58" s="11" t="str">
        <f>REGEXEXTRACT(D58, "\d{4}\.\s(.*?)\.\sProc\. ACM")"),"Uncovering Bias in Personal Informatics</f>
        <v xml:space="preserve">Uncovering Bias in Personal Informatics</v>
      </c>
      <c r="B58" s="7">
        <f t="shared" si="79"/>
        <v>139</v>
      </c>
      <c r="C58" s="8" t="s">
        <v>3480</v>
      </c>
      <c r="D58" s="6" t="s">
        <v>3481</v>
      </c>
      <c r="E58" s="9">
        <v>46000</v>
      </c>
      <c r="F58" s="7">
        <v>2023</v>
      </c>
      <c r="G58" s="7" t="s">
        <v>575</v>
      </c>
      <c r="H58" s="6" t="str">
        <f t="shared" si="76"/>
        <v>2023_Sep_139</v>
      </c>
      <c r="I58" s="12" t="str">
        <f t="shared" si="77"/>
        <v>https://doi.org/10.1145/3610914</v>
      </c>
      <c r="J58" s="7">
        <f>IF(D58:D64&lt;&gt;"", VALUE(REGEXEXTRACT(D58:D64, "(\d+)\s+pages")), )
</f>
        <v>30</v>
      </c>
      <c r="K58" s="6" t="s">
        <v>32</v>
      </c>
      <c r="L58" s="7" t="str">
        <f t="shared" si="81"/>
        <v>No</v>
      </c>
      <c r="M58" s="7" t="s">
        <v>33</v>
      </c>
      <c r="N58" s="7" t="s">
        <v>33</v>
      </c>
      <c r="O58" s="7" t="s">
        <v>34</v>
      </c>
      <c r="P58" s="6"/>
      <c r="Q58" s="6" t="s">
        <v>3482</v>
      </c>
      <c r="R58" s="7" t="s">
        <v>33</v>
      </c>
      <c r="S58" s="7" t="s">
        <v>33</v>
      </c>
      <c r="T58" s="6"/>
      <c r="U58" s="6" t="s">
        <v>3483</v>
      </c>
      <c r="V58" s="7" t="s">
        <v>34</v>
      </c>
      <c r="W58" s="6" t="s">
        <v>3484</v>
      </c>
      <c r="X58" s="7" t="s">
        <v>34</v>
      </c>
      <c r="Y58" s="6" t="s">
        <v>3485</v>
      </c>
      <c r="Z58" s="7" t="s">
        <v>34</v>
      </c>
      <c r="AA58" s="6" t="s">
        <v>3486</v>
      </c>
      <c r="AB58" s="6" t="s">
        <v>3487</v>
      </c>
      <c r="AC58" s="6" t="s">
        <v>355</v>
      </c>
    </row>
    <row r="59" ht="22.5" customHeight="1">
      <c r="A59" s="11" t="str">
        <f>REGEXEXTRACT(D59, "\d{4}\.\s(.*?)\.\sProc\. ACM")"),"SIDA: Self-Supervised Imbalanced Domain Adaptation for Sound Enhancement and Cross-Domain WiFi Sensing</f>
        <v xml:space="preserve">SIDA: Self-Supervised Imbalanced Domain Adaptation for Sound Enhancement and Cross-Domain WiFi Sensing</v>
      </c>
      <c r="B59" s="7">
        <f t="shared" si="79"/>
        <v>140</v>
      </c>
      <c r="C59" s="8" t="s">
        <v>3488</v>
      </c>
      <c r="D59" s="6" t="s">
        <v>3489</v>
      </c>
      <c r="E59" s="9">
        <v>46000</v>
      </c>
      <c r="F59" s="7">
        <v>2023</v>
      </c>
      <c r="G59" s="7" t="s">
        <v>575</v>
      </c>
      <c r="H59" s="6" t="str">
        <f t="shared" si="76"/>
        <v>2023_Sep_140</v>
      </c>
      <c r="I59" s="12" t="str">
        <f t="shared" si="77"/>
        <v>https://doi.org/10.1145/3610919</v>
      </c>
      <c r="J59" s="7">
        <f>IF(D59:D64&lt;&gt;"", VALUE(REGEXEXTRACT(D59:D64, "(\d+)\s+pages")), )
</f>
        <v>24</v>
      </c>
      <c r="K59" s="6" t="s">
        <v>71</v>
      </c>
      <c r="L59" s="7" t="str">
        <f t="shared" si="81"/>
        <v>No</v>
      </c>
      <c r="M59" s="7" t="s">
        <v>34</v>
      </c>
      <c r="N59" s="7" t="s">
        <v>33</v>
      </c>
      <c r="O59" s="7" t="s">
        <v>34</v>
      </c>
      <c r="P59" s="6"/>
      <c r="Q59" s="6" t="s">
        <v>3490</v>
      </c>
      <c r="R59" s="7" t="s">
        <v>33</v>
      </c>
      <c r="S59" s="7" t="s">
        <v>144</v>
      </c>
      <c r="T59" s="6"/>
      <c r="U59" s="6" t="s">
        <v>3491</v>
      </c>
      <c r="V59" s="7" t="s">
        <v>33</v>
      </c>
      <c r="W59" s="6" t="s">
        <v>3492</v>
      </c>
      <c r="X59" s="7" t="s">
        <v>34</v>
      </c>
      <c r="Y59" s="6" t="s">
        <v>3493</v>
      </c>
      <c r="Z59" s="7" t="s">
        <v>34</v>
      </c>
      <c r="AA59" s="6" t="s">
        <v>3494</v>
      </c>
      <c r="AB59" s="6" t="s">
        <v>3495</v>
      </c>
      <c r="AC59" s="6" t="s">
        <v>355</v>
      </c>
    </row>
    <row r="60" ht="22.5" customHeight="1">
      <c r="A60" s="11" t="str">
        <f>REGEXEXTRACT(D60, "\d{4}\.\s(.*?)\.\sProc\. ACM")"),"Contact Tracing for Healthcare Workers in an Intensive Care Unit</f>
        <v xml:space="preserve">Contact Tracing for Healthcare Workers in an Intensive Care Unit</v>
      </c>
      <c r="B60" s="7">
        <f t="shared" si="79"/>
        <v>141</v>
      </c>
      <c r="C60" s="8" t="s">
        <v>3496</v>
      </c>
      <c r="D60" s="6" t="s">
        <v>3497</v>
      </c>
      <c r="E60" s="9">
        <v>46000</v>
      </c>
      <c r="F60" s="7">
        <v>2023</v>
      </c>
      <c r="G60" s="7" t="s">
        <v>575</v>
      </c>
      <c r="H60" s="6" t="str">
        <f t="shared" si="76"/>
        <v>2023_Sep_141</v>
      </c>
      <c r="I60" s="12" t="str">
        <f t="shared" si="77"/>
        <v>https://doi.org/10.1145/3610924</v>
      </c>
      <c r="J60" s="7">
        <f>IF(D60:D64&lt;&gt;"", VALUE(REGEXEXTRACT(D60:D64, "(\d+)\s+pages")), )
</f>
        <v>23</v>
      </c>
      <c r="K60" s="6" t="s">
        <v>348</v>
      </c>
      <c r="L60" s="7" t="str">
        <f t="shared" si="81"/>
        <v>No</v>
      </c>
      <c r="M60" s="7" t="s">
        <v>33</v>
      </c>
      <c r="N60" s="7" t="s">
        <v>33</v>
      </c>
      <c r="O60" s="7" t="s">
        <v>34</v>
      </c>
      <c r="P60" s="6"/>
      <c r="Q60" s="6" t="s">
        <v>3498</v>
      </c>
      <c r="R60" s="7" t="s">
        <v>33</v>
      </c>
      <c r="S60" s="7" t="s">
        <v>34</v>
      </c>
      <c r="T60" s="6"/>
      <c r="U60" s="6" t="s">
        <v>3499</v>
      </c>
      <c r="V60" s="7" t="s">
        <v>33</v>
      </c>
      <c r="W60" s="6" t="s">
        <v>3500</v>
      </c>
      <c r="X60" s="7" t="s">
        <v>34</v>
      </c>
      <c r="Y60" s="6" t="s">
        <v>3501</v>
      </c>
      <c r="Z60" s="7" t="s">
        <v>34</v>
      </c>
      <c r="AA60" s="6" t="s">
        <v>3502</v>
      </c>
      <c r="AB60" s="6" t="s">
        <v>3503</v>
      </c>
      <c r="AC60" s="6" t="s">
        <v>355</v>
      </c>
    </row>
    <row r="61" ht="22.5" customHeight="1">
      <c r="A61" s="11" t="str">
        <f>REGEXEXTRACT(D61, "\d{4}\.\s(.*?)\.\sProc\. ACM")"),"Radio2Text: Streaming Speech Recognition Using mmWave Radio Signals</f>
        <v xml:space="preserve">Radio2Text: Streaming Speech Recognition Using mmWave Radio Signals</v>
      </c>
      <c r="B61" s="7">
        <f t="shared" si="79"/>
        <v>142</v>
      </c>
      <c r="C61" s="8" t="s">
        <v>3504</v>
      </c>
      <c r="D61" s="6" t="s">
        <v>3505</v>
      </c>
      <c r="E61" s="9">
        <v>46000</v>
      </c>
      <c r="F61" s="7">
        <v>2023</v>
      </c>
      <c r="G61" s="7" t="s">
        <v>575</v>
      </c>
      <c r="H61" s="6" t="str">
        <f t="shared" si="76"/>
        <v>2023_Sep_142</v>
      </c>
      <c r="I61" s="12" t="str">
        <f t="shared" si="77"/>
        <v>https://doi.org/10.1145/3610873</v>
      </c>
      <c r="J61" s="7">
        <f>IF(D61:D64&lt;&gt;"", VALUE(REGEXEXTRACT(D61:D64, "(\d+)\s+pages")), )
</f>
        <v>28</v>
      </c>
      <c r="K61" s="6" t="s">
        <v>71</v>
      </c>
      <c r="L61" s="7" t="str">
        <f t="shared" si="81"/>
        <v>No</v>
      </c>
      <c r="M61" s="7" t="s">
        <v>34</v>
      </c>
      <c r="N61" s="7" t="s">
        <v>33</v>
      </c>
      <c r="O61" s="7" t="s">
        <v>34</v>
      </c>
      <c r="P61" s="6"/>
      <c r="Q61" s="6" t="s">
        <v>3506</v>
      </c>
      <c r="R61" s="7" t="s">
        <v>33</v>
      </c>
      <c r="S61" s="7" t="s">
        <v>144</v>
      </c>
      <c r="T61" s="10" t="s">
        <v>3507</v>
      </c>
      <c r="U61" s="6" t="s">
        <v>3508</v>
      </c>
      <c r="V61" s="7" t="s">
        <v>33</v>
      </c>
      <c r="W61" s="6" t="s">
        <v>3509</v>
      </c>
      <c r="X61" s="7" t="s">
        <v>34</v>
      </c>
      <c r="Y61" s="6" t="s">
        <v>3510</v>
      </c>
      <c r="Z61" s="7" t="s">
        <v>34</v>
      </c>
      <c r="AA61" s="6" t="s">
        <v>3511</v>
      </c>
      <c r="AB61" s="6" t="s">
        <v>3512</v>
      </c>
      <c r="AC61" s="6" t="s">
        <v>355</v>
      </c>
    </row>
    <row r="62" ht="22.5" customHeight="1">
      <c r="A62" s="11" t="str">
        <f>REGEXEXTRACT(D62, "\d{4}\.\s(.*?)\.\sProc\. ACM")"),"DYPA: A Machine Learning Dyslexia Prescreening Mobile Application for Chinese Children</f>
        <v xml:space="preserve">DYPA: A Machine Learning Dyslexia Prescreening Mobile Application for Chinese Children</v>
      </c>
      <c r="B62" s="7">
        <f t="shared" si="79"/>
        <v>143</v>
      </c>
      <c r="C62" s="8" t="s">
        <v>3513</v>
      </c>
      <c r="D62" s="6" t="s">
        <v>3514</v>
      </c>
      <c r="E62" s="9">
        <v>46000</v>
      </c>
      <c r="F62" s="7">
        <v>2023</v>
      </c>
      <c r="G62" s="7" t="s">
        <v>575</v>
      </c>
      <c r="H62" s="6" t="str">
        <f t="shared" si="76"/>
        <v>2023_Sep_143</v>
      </c>
      <c r="I62" s="12" t="str">
        <f t="shared" si="77"/>
        <v>https://doi.org/10.1145/3610908</v>
      </c>
      <c r="J62" s="7">
        <f>IF(D62:D64&lt;&gt;"", VALUE(REGEXEXTRACT(D62:D64, "(\d+)\s+pages")), )
</f>
        <v>21</v>
      </c>
      <c r="K62" s="6" t="s">
        <v>133</v>
      </c>
      <c r="L62" s="7" t="str">
        <f t="shared" si="81"/>
        <v>No</v>
      </c>
      <c r="M62" s="7" t="s">
        <v>34</v>
      </c>
      <c r="N62" s="7" t="s">
        <v>33</v>
      </c>
      <c r="O62" s="7" t="s">
        <v>34</v>
      </c>
      <c r="P62" s="6"/>
      <c r="Q62" s="6" t="s">
        <v>3515</v>
      </c>
      <c r="R62" s="7" t="s">
        <v>33</v>
      </c>
      <c r="S62" s="7" t="s">
        <v>144</v>
      </c>
      <c r="T62" s="6"/>
      <c r="U62" s="6" t="s">
        <v>3516</v>
      </c>
      <c r="V62" s="7" t="s">
        <v>33</v>
      </c>
      <c r="W62" s="6" t="s">
        <v>3517</v>
      </c>
      <c r="X62" s="7" t="s">
        <v>34</v>
      </c>
      <c r="Y62" s="6" t="s">
        <v>3518</v>
      </c>
      <c r="Z62" s="7" t="s">
        <v>34</v>
      </c>
      <c r="AA62" s="6" t="s">
        <v>3519</v>
      </c>
      <c r="AB62" s="6" t="s">
        <v>3520</v>
      </c>
      <c r="AC62" s="6" t="s">
        <v>355</v>
      </c>
    </row>
    <row r="63" ht="22.5" customHeight="1">
      <c r="A63" s="11" t="str">
        <f>REGEXEXTRACT(D63, "\d{4}\.\s(.*?)\.\sProc\. ACM")"),"Combining Smart Speaker and Smart Meter to Infer Your Residential Power Usage by Self-supervised Cross-modal Learning</f>
        <v xml:space="preserve">Combining Smart Speaker and Smart Meter to Infer Your Residential Power Usage by Self-supervised Cross-modal Learning</v>
      </c>
      <c r="B63" s="7">
        <f t="shared" si="79"/>
        <v>144</v>
      </c>
      <c r="C63" s="8" t="s">
        <v>3521</v>
      </c>
      <c r="D63" s="6" t="s">
        <v>3522</v>
      </c>
      <c r="E63" s="9">
        <v>46000</v>
      </c>
      <c r="F63" s="7">
        <v>2023</v>
      </c>
      <c r="G63" s="7" t="s">
        <v>575</v>
      </c>
      <c r="H63" s="6" t="str">
        <f t="shared" si="76"/>
        <v>2023_Sep_144</v>
      </c>
      <c r="I63" s="12" t="str">
        <f t="shared" si="77"/>
        <v>https://doi.org/10.1145/3610905</v>
      </c>
      <c r="J63" s="7">
        <f>IF(D63:D64&lt;&gt;"", VALUE(REGEXEXTRACT(D63:D64, "(\d+)\s+pages")), )
</f>
        <v>26</v>
      </c>
      <c r="K63" s="6" t="s">
        <v>32</v>
      </c>
      <c r="L63" s="7" t="str">
        <f t="shared" si="81"/>
        <v>No</v>
      </c>
      <c r="M63" s="7" t="s">
        <v>34</v>
      </c>
      <c r="N63" s="7" t="s">
        <v>33</v>
      </c>
      <c r="O63" s="7" t="s">
        <v>34</v>
      </c>
      <c r="P63" s="6"/>
      <c r="Q63" s="6" t="s">
        <v>3523</v>
      </c>
      <c r="R63" s="7" t="s">
        <v>33</v>
      </c>
      <c r="S63" s="7" t="s">
        <v>33</v>
      </c>
      <c r="T63" s="10" t="s">
        <v>3524</v>
      </c>
      <c r="U63" s="6" t="s">
        <v>3525</v>
      </c>
      <c r="V63" s="7" t="s">
        <v>33</v>
      </c>
      <c r="W63" s="6" t="s">
        <v>3526</v>
      </c>
      <c r="X63" s="7" t="s">
        <v>34</v>
      </c>
      <c r="Y63" s="6" t="s">
        <v>3527</v>
      </c>
      <c r="Z63" s="7" t="s">
        <v>34</v>
      </c>
      <c r="AA63" s="6" t="s">
        <v>3528</v>
      </c>
      <c r="AB63" s="6" t="s">
        <v>3529</v>
      </c>
      <c r="AC63" s="6" t="s">
        <v>355</v>
      </c>
    </row>
    <row r="64" ht="22.5" customHeight="1">
      <c r="A64" s="11" t="str">
        <f>REGEXEXTRACT(D64, "\d{4}\.\s(.*?)\.\sProc\. ACM")"),"Integrating Gaze and Mouse Via Joint Cross-Attention Fusion Net for Students' Activity Recognition in E-learning</f>
        <v xml:space="preserve">Integrating Gaze and Mouse Via Joint Cross-Attention Fusion Net for Students' Activity Recognition in E-learning</v>
      </c>
      <c r="B64" s="7">
        <f t="shared" si="79"/>
        <v>145</v>
      </c>
      <c r="C64" s="8" t="s">
        <v>3530</v>
      </c>
      <c r="D64" s="6" t="s">
        <v>3531</v>
      </c>
      <c r="E64" s="9">
        <v>46000</v>
      </c>
      <c r="F64" s="7">
        <v>2023</v>
      </c>
      <c r="G64" s="7" t="s">
        <v>575</v>
      </c>
      <c r="H64" s="6" t="str">
        <f t="shared" si="76"/>
        <v>2023_Sep_145</v>
      </c>
      <c r="I64" s="12" t="str">
        <f t="shared" si="77"/>
        <v>https://doi.org/10.1145/3610876</v>
      </c>
      <c r="J64" s="7">
        <f>IF(D64&lt;&gt;"", VALUE(REGEXEXTRACT(D64, "(\d+)\s+pages")), )
</f>
        <v>35</v>
      </c>
      <c r="K64" s="6" t="s">
        <v>32</v>
      </c>
      <c r="L64" s="7" t="str">
        <f t="shared" si="81"/>
        <v>No</v>
      </c>
      <c r="M64" s="7" t="s">
        <v>34</v>
      </c>
      <c r="N64" s="7" t="s">
        <v>33</v>
      </c>
      <c r="O64" s="7" t="s">
        <v>34</v>
      </c>
      <c r="P64" s="6"/>
      <c r="Q64" s="6" t="s">
        <v>373</v>
      </c>
      <c r="R64" s="7" t="s">
        <v>33</v>
      </c>
      <c r="S64" s="7" t="s">
        <v>34</v>
      </c>
      <c r="T64" s="6"/>
      <c r="U64" s="6" t="s">
        <v>3532</v>
      </c>
      <c r="V64" s="7" t="s">
        <v>33</v>
      </c>
      <c r="W64" s="6" t="s">
        <v>3533</v>
      </c>
      <c r="X64" s="7" t="s">
        <v>33</v>
      </c>
      <c r="Y64" s="6" t="s">
        <v>3534</v>
      </c>
      <c r="Z64" s="7" t="s">
        <v>34</v>
      </c>
      <c r="AA64" s="6" t="s">
        <v>3535</v>
      </c>
      <c r="AB64" s="6" t="s">
        <v>3536</v>
      </c>
      <c r="AC64" s="6" t="s">
        <v>355</v>
      </c>
    </row>
  </sheetData>
  <conditionalFormatting sqref="P1:P64">
    <cfRule type="colorScale" priority="1">
      <colorScale>
        <cfvo type="min"/>
        <cfvo type="max"/>
        <color indexed="65"/>
        <color rgb="FF57BB8A"/>
      </colorScale>
    </cfRule>
  </conditionalFormatting>
  <dataValidations count="2" disablePrompts="0">
    <dataValidation sqref="A2:A64 H2:I64 K2:K64 P2:Q64 T2:U64 W2:W64 Y2:Y64 AA2:AB64" type="none" allowBlank="1" errorStyle="stop" imeMode="noControl" operator="between" showDropDown="1" showErrorMessage="0" showInputMessage="0"/>
    <dataValidation sqref="D2:D64" type="none" allowBlank="1" errorStyle="stop" imeMode="noControl" operator="between" showDropDown="1" showErrorMessage="0" showInputMessage="0"/>
  </dataValidations>
  <hyperlinks>
    <hyperlink r:id="rId1" ref="C2"/>
    <hyperlink r:id="rId2" ref="C3"/>
    <hyperlink r:id="rId3" ref="P3"/>
    <hyperlink r:id="rId4" ref="C4"/>
    <hyperlink r:id="rId5" ref="C5"/>
    <hyperlink r:id="rId6" ref="C6"/>
    <hyperlink r:id="rId7" ref="P6"/>
    <hyperlink r:id="rId8" ref="C7"/>
    <hyperlink r:id="rId9" ref="P7"/>
    <hyperlink r:id="rId10" ref="C8"/>
    <hyperlink r:id="rId11" ref="C9"/>
    <hyperlink r:id="rId12" ref="P9"/>
    <hyperlink r:id="rId13" ref="C10"/>
    <hyperlink r:id="rId14" ref="C11"/>
    <hyperlink r:id="rId15" ref="C12"/>
    <hyperlink r:id="rId16" ref="C13"/>
    <hyperlink r:id="rId17" ref="P13"/>
    <hyperlink r:id="rId18" ref="C14"/>
    <hyperlink r:id="rId19" ref="P14"/>
    <hyperlink r:id="rId20" ref="C15"/>
    <hyperlink r:id="rId21" ref="C16"/>
    <hyperlink r:id="rId22" ref="C17"/>
    <hyperlink r:id="rId23" ref="C18"/>
    <hyperlink r:id="rId24" ref="C19"/>
    <hyperlink r:id="rId25" ref="P19"/>
    <hyperlink r:id="rId26" ref="C20"/>
    <hyperlink r:id="rId27" ref="C21"/>
    <hyperlink r:id="rId28" ref="C22"/>
    <hyperlink r:id="rId29" ref="C23"/>
    <hyperlink r:id="rId30" ref="P23"/>
    <hyperlink r:id="rId31" ref="C24"/>
    <hyperlink r:id="rId32" ref="C25"/>
    <hyperlink r:id="rId33" ref="C26"/>
    <hyperlink r:id="rId34" ref="U26"/>
    <hyperlink r:id="rId35" ref="C27"/>
    <hyperlink r:id="rId36" ref="C28"/>
    <hyperlink r:id="rId37" ref="T28"/>
    <hyperlink r:id="rId38" ref="C29"/>
    <hyperlink r:id="rId39" ref="T29"/>
    <hyperlink r:id="rId40" ref="C30"/>
    <hyperlink r:id="rId41" ref="C31"/>
    <hyperlink r:id="rId42" ref="P31"/>
    <hyperlink r:id="rId42" ref="Q31"/>
    <hyperlink r:id="rId42" ref="T31"/>
    <hyperlink r:id="rId43" ref="C32"/>
    <hyperlink r:id="rId44" ref="C33"/>
    <hyperlink r:id="rId45" ref="C34"/>
    <hyperlink r:id="rId46" ref="T34"/>
    <hyperlink r:id="rId47" ref="C35"/>
    <hyperlink r:id="rId48" ref="P35"/>
    <hyperlink r:id="rId49" ref="C36"/>
    <hyperlink r:id="rId50" ref="P36"/>
    <hyperlink r:id="rId51" ref="C37"/>
    <hyperlink r:id="rId52" ref="T37"/>
    <hyperlink r:id="rId53" ref="C38"/>
    <hyperlink r:id="rId54" ref="C39"/>
    <hyperlink r:id="rId55" ref="C40"/>
    <hyperlink r:id="rId56" ref="C41"/>
    <hyperlink r:id="rId57" ref="C42"/>
    <hyperlink r:id="rId58" ref="C43"/>
    <hyperlink r:id="rId59" ref="P43"/>
    <hyperlink r:id="rId60" ref="C44"/>
    <hyperlink r:id="rId61" ref="C45"/>
    <hyperlink r:id="rId62" ref="C46"/>
    <hyperlink r:id="rId63" ref="C47"/>
    <hyperlink r:id="rId64" ref="C48"/>
    <hyperlink r:id="rId65" ref="C49"/>
    <hyperlink r:id="rId66" ref="C50"/>
    <hyperlink r:id="rId67" ref="C51"/>
    <hyperlink r:id="rId68" ref="T51"/>
    <hyperlink r:id="rId69" ref="C52"/>
    <hyperlink r:id="rId70" ref="C53"/>
    <hyperlink r:id="rId71" ref="C54"/>
    <hyperlink r:id="rId72" ref="C55"/>
    <hyperlink r:id="rId73" ref="T55"/>
    <hyperlink r:id="rId74" ref="C56"/>
    <hyperlink r:id="rId75" ref="C57"/>
    <hyperlink r:id="rId76" ref="C58"/>
    <hyperlink r:id="rId77" ref="C59"/>
    <hyperlink r:id="rId78" ref="C60"/>
    <hyperlink r:id="rId79" ref="C61"/>
    <hyperlink r:id="rId80" ref="T61"/>
    <hyperlink r:id="rId81" ref="C62"/>
    <hyperlink r:id="rId82" ref="C63"/>
    <hyperlink r:id="rId83" ref="T63"/>
    <hyperlink r:id="rId84" ref="C64"/>
  </hyperlinks>
  <printOptions headings="0" gridLines="1" horizontalCentered="1"/>
  <pageMargins left="0.25" right="0.25" top="0.75" bottom="0.75" header="0" footer="0"/>
  <pageSetup paperSize="9" scale="100" fitToWidth="1" fitToHeight="0" pageOrder="overThenDown" orientation="landscape" usePrinterDefaults="1" blackAndWhite="0" draft="0" cellComments="atEnd" useFirstPageNumber="0" errors="displayed" horizontalDpi="600" verticalDpi="600" copies="1"/>
  <headerFooter/>
  <legacyDrawing r:id="rId87"/>
  <tableParts count="1">
    <tablePart r:id="rId88"/>
  </tableParts>
  <extLst>
    <ext xmlns:x14="http://schemas.microsoft.com/office/spreadsheetml/2009/9/main" uri="{78C0D931-6437-407d-A8EE-F0AAD7539E65}">
      <x14:conditionalFormattings>
        <x14:conditionalFormatting xmlns:xm="http://schemas.microsoft.com/office/excel/2006/main">
          <x14:cfRule type="expression" priority="2" id="{B6402FEC-0CAB-48C7-85D3-306FB7A8B348}">
            <xm:f>AND(REGEXMATCH($O2,"^(Yes|Partially)$"), ISBLANK($P2))</xm:f>
            <x14:dxf>
              <font/>
              <fill>
                <patternFill patternType="solid">
                  <fgColor rgb="FFE68282"/>
                  <bgColor rgb="FFE68282"/>
                </patternFill>
              </fill>
              <border>
                <left/>
                <right/>
                <top/>
                <bottom/>
                <diagonal/>
              </border>
            </x14:dxf>
          </x14:cfRule>
          <xm:sqref>P2:P64</xm:sqref>
        </x14:conditionalFormatting>
        <x14:conditionalFormatting xmlns:xm="http://schemas.microsoft.com/office/excel/2006/main">
          <x14:cfRule type="expression" priority="3" id="{DEB221B3-6426-46D4-BC45-4741E3140C46}">
            <xm:f>AND(REGEXMATCH($S2,"^(Yes|Partially)$"), ISBLANK($T2))</xm:f>
            <x14:dxf>
              <font/>
              <fill>
                <patternFill patternType="solid">
                  <fgColor rgb="FFE68282"/>
                  <bgColor rgb="FFE68282"/>
                </patternFill>
              </fill>
              <border>
                <left/>
                <right/>
                <top/>
                <bottom/>
                <diagonal/>
              </border>
            </x14:dxf>
          </x14:cfRule>
          <xm:sqref>T2:T64</xm:sqref>
        </x14:conditionalFormatting>
        <x14:conditionalFormatting xmlns:xm="http://schemas.microsoft.com/office/excel/2006/main">
          <x14:cfRule type="expression" priority="4" id="{6ABF5457-7580-42BE-A213-00581C52B9BD}">
            <xm:f>AND($V2="Yes", ISBLANK($W2))</xm:f>
            <x14:dxf>
              <font/>
              <fill>
                <patternFill patternType="solid">
                  <fgColor rgb="FFE68282"/>
                  <bgColor rgb="FFE68282"/>
                </patternFill>
              </fill>
              <border>
                <left/>
                <right/>
                <top/>
                <bottom/>
                <diagonal/>
              </border>
            </x14:dxf>
          </x14:cfRule>
          <xm:sqref>W2:W64</xm:sqref>
        </x14:conditionalFormatting>
        <x14:conditionalFormatting xmlns:xm="http://schemas.microsoft.com/office/excel/2006/main">
          <x14:cfRule type="expression" priority="5" id="{47528853-8ECE-42B3-9D2D-911FA4A48C2F}">
            <xm:f>AND($X2="Yes", ISBLANK($Y2))</xm:f>
            <x14:dxf>
              <font/>
              <fill>
                <patternFill patternType="solid">
                  <fgColor rgb="FFE68282"/>
                  <bgColor rgb="FFE68282"/>
                </patternFill>
              </fill>
              <border>
                <left/>
                <right/>
                <top/>
                <bottom/>
                <diagonal/>
              </border>
            </x14:dxf>
          </x14:cfRule>
          <xm:sqref>Y2:Y64</xm:sqref>
        </x14:conditionalFormatting>
      </x14:conditionalFormattings>
    </ext>
    <ext xmlns:x14="http://schemas.microsoft.com/office/spreadsheetml/2009/9/main" uri="{CCE6A557-97BC-4b89-ADB6-D9C93CAAB3DF}">
      <x14:dataValidations xmlns:xm="http://schemas.microsoft.com/office/excel/2006/main" count="10" disablePrompts="0">
        <x14:dataValidation xr:uid="{19F22D79-4387-4AFC-B784-9237A029DE5A}" type="list" allowBlank="1" errorStyle="stop" imeMode="noControl" operator="between" showDropDown="0" showErrorMessage="0" showInputMessage="0">
          <x14:formula1>
            <xm:f>"Yes,No"</xm:f>
          </x14:formula1>
          <xm:sqref>L2:L64</xm:sqref>
        </x14:dataValidation>
        <x14:dataValidation xr:uid="{E77115CE-D9B4-468A-8B53-A9AC1EAE1B8B}" type="list" allowBlank="1" errorStyle="stop" imeMode="noControl" operator="between" showDropDown="0" showErrorMessage="0" showInputMessage="0">
          <x14:formula1>
            <xm:f>"Yes,No,Unknown"</xm:f>
          </x14:formula1>
          <xm:sqref>R2:R64</xm:sqref>
        </x14:dataValidation>
        <x14:dataValidation xr:uid="{062A8392-522B-46DB-AAA0-85E92E781152}" type="list" allowBlank="1" errorStyle="stop" imeMode="noControl" operator="between" showDropDown="0" showErrorMessage="0" showInputMessage="0">
          <x14:formula1>
            <xm:f>"Yes,No,Unknown"</xm:f>
          </x14:formula1>
          <xm:sqref>N2:N64</xm:sqref>
        </x14:dataValidation>
        <x14:dataValidation xr:uid="{4808D159-D4B0-4599-9E9E-4EF60A1DDC76}" type="list" allowBlank="1" errorStyle="stop" imeMode="noControl" operator="between" showDropDown="0" showErrorMessage="0" showInputMessage="0">
          <x14:formula1>
            <xm:f>"Yes,No,Partially,Unknown,N/A"</xm:f>
          </x14:formula1>
          <xm:sqref>Z2:Z64</xm:sqref>
        </x14:dataValidation>
        <x14:dataValidation xr:uid="{3E107A2B-536F-478B-A1E2-660DAE8B501E}" type="custom" allowBlank="1" errorStyle="stop" imeMode="noControl" operator="between" showDropDown="1" showErrorMessage="0" showInputMessage="0">
          <x14:formula1>
            <xm:f>AND(ISNUMBER(B2),(NOT(OR(NOT(ISERROR(DATEVALUE(B2))), AND(ISNUMBER(B2), LEFT(CELL("format", B2))="D")))))</xm:f>
          </x14:formula1>
          <xm:sqref>B2:B64 F2:F64 J2:J64</xm:sqref>
        </x14:dataValidation>
        <x14:dataValidation xr:uid="{BAA42974-9EA5-4CD5-8D40-33FED811ED13}" type="custom" allowBlank="1" errorStyle="stop" imeMode="noControl" operator="between" showDropDown="1" showErrorMessage="0" showInputMessage="0">
          <x14:formula1>
            <xm:f>OR(NOT(ISERROR(DATEVALUE(E2))), AND(ISNUMBER(E2), LEFT(CELL("format", E2))="D"))</xm:f>
          </x14:formula1>
          <xm:sqref>E2:E64</xm:sqref>
        </x14:dataValidation>
        <x14:dataValidation xr:uid="{7622DB2E-F329-4C1B-84DB-62EE3029470D}" type="list" allowBlank="1" errorStyle="stop" imeMode="noControl" operator="between" showDropDown="0" showErrorMessage="0" showInputMessage="0">
          <x14:formula1>
            <xm:f>"Yes,No,Unknown"</xm:f>
          </x14:formula1>
          <xm:sqref>M2:M64</xm:sqref>
        </x14:dataValidation>
        <x14:dataValidation xr:uid="{3A8DBB96-F06B-4465-BDE4-3FF3660A1758}" type="list" allowBlank="1" errorStyle="stop" imeMode="noControl" operator="between" showDropDown="0" showErrorMessage="0" showInputMessage="0">
          <x14:formula1>
            <xm:f>"Yes,No,Unknown,N/A"</xm:f>
          </x14:formula1>
          <xm:sqref>V2:V64 X2:X64</xm:sqref>
        </x14:dataValidation>
        <x14:dataValidation xr:uid="{FDEC3C95-75CC-416B-93F1-9EAD7F8E86AC}" type="list" allowBlank="1" errorStyle="stop" imeMode="noControl" operator="between" showDropDown="0" showErrorMessage="0" showInputMessage="0">
          <x14:formula1>
            <xm:f>"Yes,No,Partially,Unknown,N/A,Upon_request"</xm:f>
          </x14:formula1>
          <xm:sqref>O2:O64 S2:S64</xm:sqref>
        </x14:dataValidation>
        <x14:dataValidation xr:uid="{B96A63E2-5920-44B3-BB4A-D22BBA6EF49E}" type="list" allowBlank="1" errorStyle="stop" imeMode="noControl" operator="between" showDropDown="0" showErrorMessage="0" showInputMessage="0">
          <x14:formula1>
            <xm:f>"Mar,Jun,Sep,Dec"</xm:f>
          </x14:formula1>
          <xm:sqref>G2:G64</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1"/>
  </sheetPr>
  <sheetViews>
    <sheetView zoomScale="100" workbookViewId="0">
      <pane xSplit="2" ySplit="1" topLeftCell="C2" activePane="bottomRight" state="frozen"/>
      <selection activeCell="C2" activeCellId="0" sqref="C2"/>
    </sheetView>
  </sheetViews>
  <sheetFormatPr defaultColWidth="12.630000000000001" defaultRowHeight="15.75" customHeight="1"/>
  <cols>
    <col customWidth="1" min="1" max="1" width="24.25"/>
    <col customWidth="1" min="2" max="2" width="20.129999999999999"/>
    <col customWidth="1" min="3" max="3" width="21"/>
    <col customWidth="1" min="4" max="4" width="14.75"/>
    <col customWidth="1" min="6" max="6" width="11.880000000000001"/>
    <col customWidth="1" min="7" max="7" width="12.630000000000001"/>
    <col customWidth="1" min="8" max="8" width="15.130000000000001"/>
    <col customWidth="1" min="9" max="9" width="28"/>
    <col customWidth="1" min="10" max="10" width="18.879999999999999"/>
    <col customWidth="1" min="11" max="11" width="36.75"/>
    <col customWidth="1" min="12" max="12" width="21.379999999999999"/>
    <col customWidth="1" min="13" max="13" width="18.879999999999999"/>
    <col customWidth="1" min="14" max="14" width="19.879999999999999"/>
    <col customWidth="1" min="15" max="16" width="19.75"/>
    <col customWidth="1" min="17" max="17" width="34.5"/>
    <col customWidth="1" min="18" max="18" width="19"/>
    <col customWidth="1" min="19" max="19" width="19.379999999999999"/>
    <col customWidth="1" min="20" max="21" width="19.75"/>
    <col customWidth="1" min="22" max="22" width="22.629999999999999"/>
    <col customWidth="1" min="23" max="23" width="32.630000000000003"/>
    <col customWidth="1" min="24" max="24" width="22.629999999999999"/>
    <col customWidth="1" min="25" max="25" width="25.5"/>
    <col customWidth="1" min="26" max="26" width="27.25"/>
    <col customWidth="1" min="27" max="27" width="39.25"/>
    <col customWidth="1" min="28" max="29" width="34.130000000000003"/>
  </cols>
  <sheetData>
    <row r="1" ht="22.5" customHeight="1">
      <c r="A1" s="1" t="s">
        <v>0</v>
      </c>
      <c r="B1" s="2" t="s">
        <v>1</v>
      </c>
      <c r="C1" s="3" t="s">
        <v>2</v>
      </c>
      <c r="D1" s="3" t="s">
        <v>3</v>
      </c>
      <c r="E1" s="3" t="s">
        <v>4</v>
      </c>
      <c r="F1" s="2" t="s">
        <v>5</v>
      </c>
      <c r="G1" s="2" t="s">
        <v>6</v>
      </c>
      <c r="H1" s="2" t="s">
        <v>7</v>
      </c>
      <c r="I1" s="2" t="s">
        <v>8</v>
      </c>
      <c r="J1" s="2" t="s">
        <v>9</v>
      </c>
      <c r="K1" s="2" t="s">
        <v>10</v>
      </c>
      <c r="L1" s="2" t="s">
        <v>11</v>
      </c>
      <c r="M1" s="2" t="s">
        <v>12</v>
      </c>
      <c r="N1" s="4" t="s">
        <v>13</v>
      </c>
      <c r="O1" s="4" t="s">
        <v>14</v>
      </c>
      <c r="P1" s="4" t="s">
        <v>15</v>
      </c>
      <c r="Q1" s="4" t="s">
        <v>16</v>
      </c>
      <c r="R1" s="5" t="s">
        <v>17</v>
      </c>
      <c r="S1" s="5" t="s">
        <v>18</v>
      </c>
      <c r="T1" s="5" t="s">
        <v>19</v>
      </c>
      <c r="U1" s="5" t="s">
        <v>20</v>
      </c>
      <c r="V1" s="2" t="s">
        <v>21</v>
      </c>
      <c r="W1" s="3" t="s">
        <v>22</v>
      </c>
      <c r="X1" s="2" t="s">
        <v>23</v>
      </c>
      <c r="Y1" s="3" t="s">
        <v>24</v>
      </c>
      <c r="Z1" s="2" t="s">
        <v>25</v>
      </c>
      <c r="AA1" s="3" t="s">
        <v>26</v>
      </c>
      <c r="AB1" s="3" t="s">
        <v>27</v>
      </c>
      <c r="AC1" s="3" t="s">
        <v>28</v>
      </c>
    </row>
    <row r="2" ht="22.5" customHeight="1">
      <c r="A2" s="11" t="str">
        <f>REGEXEXTRACT(D2, "\d{4}\.\s(.*?)\.\sProc\. ACM")"),"LemurDx: Using Unconstrained Passive Sensing for an Objective Measurement of Hyperactivity in Children with no Parent Input</f>
        <v xml:space="preserve">LemurDx: Using Unconstrained Passive Sensing for an Objective Measurement of Hyperactivity in Children with no Parent Input</v>
      </c>
      <c r="B2" s="7">
        <f t="shared" ref="B2:B9" si="82">IFERROR(VALUE(REGEXEXTRACT(D2,"Article\s+(\d+)")),"")
</f>
        <v>46</v>
      </c>
      <c r="C2" s="8" t="s">
        <v>3537</v>
      </c>
      <c r="D2" s="6" t="s">
        <v>3538</v>
      </c>
      <c r="E2" s="9">
        <v>46049</v>
      </c>
      <c r="F2" s="7">
        <v>2023</v>
      </c>
      <c r="G2" s="7" t="s">
        <v>1145</v>
      </c>
      <c r="H2" s="6" t="str">
        <f t="shared" ref="H2:H38" si="83">TEXT($F2,"0000") &amp; "_" &amp; $G2 &amp; "_" &amp; TEXT($B2,"000")</f>
        <v>2023_Jun_046</v>
      </c>
      <c r="I2" s="12" t="str">
        <f t="shared" ref="I2:I38" si="84">CONCATENATE("https",RIGHT(D2,LEN(D2) - (FIND("://",D2) - 1)))</f>
        <v>https://doi.org/10.1145/3596244</v>
      </c>
      <c r="J2" s="7">
        <f>IF(D2:D38&lt;&gt;"", VALUE(REGEXEXTRACT(D2:D38, "(\d+)\s+pages")), )
</f>
        <v>23</v>
      </c>
      <c r="K2" s="6" t="s">
        <v>32</v>
      </c>
      <c r="L2" s="7" t="str">
        <f t="shared" ref="L2:L9" si="85">IF(REGEXMATCH(LOWER($A2),"(^|[^a-z])dataset(s)?([^a-z]|$)"),"Yes","No")"),"No</f>
        <v>No</v>
      </c>
      <c r="M2" s="7" t="s">
        <v>33</v>
      </c>
      <c r="N2" s="7" t="s">
        <v>33</v>
      </c>
      <c r="O2" s="7" t="s">
        <v>34</v>
      </c>
      <c r="P2" s="6"/>
      <c r="Q2" s="6" t="s">
        <v>3539</v>
      </c>
      <c r="R2" s="7" t="s">
        <v>33</v>
      </c>
      <c r="S2" s="7" t="s">
        <v>34</v>
      </c>
      <c r="T2" s="6"/>
      <c r="U2" s="6"/>
      <c r="V2" s="7" t="s">
        <v>33</v>
      </c>
      <c r="W2" s="6" t="s">
        <v>3540</v>
      </c>
      <c r="X2" s="7" t="s">
        <v>34</v>
      </c>
      <c r="Y2" s="13"/>
      <c r="Z2" s="7" t="s">
        <v>34</v>
      </c>
      <c r="AA2" s="6"/>
      <c r="AB2" s="6" t="s">
        <v>3541</v>
      </c>
      <c r="AC2" s="6" t="s">
        <v>39</v>
      </c>
    </row>
    <row r="3" ht="22.5" customHeight="1">
      <c r="A3" s="11" t="str">
        <f>REGEXEXTRACT(D3, "\d{4}\.\s(.*?)\.\sProc\. ACM")"),"EarAcE: Empowering Versatile Acoustic Sensing via Earable Active Noise Cancellation Platform</f>
        <v xml:space="preserve">EarAcE: Empowering Versatile Acoustic Sensing via Earable Active Noise Cancellation Platform</v>
      </c>
      <c r="B3" s="7">
        <f t="shared" si="82"/>
        <v>47</v>
      </c>
      <c r="C3" s="8" t="s">
        <v>3542</v>
      </c>
      <c r="D3" s="6" t="s">
        <v>3543</v>
      </c>
      <c r="E3" s="9">
        <v>46049</v>
      </c>
      <c r="F3" s="7">
        <v>2023</v>
      </c>
      <c r="G3" s="7" t="s">
        <v>1145</v>
      </c>
      <c r="H3" s="6" t="str">
        <f t="shared" si="83"/>
        <v>2023_Jun_047</v>
      </c>
      <c r="I3" s="12" t="str">
        <f t="shared" si="84"/>
        <v>https://doi.org/10.1145/3596242</v>
      </c>
      <c r="J3" s="7">
        <f>IF(D3:D38&lt;&gt;"", VALUE(REGEXEXTRACT(D3:D38, "(\d+)\s+pages")), )
</f>
        <v>23</v>
      </c>
      <c r="K3" s="6" t="s">
        <v>217</v>
      </c>
      <c r="L3" s="7" t="str">
        <f t="shared" si="85"/>
        <v>No</v>
      </c>
      <c r="M3" s="7" t="s">
        <v>33</v>
      </c>
      <c r="N3" s="7" t="s">
        <v>33</v>
      </c>
      <c r="O3" s="7" t="s">
        <v>34</v>
      </c>
      <c r="P3" s="6"/>
      <c r="Q3" s="6"/>
      <c r="R3" s="7" t="s">
        <v>33</v>
      </c>
      <c r="S3" s="7" t="s">
        <v>34</v>
      </c>
      <c r="T3" s="6"/>
      <c r="U3" s="6"/>
      <c r="V3" s="7" t="s">
        <v>33</v>
      </c>
      <c r="W3" s="6" t="s">
        <v>3544</v>
      </c>
      <c r="X3" s="7" t="s">
        <v>33</v>
      </c>
      <c r="Y3" s="6" t="s">
        <v>152</v>
      </c>
      <c r="Z3" s="7" t="s">
        <v>34</v>
      </c>
      <c r="AA3" s="6"/>
      <c r="AB3" s="6" t="s">
        <v>3545</v>
      </c>
      <c r="AC3" s="6" t="s">
        <v>39</v>
      </c>
    </row>
    <row r="4" ht="22.5" customHeight="1">
      <c r="A4" s="11" t="str">
        <f>REGEXEXTRACT(D4, "\d{4}\.\s(.*?)\.\sProc\. ACM")"),"VoiceCloak: Adversarial Example Enabled Voice De-Identification with Balanced Privacy and Utility</f>
        <v xml:space="preserve">VoiceCloak: Adversarial Example Enabled Voice De-Identification with Balanced Privacy and Utility</v>
      </c>
      <c r="B4" s="7">
        <f t="shared" si="82"/>
        <v>48</v>
      </c>
      <c r="C4" s="8" t="s">
        <v>3546</v>
      </c>
      <c r="D4" s="10" t="s">
        <v>3547</v>
      </c>
      <c r="E4" s="9">
        <v>46049</v>
      </c>
      <c r="F4" s="7">
        <v>2023</v>
      </c>
      <c r="G4" s="7" t="s">
        <v>1145</v>
      </c>
      <c r="H4" s="6" t="str">
        <f t="shared" si="83"/>
        <v>2023_Jun_048</v>
      </c>
      <c r="I4" s="12" t="str">
        <f t="shared" si="84"/>
        <v>https://doi.org/10.1145/3596266</v>
      </c>
      <c r="J4" s="7">
        <f>IF(D4:D38&lt;&gt;"", VALUE(REGEXEXTRACT(D4:D38, "(\d+)\s+pages")), )
</f>
        <v>21</v>
      </c>
      <c r="K4" s="6" t="s">
        <v>71</v>
      </c>
      <c r="L4" s="7" t="str">
        <f t="shared" si="85"/>
        <v>No</v>
      </c>
      <c r="M4" s="7" t="s">
        <v>34</v>
      </c>
      <c r="N4" s="7" t="s">
        <v>33</v>
      </c>
      <c r="O4" s="7" t="s">
        <v>34</v>
      </c>
      <c r="P4" s="6"/>
      <c r="Q4" s="6" t="s">
        <v>3548</v>
      </c>
      <c r="R4" s="7" t="s">
        <v>33</v>
      </c>
      <c r="S4" s="7" t="s">
        <v>33</v>
      </c>
      <c r="T4" s="6"/>
      <c r="U4" s="6" t="s">
        <v>3549</v>
      </c>
      <c r="V4" s="7" t="s">
        <v>34</v>
      </c>
      <c r="W4" s="6"/>
      <c r="X4" s="7" t="s">
        <v>34</v>
      </c>
      <c r="Y4" s="13"/>
      <c r="Z4" s="7" t="s">
        <v>34</v>
      </c>
      <c r="AA4" s="6"/>
      <c r="AB4" s="6" t="s">
        <v>3550</v>
      </c>
      <c r="AC4" s="6" t="s">
        <v>39</v>
      </c>
    </row>
    <row r="5" ht="22.5" customHeight="1">
      <c r="A5" s="11" t="str">
        <f>REGEXEXTRACT(D5, "\d{4}\.\s(.*?)\.\sProc\. ACM")"),"RF-Mic: Live Voice Eavesdropping via Capturing Subtle Facial Speech Dynamics Leveraging RFID</f>
        <v xml:space="preserve">RF-Mic: Live Voice Eavesdropping via Capturing Subtle Facial Speech Dynamics Leveraging RFID</v>
      </c>
      <c r="B5" s="7">
        <f t="shared" si="82"/>
        <v>49</v>
      </c>
      <c r="C5" s="8" t="s">
        <v>3551</v>
      </c>
      <c r="D5" s="6" t="s">
        <v>3552</v>
      </c>
      <c r="E5" s="9">
        <v>46049</v>
      </c>
      <c r="F5" s="7">
        <v>2023</v>
      </c>
      <c r="G5" s="7" t="s">
        <v>1145</v>
      </c>
      <c r="H5" s="6" t="str">
        <f t="shared" si="83"/>
        <v>2023_Jun_049</v>
      </c>
      <c r="I5" s="12" t="str">
        <f t="shared" si="84"/>
        <v>https://doi.org/10.1145/3596259</v>
      </c>
      <c r="J5" s="7">
        <f>IF(D5:D38&lt;&gt;"", VALUE(REGEXEXTRACT(D5:D38, "(\d+)\s+pages")), )
</f>
        <v>25</v>
      </c>
      <c r="K5" s="6" t="s">
        <v>45</v>
      </c>
      <c r="L5" s="7" t="str">
        <f t="shared" si="85"/>
        <v>No</v>
      </c>
      <c r="M5" s="7" t="s">
        <v>34</v>
      </c>
      <c r="N5" s="7" t="s">
        <v>33</v>
      </c>
      <c r="O5" s="7" t="s">
        <v>34</v>
      </c>
      <c r="P5" s="6"/>
      <c r="Q5" s="6"/>
      <c r="R5" s="7" t="s">
        <v>33</v>
      </c>
      <c r="S5" s="7" t="s">
        <v>34</v>
      </c>
      <c r="T5" s="6"/>
      <c r="U5" s="6"/>
      <c r="V5" s="7" t="s">
        <v>33</v>
      </c>
      <c r="W5" s="6" t="s">
        <v>3553</v>
      </c>
      <c r="X5" s="7" t="s">
        <v>34</v>
      </c>
      <c r="Y5" s="13"/>
      <c r="Z5" s="7" t="s">
        <v>34</v>
      </c>
      <c r="AA5" s="6"/>
      <c r="AB5" s="6" t="s">
        <v>3554</v>
      </c>
      <c r="AC5" s="6" t="s">
        <v>39</v>
      </c>
    </row>
    <row r="6" ht="22.5" customHeight="1">
      <c r="A6" s="11" t="str">
        <f>REGEXEXTRACT(D6, "\d{4}\.\s(.*?)\.\sProc\. ACM")"),"TwinkleTwinkle: Interacting with Your Smart Devices by Eye Blink</f>
        <v xml:space="preserve">TwinkleTwinkle: Interacting with Your Smart Devices by Eye Blink</v>
      </c>
      <c r="B6" s="7">
        <f t="shared" si="82"/>
        <v>50</v>
      </c>
      <c r="C6" s="8" t="s">
        <v>3555</v>
      </c>
      <c r="D6" s="6" t="s">
        <v>3556</v>
      </c>
      <c r="E6" s="9">
        <v>46049</v>
      </c>
      <c r="F6" s="7">
        <v>2023</v>
      </c>
      <c r="G6" s="7" t="s">
        <v>1145</v>
      </c>
      <c r="H6" s="6" t="str">
        <f t="shared" si="83"/>
        <v>2023_Jun_050</v>
      </c>
      <c r="I6" s="12" t="str">
        <f t="shared" si="84"/>
        <v>https://doi.org/10.1145/3596238</v>
      </c>
      <c r="J6" s="7">
        <f>IF(D6:D38&lt;&gt;"", VALUE(REGEXEXTRACT(D6:D38, "(\d+)\s+pages")), )
</f>
        <v>30</v>
      </c>
      <c r="K6" s="6" t="s">
        <v>133</v>
      </c>
      <c r="L6" s="7" t="str">
        <f t="shared" si="85"/>
        <v>No</v>
      </c>
      <c r="M6" s="7" t="s">
        <v>34</v>
      </c>
      <c r="N6" s="7" t="s">
        <v>33</v>
      </c>
      <c r="O6" s="7" t="s">
        <v>34</v>
      </c>
      <c r="P6" s="6"/>
      <c r="Q6" s="6"/>
      <c r="R6" s="7" t="s">
        <v>33</v>
      </c>
      <c r="S6" s="7" t="s">
        <v>34</v>
      </c>
      <c r="T6" s="6"/>
      <c r="U6" s="6"/>
      <c r="V6" s="7" t="s">
        <v>34</v>
      </c>
      <c r="W6" s="6" t="s">
        <v>124</v>
      </c>
      <c r="X6" s="7" t="s">
        <v>33</v>
      </c>
      <c r="Y6" s="6" t="s">
        <v>152</v>
      </c>
      <c r="Z6" s="7" t="s">
        <v>34</v>
      </c>
      <c r="AA6" s="6"/>
      <c r="AB6" s="6" t="s">
        <v>3557</v>
      </c>
      <c r="AC6" s="6" t="s">
        <v>39</v>
      </c>
    </row>
    <row r="7" ht="22.5" customHeight="1">
      <c r="A7" s="11" t="str">
        <f>REGEXEXTRACT(D7, "\d{4}\.\s(.*?)\.\sProc\. ACM")"),"Scalability in External Communication of Automated Vehicles: Evaluation and Recommendations</f>
        <v xml:space="preserve">Scalability in External Communication of Automated Vehicles: Evaluation and Recommendations</v>
      </c>
      <c r="B7" s="7">
        <f t="shared" si="82"/>
        <v>51</v>
      </c>
      <c r="C7" s="8" t="s">
        <v>3558</v>
      </c>
      <c r="D7" s="6" t="s">
        <v>3559</v>
      </c>
      <c r="E7" s="9">
        <v>46049</v>
      </c>
      <c r="F7" s="7">
        <v>2023</v>
      </c>
      <c r="G7" s="7" t="s">
        <v>1145</v>
      </c>
      <c r="H7" s="6" t="str">
        <f t="shared" si="83"/>
        <v>2023_Jun_051</v>
      </c>
      <c r="I7" s="12" t="str">
        <f t="shared" si="84"/>
        <v>https://doi.org/10.1145/3596248</v>
      </c>
      <c r="J7" s="7">
        <f>IF(D7:D38&lt;&gt;"", VALUE(REGEXEXTRACT(D7:D38, "(\d+)\s+pages")), )
</f>
        <v>26</v>
      </c>
      <c r="K7" s="6" t="s">
        <v>42</v>
      </c>
      <c r="L7" s="7" t="str">
        <f t="shared" si="85"/>
        <v>No</v>
      </c>
      <c r="M7" s="7" t="s">
        <v>33</v>
      </c>
      <c r="N7" s="7" t="s">
        <v>34</v>
      </c>
      <c r="O7" s="7" t="s">
        <v>35</v>
      </c>
      <c r="P7" s="6"/>
      <c r="Q7" s="6"/>
      <c r="R7" s="7" t="s">
        <v>34</v>
      </c>
      <c r="S7" s="7" t="s">
        <v>35</v>
      </c>
      <c r="T7" s="6"/>
      <c r="U7" s="6"/>
      <c r="V7" s="7" t="s">
        <v>35</v>
      </c>
      <c r="W7" s="6"/>
      <c r="X7" s="7" t="s">
        <v>35</v>
      </c>
      <c r="Y7" s="13"/>
      <c r="Z7" s="7" t="s">
        <v>35</v>
      </c>
      <c r="AA7" s="6"/>
      <c r="AB7" s="6"/>
      <c r="AC7" s="6" t="s">
        <v>39</v>
      </c>
    </row>
    <row r="8" ht="22.5" customHeight="1">
      <c r="A8" s="11" t="str">
        <f>REGEXEXTRACT(D8, "\d{4}\.\s(.*?)\.\sProc\. ACM")"),"Come Fly With Me: Investigating the Effects of Path Visualizations in Automated Urban Air Mobility</f>
        <v xml:space="preserve">Come Fly With Me: Investigating the Effects of Path Visualizations in Automated Urban Air Mobility</v>
      </c>
      <c r="B8" s="7">
        <f t="shared" si="82"/>
        <v>52</v>
      </c>
      <c r="C8" s="8" t="s">
        <v>3560</v>
      </c>
      <c r="D8" s="6" t="s">
        <v>3561</v>
      </c>
      <c r="E8" s="9">
        <v>46049</v>
      </c>
      <c r="F8" s="7">
        <v>2023</v>
      </c>
      <c r="G8" s="7" t="s">
        <v>1145</v>
      </c>
      <c r="H8" s="6" t="str">
        <f t="shared" si="83"/>
        <v>2023_Jun_052</v>
      </c>
      <c r="I8" s="12" t="str">
        <f t="shared" si="84"/>
        <v>https://doi.org/10.1145/3596249</v>
      </c>
      <c r="J8" s="7">
        <f>IF(D8:D38&lt;&gt;"", VALUE(REGEXEXTRACT(D8:D38, "(\d+)\s+pages")), )
</f>
        <v>23</v>
      </c>
      <c r="K8" s="6" t="s">
        <v>42</v>
      </c>
      <c r="L8" s="7" t="str">
        <f t="shared" si="85"/>
        <v>No</v>
      </c>
      <c r="M8" s="7" t="s">
        <v>33</v>
      </c>
      <c r="N8" s="7" t="s">
        <v>34</v>
      </c>
      <c r="O8" s="7" t="s">
        <v>35</v>
      </c>
      <c r="P8" s="6"/>
      <c r="Q8" s="6"/>
      <c r="R8" s="7" t="s">
        <v>34</v>
      </c>
      <c r="S8" s="7" t="s">
        <v>35</v>
      </c>
      <c r="T8" s="6"/>
      <c r="U8" s="6"/>
      <c r="V8" s="7" t="s">
        <v>35</v>
      </c>
      <c r="W8" s="6"/>
      <c r="X8" s="7" t="s">
        <v>35</v>
      </c>
      <c r="Y8" s="13"/>
      <c r="Z8" s="7" t="s">
        <v>35</v>
      </c>
      <c r="AA8" s="6"/>
      <c r="AB8" s="6"/>
      <c r="AC8" s="6" t="s">
        <v>39</v>
      </c>
    </row>
    <row r="9" ht="22.5" customHeight="1">
      <c r="A9" s="11" t="str">
        <f>REGEXEXTRACT(D9, "\d{4}\.\s(.*?)\.\sProc\. ACM")"),"Navigating the Data Avalanche: Towards Supporting Developers in Developing Privacy-Friendly Children's Apps</f>
        <v xml:space="preserve">Navigating the Data Avalanche: Towards Supporting Developers in Developing Privacy-Friendly Children's Apps</v>
      </c>
      <c r="B9" s="7">
        <f t="shared" si="82"/>
        <v>53</v>
      </c>
      <c r="C9" s="8" t="s">
        <v>3562</v>
      </c>
      <c r="D9" s="10" t="s">
        <v>3563</v>
      </c>
      <c r="E9" s="9">
        <v>46049</v>
      </c>
      <c r="F9" s="7">
        <v>2023</v>
      </c>
      <c r="G9" s="7" t="s">
        <v>1145</v>
      </c>
      <c r="H9" s="6" t="str">
        <f t="shared" si="83"/>
        <v>2023_Jun_053</v>
      </c>
      <c r="I9" s="12" t="str">
        <f t="shared" si="84"/>
        <v>https://doi.org/10.1145/3596267</v>
      </c>
      <c r="J9" s="7">
        <f>IF(D9:D38&lt;&gt;"", VALUE(REGEXEXTRACT(D9:D38, "(\d+)\s+pages")), )
</f>
        <v>24</v>
      </c>
      <c r="K9" s="6" t="s">
        <v>652</v>
      </c>
      <c r="L9" s="7" t="str">
        <f t="shared" si="85"/>
        <v>No</v>
      </c>
      <c r="M9" s="7" t="s">
        <v>34</v>
      </c>
      <c r="N9" s="7" t="s">
        <v>33</v>
      </c>
      <c r="O9" s="7" t="s">
        <v>34</v>
      </c>
      <c r="P9" s="10" t="s">
        <v>3564</v>
      </c>
      <c r="Q9" s="6" t="s">
        <v>3565</v>
      </c>
      <c r="R9" s="7" t="s">
        <v>34</v>
      </c>
      <c r="S9" s="7" t="s">
        <v>34</v>
      </c>
      <c r="T9" s="6"/>
      <c r="U9" s="6"/>
      <c r="V9" s="7" t="s">
        <v>34</v>
      </c>
      <c r="W9" s="6"/>
      <c r="X9" s="7" t="s">
        <v>34</v>
      </c>
      <c r="Y9" s="13"/>
      <c r="Z9" s="7" t="s">
        <v>34</v>
      </c>
      <c r="AA9" s="6"/>
      <c r="AB9" s="6" t="s">
        <v>3566</v>
      </c>
      <c r="AC9" s="6" t="s">
        <v>39</v>
      </c>
    </row>
    <row r="10" ht="22.5" customHeight="1">
      <c r="A10" s="11" t="str">
        <f>REGEXEXTRACT(D10, "\d{4}\.\s(.*?)\.\sProc\. ACM")"),"Fingerprinting IoT Devices Using Latent Physical Side-Channels</f>
        <v xml:space="preserve">Fingerprinting IoT Devices Using Latent Physical Side-Channels</v>
      </c>
      <c r="B10" s="7">
        <f t="shared" ref="B10:B38" si="86">IFERROR(VALUE(REGEXEXTRACT(D10,"Article\s+(\d+)")),"")
</f>
        <v>54</v>
      </c>
      <c r="C10" s="8" t="s">
        <v>3567</v>
      </c>
      <c r="D10" s="6" t="s">
        <v>3568</v>
      </c>
      <c r="E10" s="9">
        <v>46049</v>
      </c>
      <c r="F10" s="7">
        <v>2023</v>
      </c>
      <c r="G10" s="7" t="s">
        <v>1145</v>
      </c>
      <c r="H10" s="6" t="str">
        <f t="shared" si="83"/>
        <v>2023_Jun_054</v>
      </c>
      <c r="I10" s="12" t="str">
        <f t="shared" si="84"/>
        <v>https://doi.org/10.1145/3596247</v>
      </c>
      <c r="J10" s="7">
        <f>IF(D10:D38&lt;&gt;"", VALUE(REGEXEXTRACT(D10:D38, "(\d+)\s+pages")), )
</f>
        <v>26</v>
      </c>
      <c r="K10" s="6" t="s">
        <v>71</v>
      </c>
      <c r="L10" s="7" t="str">
        <f t="shared" ref="L10:L38" si="87">IF(REGEXMATCH(LOWER($A10),"(^|[^a-z])dataset(s)?([^a-z]|$)"),"Yes","No")"),"No</f>
        <v>No</v>
      </c>
      <c r="M10" s="7" t="s">
        <v>33</v>
      </c>
      <c r="N10" s="7" t="s">
        <v>33</v>
      </c>
      <c r="O10" s="7" t="s">
        <v>33</v>
      </c>
      <c r="P10" s="10" t="s">
        <v>3569</v>
      </c>
      <c r="Q10" s="6"/>
      <c r="R10" s="7" t="s">
        <v>33</v>
      </c>
      <c r="S10" s="7" t="s">
        <v>33</v>
      </c>
      <c r="T10" s="6"/>
      <c r="U10" s="6" t="s">
        <v>3570</v>
      </c>
      <c r="V10" s="7" t="s">
        <v>33</v>
      </c>
      <c r="W10" s="6" t="s">
        <v>3571</v>
      </c>
      <c r="X10" s="7" t="s">
        <v>33</v>
      </c>
      <c r="Y10" s="6" t="s">
        <v>152</v>
      </c>
      <c r="Z10" s="7" t="s">
        <v>144</v>
      </c>
      <c r="AA10" s="6" t="s">
        <v>3572</v>
      </c>
      <c r="AB10" s="6" t="s">
        <v>3573</v>
      </c>
      <c r="AC10" s="6" t="s">
        <v>39</v>
      </c>
    </row>
    <row r="11" ht="22.5" customHeight="1">
      <c r="A11" s="11" t="str">
        <f>REGEXEXTRACT(D11, "\d{4}\.\s(.*?)\.\sProc\. ACM")"),"DAPPER: Label-Free Performance Estimation after Personalization for Heterogeneous Mobile Sensing</f>
        <v xml:space="preserve">DAPPER: Label-Free Performance Estimation after Personalization for Heterogeneous Mobile Sensing</v>
      </c>
      <c r="B11" s="7">
        <f t="shared" si="86"/>
        <v>55</v>
      </c>
      <c r="C11" s="8" t="s">
        <v>3574</v>
      </c>
      <c r="D11" s="6" t="s">
        <v>3575</v>
      </c>
      <c r="E11" s="9">
        <v>46049</v>
      </c>
      <c r="F11" s="7">
        <v>2023</v>
      </c>
      <c r="G11" s="7" t="s">
        <v>1145</v>
      </c>
      <c r="H11" s="6" t="str">
        <f t="shared" si="83"/>
        <v>2023_Jun_055</v>
      </c>
      <c r="I11" s="12" t="str">
        <f t="shared" si="84"/>
        <v>https://doi.org/10.1145/3596256</v>
      </c>
      <c r="J11" s="7">
        <f>IF(D11:D38&lt;&gt;"", VALUE(REGEXEXTRACT(D11:D38, "(\d+)\s+pages")), )
</f>
        <v>27</v>
      </c>
      <c r="K11" s="6" t="s">
        <v>71</v>
      </c>
      <c r="L11" s="7" t="str">
        <f t="shared" si="87"/>
        <v>No</v>
      </c>
      <c r="M11" s="7" t="s">
        <v>34</v>
      </c>
      <c r="N11" s="7" t="s">
        <v>33</v>
      </c>
      <c r="O11" s="7" t="s">
        <v>34</v>
      </c>
      <c r="P11" s="6"/>
      <c r="Q11" s="6"/>
      <c r="R11" s="7" t="s">
        <v>33</v>
      </c>
      <c r="S11" s="7" t="s">
        <v>33</v>
      </c>
      <c r="T11" s="6"/>
      <c r="U11" s="6" t="s">
        <v>3576</v>
      </c>
      <c r="V11" s="7" t="s">
        <v>34</v>
      </c>
      <c r="W11" s="6"/>
      <c r="X11" s="7" t="s">
        <v>34</v>
      </c>
      <c r="Y11" s="13"/>
      <c r="Z11" s="7" t="s">
        <v>34</v>
      </c>
      <c r="AA11" s="6"/>
      <c r="AB11" s="6" t="s">
        <v>3577</v>
      </c>
      <c r="AC11" s="6" t="s">
        <v>39</v>
      </c>
    </row>
    <row r="12" ht="22.5" customHeight="1">
      <c r="A12" s="11" t="str">
        <f>REGEXEXTRACT(D12, "\d{4}\.\s(.*?)\.\sProc\. ACM")"),"Touch-and-Heal: Data-driven Affective Computing in Tactile Interaction with Robotic Dog</f>
        <v xml:space="preserve">Touch-and-Heal: Data-driven Affective Computing in Tactile Interaction with Robotic Dog</v>
      </c>
      <c r="B12" s="7">
        <f t="shared" si="86"/>
        <v>56</v>
      </c>
      <c r="C12" s="8" t="s">
        <v>3578</v>
      </c>
      <c r="D12" s="6" t="s">
        <v>3579</v>
      </c>
      <c r="E12" s="9">
        <v>46050</v>
      </c>
      <c r="F12" s="7">
        <v>2023</v>
      </c>
      <c r="G12" s="7" t="s">
        <v>1145</v>
      </c>
      <c r="H12" s="6" t="str">
        <f t="shared" si="83"/>
        <v>2023_Jun_056</v>
      </c>
      <c r="I12" s="12" t="str">
        <f t="shared" si="84"/>
        <v>https://doi.org/10.1145/3596258</v>
      </c>
      <c r="J12" s="7">
        <f>IF(D12:D38&lt;&gt;"", VALUE(REGEXEXTRACT(D12:D38, "(\d+)\s+pages")), )
</f>
        <v>33</v>
      </c>
      <c r="K12" s="6" t="s">
        <v>348</v>
      </c>
      <c r="L12" s="7" t="str">
        <f t="shared" si="87"/>
        <v>No</v>
      </c>
      <c r="M12" s="7" t="s">
        <v>34</v>
      </c>
      <c r="N12" s="7" t="s">
        <v>33</v>
      </c>
      <c r="O12" s="7" t="s">
        <v>34</v>
      </c>
      <c r="P12" s="6"/>
      <c r="Q12" s="6"/>
      <c r="R12" s="7" t="s">
        <v>33</v>
      </c>
      <c r="S12" s="7" t="s">
        <v>34</v>
      </c>
      <c r="T12" s="6"/>
      <c r="U12" s="6"/>
      <c r="V12" s="7" t="s">
        <v>33</v>
      </c>
      <c r="W12" s="6" t="s">
        <v>3580</v>
      </c>
      <c r="X12" s="7" t="s">
        <v>34</v>
      </c>
      <c r="Y12" s="13"/>
      <c r="Z12" s="7" t="s">
        <v>34</v>
      </c>
      <c r="AA12" s="6"/>
      <c r="AB12" s="6" t="s">
        <v>3581</v>
      </c>
      <c r="AC12" s="6" t="s">
        <v>39</v>
      </c>
    </row>
    <row r="13" ht="22.5" customHeight="1">
      <c r="A13" s="14" t="str">
        <f>REGEXEXTRACT(D13, "\d{4}\.\s(.*?)\.\sProc\. ACM")"),"Exploring Smart Standing Desks to Foster a Healthier Workplace</f>
        <v xml:space="preserve">Exploring Smart Standing Desks to Foster a Healthier Workplace</v>
      </c>
      <c r="B13" s="15">
        <f t="shared" si="86"/>
        <v>57</v>
      </c>
      <c r="C13" s="16" t="s">
        <v>3582</v>
      </c>
      <c r="D13" s="17" t="s">
        <v>3583</v>
      </c>
      <c r="E13" s="18">
        <v>46050</v>
      </c>
      <c r="F13" s="15">
        <v>2023</v>
      </c>
      <c r="G13" s="15" t="s">
        <v>1145</v>
      </c>
      <c r="H13" s="17" t="str">
        <f t="shared" si="83"/>
        <v>2023_Jun_057</v>
      </c>
      <c r="I13" s="19" t="str">
        <f t="shared" si="84"/>
        <v>https://doi.org/10.1145/3596260</v>
      </c>
      <c r="J13" s="15">
        <f>IF(D13:D38&lt;&gt;"", VALUE(REGEXEXTRACT(D13:D38, "(\d+)\s+pages")), )
</f>
        <v>22</v>
      </c>
      <c r="K13" s="17" t="s">
        <v>217</v>
      </c>
      <c r="L13" s="15" t="str">
        <f t="shared" si="87"/>
        <v>No</v>
      </c>
      <c r="M13" s="15" t="s">
        <v>34</v>
      </c>
      <c r="N13" s="15" t="s">
        <v>33</v>
      </c>
      <c r="O13" s="15" t="s">
        <v>33</v>
      </c>
      <c r="P13" s="22" t="s">
        <v>3584</v>
      </c>
      <c r="Q13" s="17"/>
      <c r="R13" s="15" t="s">
        <v>34</v>
      </c>
      <c r="S13" s="15" t="s">
        <v>35</v>
      </c>
      <c r="T13" s="17"/>
      <c r="U13" s="17"/>
      <c r="V13" s="15" t="s">
        <v>33</v>
      </c>
      <c r="W13" s="17" t="s">
        <v>3585</v>
      </c>
      <c r="X13" s="15" t="s">
        <v>34</v>
      </c>
      <c r="Y13" s="20"/>
      <c r="Z13" s="15" t="s">
        <v>34</v>
      </c>
      <c r="AA13" s="17"/>
      <c r="AB13" s="17" t="s">
        <v>3586</v>
      </c>
      <c r="AC13" s="17" t="s">
        <v>39</v>
      </c>
    </row>
    <row r="14" ht="22.5" customHeight="1">
      <c r="A14" s="11" t="str">
        <f>REGEXEXTRACT(D14, "\d{4}\.\s(.*?)\.\sProc\. ACM")"),"On the Long-Term Effects of Continuous Keystroke Authentication: Keeping User Frustration Low through Behavior Adaptation</f>
        <v xml:space="preserve">On the Long-Term Effects of Continuous Keystroke Authentication: Keeping User Frustration Low through Behavior Adaptation</v>
      </c>
      <c r="B14" s="7">
        <f t="shared" si="86"/>
        <v>58</v>
      </c>
      <c r="C14" s="8" t="s">
        <v>3587</v>
      </c>
      <c r="D14" s="6" t="s">
        <v>3588</v>
      </c>
      <c r="E14" s="9">
        <v>46110</v>
      </c>
      <c r="F14" s="7">
        <v>2023</v>
      </c>
      <c r="G14" s="7" t="s">
        <v>1145</v>
      </c>
      <c r="H14" s="6" t="str">
        <f t="shared" si="83"/>
        <v>2023_Jun_058</v>
      </c>
      <c r="I14" s="12" t="str">
        <f t="shared" si="84"/>
        <v>https://doi.org/10.1145/3596236</v>
      </c>
      <c r="J14" s="7">
        <f>IF(D14:D38&lt;&gt;"", VALUE(REGEXEXTRACT(D14:D38, "(\d+)\s+pages")), )
</f>
        <v>32</v>
      </c>
      <c r="K14" s="6" t="s">
        <v>133</v>
      </c>
      <c r="L14" s="7" t="str">
        <f t="shared" si="87"/>
        <v>No</v>
      </c>
      <c r="M14" s="7" t="s">
        <v>34</v>
      </c>
      <c r="N14" s="7" t="s">
        <v>33</v>
      </c>
      <c r="O14" s="7" t="s">
        <v>34</v>
      </c>
      <c r="P14" s="6"/>
      <c r="Q14" s="6"/>
      <c r="R14" s="7" t="s">
        <v>33</v>
      </c>
      <c r="S14" s="7" t="s">
        <v>34</v>
      </c>
      <c r="T14" s="6"/>
      <c r="U14" s="6" t="s">
        <v>3589</v>
      </c>
      <c r="V14" s="7" t="s">
        <v>34</v>
      </c>
      <c r="W14" s="6" t="s">
        <v>3590</v>
      </c>
      <c r="X14" s="7" t="s">
        <v>33</v>
      </c>
      <c r="Y14" s="6" t="s">
        <v>3591</v>
      </c>
      <c r="Z14" s="7" t="s">
        <v>34</v>
      </c>
      <c r="AA14" s="6"/>
      <c r="AB14" s="6" t="s">
        <v>3592</v>
      </c>
      <c r="AC14" s="6" t="s">
        <v>181</v>
      </c>
    </row>
    <row r="15" ht="22.5" customHeight="1">
      <c r="A15" s="11" t="str">
        <f>REGEXEXTRACT(D15, "\d{4}\.\s(.*?)\.\sProc\. ACM")"),"SpaceX Mag: An Automatic, Scalable, and Rapid Space Compactor for Optimizing Smartphone App Interfaces for Low-Vision Users</f>
        <v xml:space="preserve">SpaceX Mag: An Automatic, Scalable, and Rapid Space Compactor for Optimizing Smartphone App Interfaces for Low-Vision Users</v>
      </c>
      <c r="B15" s="7">
        <f t="shared" si="86"/>
        <v>59</v>
      </c>
      <c r="C15" s="8" t="s">
        <v>3593</v>
      </c>
      <c r="D15" s="6" t="s">
        <v>3594</v>
      </c>
      <c r="E15" s="9">
        <v>46110</v>
      </c>
      <c r="F15" s="7">
        <v>2023</v>
      </c>
      <c r="G15" s="7" t="s">
        <v>1145</v>
      </c>
      <c r="H15" s="6" t="str">
        <f t="shared" si="83"/>
        <v>2023_Jun_059</v>
      </c>
      <c r="I15" s="12" t="str">
        <f t="shared" si="84"/>
        <v>https://doi.org/10.1145/3596253</v>
      </c>
      <c r="J15" s="7">
        <f>IF(D15:D38&lt;&gt;"", VALUE(REGEXEXTRACT(D15:D38, "(\d+)\s+pages")), )
</f>
        <v>36</v>
      </c>
      <c r="K15" s="6" t="s">
        <v>133</v>
      </c>
      <c r="L15" s="7" t="str">
        <f t="shared" si="87"/>
        <v>No</v>
      </c>
      <c r="M15" s="7" t="s">
        <v>34</v>
      </c>
      <c r="N15" s="7" t="s">
        <v>33</v>
      </c>
      <c r="O15" s="7" t="s">
        <v>34</v>
      </c>
      <c r="P15" s="6"/>
      <c r="Q15" s="6"/>
      <c r="R15" s="7" t="s">
        <v>34</v>
      </c>
      <c r="S15" s="7" t="s">
        <v>34</v>
      </c>
      <c r="T15" s="6"/>
      <c r="U15" s="6" t="s">
        <v>3595</v>
      </c>
      <c r="V15" s="7" t="s">
        <v>34</v>
      </c>
      <c r="W15" s="6" t="s">
        <v>3596</v>
      </c>
      <c r="X15" s="7" t="s">
        <v>34</v>
      </c>
      <c r="Y15" s="6" t="s">
        <v>3597</v>
      </c>
      <c r="Z15" s="7" t="s">
        <v>34</v>
      </c>
      <c r="AA15" s="6"/>
      <c r="AB15" s="6" t="s">
        <v>3598</v>
      </c>
      <c r="AC15" s="6" t="s">
        <v>181</v>
      </c>
    </row>
    <row r="16" ht="22.5" customHeight="1">
      <c r="A16" s="11" t="str">
        <f>REGEXEXTRACT(D16, "\d{4}\.\s(.*?)\.\sProc\. ACM")"),"SmartASL: "Point-of-Care" Comprehensive ASL Interpreter Using Wearables</f>
        <v xml:space="preserve">SmartASL: "Point-of-Care" Comprehensive ASL Interpreter Using Wearables</v>
      </c>
      <c r="B16" s="7">
        <f t="shared" si="86"/>
        <v>60</v>
      </c>
      <c r="C16" s="8" t="s">
        <v>3599</v>
      </c>
      <c r="D16" s="6" t="s">
        <v>3600</v>
      </c>
      <c r="E16" s="9">
        <v>46111</v>
      </c>
      <c r="F16" s="7">
        <v>2023</v>
      </c>
      <c r="G16" s="7" t="s">
        <v>1145</v>
      </c>
      <c r="H16" s="6" t="str">
        <f t="shared" si="83"/>
        <v>2023_Jun_060</v>
      </c>
      <c r="I16" s="12" t="str">
        <f t="shared" si="84"/>
        <v>https://doi.org/10.1145/3596255</v>
      </c>
      <c r="J16" s="7">
        <f>IF(D16:D38&lt;&gt;"", VALUE(REGEXEXTRACT(D16:D38, "(\d+)\s+pages")), )
</f>
        <v>21</v>
      </c>
      <c r="K16" s="6" t="s">
        <v>217</v>
      </c>
      <c r="L16" s="7" t="str">
        <f t="shared" si="87"/>
        <v>No</v>
      </c>
      <c r="M16" s="7" t="s">
        <v>34</v>
      </c>
      <c r="N16" s="7" t="s">
        <v>33</v>
      </c>
      <c r="O16" s="7" t="s">
        <v>34</v>
      </c>
      <c r="P16" s="6"/>
      <c r="Q16" s="6"/>
      <c r="R16" s="7" t="s">
        <v>33</v>
      </c>
      <c r="S16" s="7" t="s">
        <v>34</v>
      </c>
      <c r="T16" s="6"/>
      <c r="U16" s="6"/>
      <c r="V16" s="7" t="s">
        <v>33</v>
      </c>
      <c r="W16" s="6" t="s">
        <v>3601</v>
      </c>
      <c r="X16" s="7" t="s">
        <v>33</v>
      </c>
      <c r="Y16" s="6" t="s">
        <v>3602</v>
      </c>
      <c r="Z16" s="7" t="s">
        <v>34</v>
      </c>
      <c r="AA16" s="6"/>
      <c r="AB16" s="6" t="s">
        <v>3603</v>
      </c>
      <c r="AC16" s="6" t="s">
        <v>181</v>
      </c>
    </row>
    <row r="17" ht="22.5" customHeight="1">
      <c r="A17" s="11" t="str">
        <f>REGEXEXTRACT(D17, "\d{4}\.\s(.*?)\.\sProc\. ACM")"),"SeRaNDiP: Leveraging Inherent Sensor Random Noise for Differential Privacy Preservation in Wearable Community Sensing Applications</f>
        <v xml:space="preserve">SeRaNDiP: Leveraging Inherent Sensor Random Noise for Differential Privacy Preservation in Wearable Community Sensing Applications</v>
      </c>
      <c r="B17" s="7">
        <f t="shared" si="86"/>
        <v>61</v>
      </c>
      <c r="C17" s="8" t="s">
        <v>3604</v>
      </c>
      <c r="D17" s="6" t="s">
        <v>3605</v>
      </c>
      <c r="E17" s="9">
        <v>46111</v>
      </c>
      <c r="F17" s="7">
        <v>2023</v>
      </c>
      <c r="G17" s="7" t="s">
        <v>1145</v>
      </c>
      <c r="H17" s="6" t="str">
        <f t="shared" si="83"/>
        <v>2023_Jun_061</v>
      </c>
      <c r="I17" s="12" t="str">
        <f t="shared" si="84"/>
        <v>https://doi.org/10.1145/3596252</v>
      </c>
      <c r="J17" s="7">
        <f>IF(D17:D38&lt;&gt;"", VALUE(REGEXEXTRACT(D17:D38, "(\d+)\s+pages")), )
</f>
        <v>38</v>
      </c>
      <c r="K17" s="6" t="s">
        <v>133</v>
      </c>
      <c r="L17" s="7" t="str">
        <f t="shared" si="87"/>
        <v>No</v>
      </c>
      <c r="M17" s="7" t="s">
        <v>33</v>
      </c>
      <c r="N17" s="7" t="s">
        <v>33</v>
      </c>
      <c r="O17" s="7" t="s">
        <v>34</v>
      </c>
      <c r="P17" s="6"/>
      <c r="Q17" s="6"/>
      <c r="R17" s="7" t="s">
        <v>33</v>
      </c>
      <c r="S17" s="7" t="s">
        <v>34</v>
      </c>
      <c r="T17" s="6"/>
      <c r="U17" s="6" t="s">
        <v>3606</v>
      </c>
      <c r="V17" s="7" t="s">
        <v>33</v>
      </c>
      <c r="W17" s="6" t="s">
        <v>3607</v>
      </c>
      <c r="X17" s="7" t="s">
        <v>33</v>
      </c>
      <c r="Y17" s="6" t="s">
        <v>3608</v>
      </c>
      <c r="Z17" s="7" t="s">
        <v>34</v>
      </c>
      <c r="AA17" s="6"/>
      <c r="AB17" s="6" t="s">
        <v>3609</v>
      </c>
      <c r="AC17" s="6" t="s">
        <v>181</v>
      </c>
    </row>
    <row r="18" ht="22.5" customHeight="1">
      <c r="A18" s="11" t="str">
        <f>REGEXEXTRACT(D18, "\d{4}\.\s(.*?)\.\sProc\. ACM")"),"SkinLink: On-body Construction and Prototyping of Reconfigurable Epidermal Interfaces</f>
        <v xml:space="preserve">SkinLink: On-body Construction and Prototyping of Reconfigurable Epidermal Interfaces</v>
      </c>
      <c r="B18" s="7">
        <f t="shared" si="86"/>
        <v>62</v>
      </c>
      <c r="C18" s="8" t="s">
        <v>3610</v>
      </c>
      <c r="D18" s="6" t="s">
        <v>3611</v>
      </c>
      <c r="E18" s="9">
        <v>46111</v>
      </c>
      <c r="F18" s="7">
        <v>2023</v>
      </c>
      <c r="G18" s="7" t="s">
        <v>1145</v>
      </c>
      <c r="H18" s="6" t="str">
        <f t="shared" si="83"/>
        <v>2023_Jun_062</v>
      </c>
      <c r="I18" s="12" t="str">
        <f t="shared" si="84"/>
        <v>https://doi.org/10.1145/3596241</v>
      </c>
      <c r="J18" s="7">
        <f>IF(D18:D38&lt;&gt;"", VALUE(REGEXEXTRACT(D18:D38, "(\d+)\s+pages")), )
</f>
        <v>27</v>
      </c>
      <c r="K18" s="6" t="s">
        <v>1093</v>
      </c>
      <c r="L18" s="7" t="str">
        <f t="shared" si="87"/>
        <v>No</v>
      </c>
      <c r="M18" s="7" t="s">
        <v>34</v>
      </c>
      <c r="N18" s="7" t="s">
        <v>33</v>
      </c>
      <c r="O18" s="7" t="s">
        <v>34</v>
      </c>
      <c r="P18" s="6"/>
      <c r="Q18" s="6"/>
      <c r="R18" s="7" t="s">
        <v>34</v>
      </c>
      <c r="S18" s="7" t="s">
        <v>34</v>
      </c>
      <c r="T18" s="6"/>
      <c r="U18" s="6"/>
      <c r="V18" s="7" t="s">
        <v>33</v>
      </c>
      <c r="W18" s="6" t="s">
        <v>3612</v>
      </c>
      <c r="X18" s="7" t="s">
        <v>33</v>
      </c>
      <c r="Y18" s="6" t="s">
        <v>3613</v>
      </c>
      <c r="Z18" s="7" t="s">
        <v>34</v>
      </c>
      <c r="AA18" s="6"/>
      <c r="AB18" s="6" t="s">
        <v>3614</v>
      </c>
      <c r="AC18" s="6" t="s">
        <v>181</v>
      </c>
    </row>
    <row r="19" ht="22.5" customHeight="1">
      <c r="A19" s="11" t="str">
        <f>REGEXEXTRACT(D19, "\d{4}\.\s(.*?)\.\sProc\. ACM")"),"CircuitGlue: A Software Configurable Converter for Interconnecting Multiple Heterogeneous Electronic Components</f>
        <v xml:space="preserve">CircuitGlue: A Software Configurable Converter for Interconnecting Multiple Heterogeneous Electronic Components</v>
      </c>
      <c r="B19" s="7">
        <f t="shared" si="86"/>
        <v>63</v>
      </c>
      <c r="C19" s="8" t="s">
        <v>3615</v>
      </c>
      <c r="D19" s="6" t="s">
        <v>3616</v>
      </c>
      <c r="E19" s="9">
        <v>46111</v>
      </c>
      <c r="F19" s="7">
        <v>2023</v>
      </c>
      <c r="G19" s="7" t="s">
        <v>1145</v>
      </c>
      <c r="H19" s="6" t="str">
        <f t="shared" si="83"/>
        <v>2023_Jun_063</v>
      </c>
      <c r="I19" s="12" t="str">
        <f t="shared" si="84"/>
        <v>https://doi.org/10.1145/3596265</v>
      </c>
      <c r="J19" s="7">
        <f>IF(D19:D38&lt;&gt;"", VALUE(REGEXEXTRACT(D19:D38, "(\d+)\s+pages")), )
</f>
        <v>30</v>
      </c>
      <c r="K19" s="6" t="s">
        <v>1093</v>
      </c>
      <c r="L19" s="7" t="str">
        <f t="shared" si="87"/>
        <v>No</v>
      </c>
      <c r="M19" s="7" t="s">
        <v>34</v>
      </c>
      <c r="N19" s="7" t="s">
        <v>33</v>
      </c>
      <c r="O19" s="7" t="s">
        <v>34</v>
      </c>
      <c r="P19" s="10" t="s">
        <v>3617</v>
      </c>
      <c r="Q19" s="6" t="s">
        <v>2691</v>
      </c>
      <c r="R19" s="7" t="s">
        <v>34</v>
      </c>
      <c r="S19" s="7" t="s">
        <v>34</v>
      </c>
      <c r="T19" s="6"/>
      <c r="U19" s="6"/>
      <c r="V19" s="7" t="s">
        <v>34</v>
      </c>
      <c r="W19" s="6" t="s">
        <v>3618</v>
      </c>
      <c r="X19" s="7" t="s">
        <v>33</v>
      </c>
      <c r="Y19" s="6" t="s">
        <v>3619</v>
      </c>
      <c r="Z19" s="7" t="s">
        <v>34</v>
      </c>
      <c r="AA19" s="6"/>
      <c r="AB19" s="6" t="s">
        <v>3620</v>
      </c>
      <c r="AC19" s="6" t="s">
        <v>181</v>
      </c>
    </row>
    <row r="20" ht="22.5" customHeight="1">
      <c r="A20" s="11" t="str">
        <f>REGEXEXTRACT(D20, "\d{4}\.\s(.*?)\.\sProc\. ACM")"),"TelecomTM: A Fine-Grained and Ubiquitous Traffic Monitoring System Using Pre-Existing Telecommunication Fiber-Optic Cables as Sensors</f>
        <v xml:space="preserve">TelecomTM: A Fine-Grained and Ubiquitous Traffic Monitoring System Using Pre-Existing Telecommunication Fiber-Optic Cables as Sensors</v>
      </c>
      <c r="B20" s="7">
        <f t="shared" si="86"/>
        <v>64</v>
      </c>
      <c r="C20" s="52" t="s">
        <v>3621</v>
      </c>
      <c r="D20" s="10" t="s">
        <v>3622</v>
      </c>
      <c r="E20" s="9">
        <v>46111</v>
      </c>
      <c r="F20" s="7">
        <v>2023</v>
      </c>
      <c r="G20" s="7" t="s">
        <v>1145</v>
      </c>
      <c r="H20" s="6" t="str">
        <f t="shared" si="83"/>
        <v>2023_Jun_064</v>
      </c>
      <c r="I20" s="12" t="str">
        <f t="shared" si="84"/>
        <v>https://doi.org/10.1145/3596262</v>
      </c>
      <c r="J20" s="7">
        <f>IF(D20:D38&lt;&gt;"", VALUE(REGEXEXTRACT(D20:D38, "(\d+)\s+pages")), )
</f>
        <v>24</v>
      </c>
      <c r="K20" s="6" t="s">
        <v>64</v>
      </c>
      <c r="L20" s="7" t="str">
        <f t="shared" si="87"/>
        <v>No</v>
      </c>
      <c r="M20" s="7" t="s">
        <v>34</v>
      </c>
      <c r="N20" s="7" t="s">
        <v>33</v>
      </c>
      <c r="O20" s="7" t="s">
        <v>34</v>
      </c>
      <c r="P20" s="6"/>
      <c r="Q20" s="6"/>
      <c r="R20" s="7" t="s">
        <v>34</v>
      </c>
      <c r="S20" s="7" t="s">
        <v>34</v>
      </c>
      <c r="T20" s="6"/>
      <c r="U20" s="6"/>
      <c r="V20" s="7" t="s">
        <v>34</v>
      </c>
      <c r="W20" s="6" t="s">
        <v>3623</v>
      </c>
      <c r="X20" s="7" t="s">
        <v>34</v>
      </c>
      <c r="Y20" s="13"/>
      <c r="Z20" s="7" t="s">
        <v>34</v>
      </c>
      <c r="AA20" s="6"/>
      <c r="AB20" s="6" t="s">
        <v>3624</v>
      </c>
      <c r="AC20" s="6" t="s">
        <v>181</v>
      </c>
    </row>
    <row r="21" ht="22.5" customHeight="1">
      <c r="A21" s="11" t="str">
        <f>REGEXEXTRACT(D21, "\d{4}\.\s(.*?)\.\sProc\. ACM")"),"Towards a Dynamic Fresnel Zone Model to WiFi-based Human Activity Recognition</f>
        <v xml:space="preserve">Towards a Dynamic Fresnel Zone Model to WiFi-based Human Activity Recognition</v>
      </c>
      <c r="B21" s="7">
        <f t="shared" si="86"/>
        <v>65</v>
      </c>
      <c r="C21" s="8" t="s">
        <v>3625</v>
      </c>
      <c r="D21" s="10" t="s">
        <v>3626</v>
      </c>
      <c r="E21" s="9">
        <v>46111</v>
      </c>
      <c r="F21" s="7">
        <v>2023</v>
      </c>
      <c r="G21" s="7" t="s">
        <v>1145</v>
      </c>
      <c r="H21" s="6" t="str">
        <f t="shared" si="83"/>
        <v>2023_Jun_065</v>
      </c>
      <c r="I21" s="12" t="str">
        <f t="shared" si="84"/>
        <v>https://doi.org/10.1145/3596270</v>
      </c>
      <c r="J21" s="7">
        <f>IF(D21:D38&lt;&gt;"", VALUE(REGEXEXTRACT(D21:D38, "(\d+)\s+pages")), )
</f>
        <v>24</v>
      </c>
      <c r="K21" s="6" t="s">
        <v>64</v>
      </c>
      <c r="L21" s="7" t="str">
        <f t="shared" si="87"/>
        <v>No</v>
      </c>
      <c r="M21" s="7" t="s">
        <v>34</v>
      </c>
      <c r="N21" s="7" t="s">
        <v>33</v>
      </c>
      <c r="O21" s="7" t="s">
        <v>34</v>
      </c>
      <c r="P21" s="6"/>
      <c r="Q21" s="6"/>
      <c r="R21" s="7" t="s">
        <v>34</v>
      </c>
      <c r="S21" s="7" t="s">
        <v>34</v>
      </c>
      <c r="T21" s="6"/>
      <c r="U21" s="6"/>
      <c r="V21" s="7" t="s">
        <v>34</v>
      </c>
      <c r="W21" s="6" t="s">
        <v>3627</v>
      </c>
      <c r="X21" s="7" t="s">
        <v>33</v>
      </c>
      <c r="Y21" s="6" t="s">
        <v>918</v>
      </c>
      <c r="Z21" s="7" t="s">
        <v>34</v>
      </c>
      <c r="AA21" s="6"/>
      <c r="AB21" s="6" t="s">
        <v>3628</v>
      </c>
      <c r="AC21" s="6" t="s">
        <v>181</v>
      </c>
    </row>
    <row r="22" ht="22.5" customHeight="1">
      <c r="A22" s="11" t="str">
        <f>REGEXEXTRACT(D22, "\d{4}\.\s(.*?)\.\sProc\. ACM")"),"Understanding In-Situ Programming for Smart Home Automation</f>
        <v xml:space="preserve">Understanding In-Situ Programming for Smart Home Automation</v>
      </c>
      <c r="B22" s="7">
        <f t="shared" si="86"/>
        <v>66</v>
      </c>
      <c r="C22" s="8" t="s">
        <v>3629</v>
      </c>
      <c r="D22" s="6" t="s">
        <v>3630</v>
      </c>
      <c r="E22" s="9">
        <v>46111</v>
      </c>
      <c r="F22" s="7">
        <v>2023</v>
      </c>
      <c r="G22" s="7" t="s">
        <v>1145</v>
      </c>
      <c r="H22" s="6" t="str">
        <f t="shared" si="83"/>
        <v>2023_Jun_066</v>
      </c>
      <c r="I22" s="12" t="str">
        <f t="shared" si="84"/>
        <v>https://doi.org/10.1145/3596254</v>
      </c>
      <c r="J22" s="7">
        <f>IF(D22:D38&lt;&gt;"", VALUE(REGEXEXTRACT(D22:D38, "(\d+)\s+pages")), )
</f>
        <v>31</v>
      </c>
      <c r="K22" s="6" t="s">
        <v>652</v>
      </c>
      <c r="L22" s="7" t="str">
        <f t="shared" si="87"/>
        <v>No</v>
      </c>
      <c r="M22" s="7" t="s">
        <v>33</v>
      </c>
      <c r="N22" s="7" t="s">
        <v>33</v>
      </c>
      <c r="O22" s="7" t="s">
        <v>34</v>
      </c>
      <c r="P22" s="6"/>
      <c r="Q22" s="6"/>
      <c r="R22" s="7" t="s">
        <v>33</v>
      </c>
      <c r="S22" s="7" t="s">
        <v>34</v>
      </c>
      <c r="T22" s="6"/>
      <c r="U22" s="6"/>
      <c r="V22" s="7" t="s">
        <v>33</v>
      </c>
      <c r="W22" s="6" t="s">
        <v>3631</v>
      </c>
      <c r="X22" s="7" t="s">
        <v>33</v>
      </c>
      <c r="Y22" s="6" t="s">
        <v>3632</v>
      </c>
      <c r="Z22" s="7" t="s">
        <v>34</v>
      </c>
      <c r="AA22" s="6"/>
      <c r="AB22" s="6" t="s">
        <v>3633</v>
      </c>
      <c r="AC22" s="6" t="s">
        <v>181</v>
      </c>
    </row>
    <row r="23" ht="22.5" customHeight="1">
      <c r="A23" s="11" t="str">
        <f>REGEXEXTRACT(D23, "\d{4}\.\s(.*?)\.\sProc\. ACM")"),"Eggly: Designing Mobile Augmented Reality Neurofeedback Training Games for Children with Autism Spectrum Disorder</f>
        <v xml:space="preserve">Eggly: Designing Mobile Augmented Reality Neurofeedback Training Games for Children with Autism Spectrum Disorder</v>
      </c>
      <c r="B23" s="7">
        <f t="shared" si="86"/>
        <v>67</v>
      </c>
      <c r="C23" s="8" t="s">
        <v>3634</v>
      </c>
      <c r="D23" s="6" t="s">
        <v>3635</v>
      </c>
      <c r="E23" s="9">
        <v>46112</v>
      </c>
      <c r="F23" s="7">
        <v>2023</v>
      </c>
      <c r="G23" s="7" t="s">
        <v>1145</v>
      </c>
      <c r="H23" s="6" t="str">
        <f t="shared" si="83"/>
        <v>2023_Jun_067</v>
      </c>
      <c r="I23" s="12" t="str">
        <f t="shared" si="84"/>
        <v>https://doi.org/10.1145/3596251</v>
      </c>
      <c r="J23" s="7">
        <f>IF(D23:D38&lt;&gt;"", VALUE(REGEXEXTRACT(D23:D38, "(\d+)\s+pages")), )
</f>
        <v>29</v>
      </c>
      <c r="K23" s="6" t="s">
        <v>133</v>
      </c>
      <c r="L23" s="7" t="str">
        <f t="shared" si="87"/>
        <v>No</v>
      </c>
      <c r="M23" s="7" t="s">
        <v>34</v>
      </c>
      <c r="N23" s="7" t="s">
        <v>33</v>
      </c>
      <c r="O23" s="7" t="s">
        <v>34</v>
      </c>
      <c r="P23" s="6"/>
      <c r="Q23" s="6"/>
      <c r="R23" s="7" t="s">
        <v>34</v>
      </c>
      <c r="S23" s="7" t="s">
        <v>34</v>
      </c>
      <c r="T23" s="6"/>
      <c r="U23" s="6"/>
      <c r="V23" s="7" t="s">
        <v>34</v>
      </c>
      <c r="W23" s="6" t="s">
        <v>3636</v>
      </c>
      <c r="X23" s="7" t="s">
        <v>34</v>
      </c>
      <c r="Y23" s="13"/>
      <c r="Z23" s="7" t="s">
        <v>34</v>
      </c>
      <c r="AA23" s="6"/>
      <c r="AB23" s="6" t="s">
        <v>3637</v>
      </c>
      <c r="AC23" s="6" t="s">
        <v>181</v>
      </c>
    </row>
    <row r="24" ht="22.5" customHeight="1">
      <c r="A24" s="11" t="str">
        <f>REGEXEXTRACT(D24, "\d{4}\.\s(.*?)\.\sProc\. ACM")"),"Towards Efficient Emotion Self-report Collection Using Human-AI Collaboration: A Case Study on Smartphone Keyboard Interaction</f>
        <v xml:space="preserve">Towards Efficient Emotion Self-report Collection Using Human-AI Collaboration: A Case Study on Smartphone Keyboard Interaction</v>
      </c>
      <c r="B24" s="7">
        <f t="shared" si="86"/>
        <v>68</v>
      </c>
      <c r="C24" s="8" t="s">
        <v>3638</v>
      </c>
      <c r="D24" s="6" t="s">
        <v>3639</v>
      </c>
      <c r="E24" s="9">
        <v>46112</v>
      </c>
      <c r="F24" s="7">
        <v>2023</v>
      </c>
      <c r="G24" s="7" t="s">
        <v>1145</v>
      </c>
      <c r="H24" s="6" t="str">
        <f t="shared" si="83"/>
        <v>2023_Jun_068</v>
      </c>
      <c r="I24" s="12" t="str">
        <f t="shared" si="84"/>
        <v>https://doi.org/10.1145/3596269</v>
      </c>
      <c r="J24" s="7">
        <f>IF(D24:D38&lt;&gt;"", VALUE(REGEXEXTRACT(D24:D38, "(\d+)\s+pages")), )
</f>
        <v>23</v>
      </c>
      <c r="K24" s="6" t="s">
        <v>133</v>
      </c>
      <c r="L24" s="7" t="str">
        <f t="shared" si="87"/>
        <v>No</v>
      </c>
      <c r="M24" s="7" t="s">
        <v>34</v>
      </c>
      <c r="N24" s="7" t="s">
        <v>33</v>
      </c>
      <c r="O24" s="7" t="s">
        <v>34</v>
      </c>
      <c r="P24" s="6"/>
      <c r="Q24" s="6"/>
      <c r="R24" s="7" t="s">
        <v>33</v>
      </c>
      <c r="S24" s="7" t="s">
        <v>34</v>
      </c>
      <c r="T24" s="6"/>
      <c r="U24" s="6" t="s">
        <v>3640</v>
      </c>
      <c r="V24" s="7" t="s">
        <v>34</v>
      </c>
      <c r="W24" s="6" t="s">
        <v>3641</v>
      </c>
      <c r="X24" s="7" t="s">
        <v>34</v>
      </c>
      <c r="Y24" s="6" t="s">
        <v>3642</v>
      </c>
      <c r="Z24" s="7" t="s">
        <v>34</v>
      </c>
      <c r="AA24" s="6"/>
      <c r="AB24" s="6" t="s">
        <v>3643</v>
      </c>
      <c r="AC24" s="6" t="s">
        <v>181</v>
      </c>
    </row>
    <row r="25" ht="22.5" customHeight="1">
      <c r="A25" s="14" t="str">
        <f>REGEXEXTRACT(D25, "\d{4}\.\s(.*?)\.\sProc\. ACM")"),"BMAR: Barometric and Motion-based Alignment and Refinement for Offline Signal Synchronization across Devices</f>
        <v xml:space="preserve">BMAR: Barometric and Motion-based Alignment and Refinement for Offline Signal Synchronization across Devices</v>
      </c>
      <c r="B25" s="15">
        <f t="shared" si="86"/>
        <v>69</v>
      </c>
      <c r="C25" s="16" t="s">
        <v>3644</v>
      </c>
      <c r="D25" s="17" t="s">
        <v>3645</v>
      </c>
      <c r="E25" s="18">
        <v>46112</v>
      </c>
      <c r="F25" s="15">
        <v>2023</v>
      </c>
      <c r="G25" s="15" t="s">
        <v>1145</v>
      </c>
      <c r="H25" s="17" t="str">
        <f t="shared" si="83"/>
        <v>2023_Jun_069</v>
      </c>
      <c r="I25" s="19" t="str">
        <f t="shared" si="84"/>
        <v>https://doi.org/10.1145/3596268</v>
      </c>
      <c r="J25" s="15">
        <f>IF(D25:D38&lt;&gt;"", VALUE(REGEXEXTRACT(D25:D38, "(\d+)\s+pages")), )
</f>
        <v>21</v>
      </c>
      <c r="K25" s="17" t="s">
        <v>348</v>
      </c>
      <c r="L25" s="15" t="str">
        <f t="shared" si="87"/>
        <v>No</v>
      </c>
      <c r="M25" s="15" t="s">
        <v>34</v>
      </c>
      <c r="N25" s="15" t="s">
        <v>33</v>
      </c>
      <c r="O25" s="15" t="s">
        <v>34</v>
      </c>
      <c r="P25" s="17"/>
      <c r="Q25" s="17"/>
      <c r="R25" s="15" t="s">
        <v>33</v>
      </c>
      <c r="S25" s="15" t="s">
        <v>34</v>
      </c>
      <c r="T25" s="17"/>
      <c r="U25" s="17"/>
      <c r="V25" s="15" t="s">
        <v>33</v>
      </c>
      <c r="W25" s="17" t="s">
        <v>3646</v>
      </c>
      <c r="X25" s="15" t="s">
        <v>33</v>
      </c>
      <c r="Y25" s="17" t="s">
        <v>3647</v>
      </c>
      <c r="Z25" s="15" t="s">
        <v>34</v>
      </c>
      <c r="AA25" s="17"/>
      <c r="AB25" s="17" t="s">
        <v>3648</v>
      </c>
      <c r="AC25" s="17" t="s">
        <v>181</v>
      </c>
    </row>
    <row r="26" ht="22.5" customHeight="1">
      <c r="A26" s="11" t="str">
        <f>REGEXEXTRACT(D26, "\d{4}\.\s(.*?)\.\sProc\. ACM")"),"TouchKey: Touch to Generate Symmetric Keys by Skin Electric Potentials Induced by Powerline Radiation</f>
        <v xml:space="preserve">TouchKey: Touch to Generate Symmetric Keys by Skin Electric Potentials Induced by Powerline Radiation</v>
      </c>
      <c r="B26" s="7">
        <f t="shared" si="86"/>
        <v>70</v>
      </c>
      <c r="C26" s="8" t="s">
        <v>3649</v>
      </c>
      <c r="D26" s="6" t="s">
        <v>3650</v>
      </c>
      <c r="E26" s="9">
        <v>46000</v>
      </c>
      <c r="F26" s="7">
        <v>2023</v>
      </c>
      <c r="G26" s="7" t="s">
        <v>1145</v>
      </c>
      <c r="H26" s="6" t="str">
        <f t="shared" si="83"/>
        <v>2023_Jun_070</v>
      </c>
      <c r="I26" s="12" t="str">
        <f t="shared" si="84"/>
        <v>https://doi.org/10.1145/3596264</v>
      </c>
      <c r="J26" s="7">
        <f>IF(D26:D38&lt;&gt;"", VALUE(REGEXEXTRACT(D26:D38, "(\d+)\s+pages")), )
</f>
        <v>21</v>
      </c>
      <c r="K26" s="6" t="s">
        <v>32</v>
      </c>
      <c r="L26" s="7" t="str">
        <f t="shared" si="87"/>
        <v>No</v>
      </c>
      <c r="M26" s="7" t="s">
        <v>34</v>
      </c>
      <c r="N26" s="7" t="s">
        <v>33</v>
      </c>
      <c r="O26" s="7" t="s">
        <v>34</v>
      </c>
      <c r="P26" s="6"/>
      <c r="Q26" s="6" t="s">
        <v>3651</v>
      </c>
      <c r="R26" s="7" t="s">
        <v>33</v>
      </c>
      <c r="S26" s="7" t="s">
        <v>34</v>
      </c>
      <c r="T26" s="6"/>
      <c r="U26" s="6" t="s">
        <v>3652</v>
      </c>
      <c r="V26" s="7" t="s">
        <v>33</v>
      </c>
      <c r="W26" s="6" t="s">
        <v>3653</v>
      </c>
      <c r="X26" s="7" t="s">
        <v>34</v>
      </c>
      <c r="Y26" s="6" t="s">
        <v>3654</v>
      </c>
      <c r="Z26" s="7" t="s">
        <v>34</v>
      </c>
      <c r="AA26" s="6" t="s">
        <v>3655</v>
      </c>
      <c r="AB26" s="6" t="s">
        <v>3656</v>
      </c>
      <c r="AC26" s="6" t="s">
        <v>355</v>
      </c>
    </row>
    <row r="27" ht="22.5" customHeight="1">
      <c r="A27" s="11" t="str">
        <f>REGEXEXTRACT(D27, "\d{4}\.\s(.*?)\.\sProc\. ACM")"),"Supporting Solar Energy Coordination among Communities</f>
        <v xml:space="preserve">Supporting Solar Energy Coordination among Communities</v>
      </c>
      <c r="B27" s="7">
        <f t="shared" si="86"/>
        <v>71</v>
      </c>
      <c r="C27" s="8" t="s">
        <v>3657</v>
      </c>
      <c r="D27" s="6" t="s">
        <v>3658</v>
      </c>
      <c r="E27" s="9">
        <v>46000</v>
      </c>
      <c r="F27" s="7">
        <v>2023</v>
      </c>
      <c r="G27" s="7" t="s">
        <v>1145</v>
      </c>
      <c r="H27" s="6" t="str">
        <f t="shared" si="83"/>
        <v>2023_Jun_071</v>
      </c>
      <c r="I27" s="12" t="str">
        <f t="shared" si="84"/>
        <v>https://doi.org/10.1145/3596243</v>
      </c>
      <c r="J27" s="7">
        <f>IF(D27:D38&lt;&gt;"", VALUE(REGEXEXTRACT(D27:D38, "(\d+)\s+pages")), )
</f>
        <v>23</v>
      </c>
      <c r="K27" s="6" t="s">
        <v>1093</v>
      </c>
      <c r="L27" s="7" t="str">
        <f t="shared" si="87"/>
        <v>No</v>
      </c>
      <c r="M27" s="7" t="s">
        <v>34</v>
      </c>
      <c r="N27" s="7" t="s">
        <v>33</v>
      </c>
      <c r="O27" s="7" t="s">
        <v>33</v>
      </c>
      <c r="P27" s="10" t="s">
        <v>3659</v>
      </c>
      <c r="Q27" s="6" t="s">
        <v>3660</v>
      </c>
      <c r="R27" s="7" t="s">
        <v>33</v>
      </c>
      <c r="S27" s="7" t="s">
        <v>33</v>
      </c>
      <c r="T27" s="10" t="s">
        <v>3661</v>
      </c>
      <c r="U27" s="6" t="s">
        <v>3662</v>
      </c>
      <c r="V27" s="7" t="s">
        <v>33</v>
      </c>
      <c r="W27" s="6" t="s">
        <v>3663</v>
      </c>
      <c r="X27" s="7" t="s">
        <v>34</v>
      </c>
      <c r="Y27" s="6" t="s">
        <v>3664</v>
      </c>
      <c r="Z27" s="7" t="s">
        <v>33</v>
      </c>
      <c r="AA27" s="6" t="s">
        <v>3665</v>
      </c>
      <c r="AB27" s="6" t="s">
        <v>3666</v>
      </c>
      <c r="AC27" s="6" t="s">
        <v>355</v>
      </c>
    </row>
    <row r="28" ht="22.5" customHeight="1">
      <c r="A28" s="11" t="str">
        <f>REGEXEXTRACT(D28, "\d{4}\.\s(.*?)\.\sProc\. ACM")"),"Understanding Disengagement in Just-in-Time Mobile Health Interventions</f>
        <v xml:space="preserve">Understanding Disengagement in Just-in-Time Mobile Health Interventions</v>
      </c>
      <c r="B28" s="7">
        <f t="shared" si="86"/>
        <v>72</v>
      </c>
      <c r="C28" s="8" t="s">
        <v>3667</v>
      </c>
      <c r="D28" s="6" t="s">
        <v>3668</v>
      </c>
      <c r="E28" s="9">
        <v>46000</v>
      </c>
      <c r="F28" s="7">
        <v>2023</v>
      </c>
      <c r="G28" s="7" t="s">
        <v>1145</v>
      </c>
      <c r="H28" s="6" t="str">
        <f t="shared" si="83"/>
        <v>2023_Jun_072</v>
      </c>
      <c r="I28" s="12" t="str">
        <f t="shared" si="84"/>
        <v>https://doi.org/10.1145/3596240</v>
      </c>
      <c r="J28" s="7">
        <f>IF(D28:D38&lt;&gt;"", VALUE(REGEXEXTRACT(D28:D38, "(\d+)\s+pages")), )
</f>
        <v>27</v>
      </c>
      <c r="K28" s="6" t="s">
        <v>652</v>
      </c>
      <c r="L28" s="7" t="str">
        <f t="shared" si="87"/>
        <v>No</v>
      </c>
      <c r="M28" s="7" t="s">
        <v>34</v>
      </c>
      <c r="N28" s="7" t="s">
        <v>33</v>
      </c>
      <c r="O28" s="7" t="s">
        <v>34</v>
      </c>
      <c r="P28" s="6"/>
      <c r="Q28" s="6" t="s">
        <v>3669</v>
      </c>
      <c r="R28" s="7" t="s">
        <v>33</v>
      </c>
      <c r="S28" s="7" t="s">
        <v>34</v>
      </c>
      <c r="T28" s="6"/>
      <c r="U28" s="6" t="s">
        <v>3670</v>
      </c>
      <c r="V28" s="7" t="s">
        <v>33</v>
      </c>
      <c r="W28" s="6" t="s">
        <v>3671</v>
      </c>
      <c r="X28" s="7" t="s">
        <v>34</v>
      </c>
      <c r="Y28" s="6" t="s">
        <v>3672</v>
      </c>
      <c r="Z28" s="7" t="s">
        <v>34</v>
      </c>
      <c r="AA28" s="6" t="s">
        <v>3673</v>
      </c>
      <c r="AB28" s="6" t="s">
        <v>3674</v>
      </c>
      <c r="AC28" s="6" t="s">
        <v>355</v>
      </c>
    </row>
    <row r="29" ht="22.5" customHeight="1">
      <c r="A29" s="11" t="str">
        <f>REGEXEXTRACT(D29, "\d{4}\.\s(.*?)\.\sProc\. ACM")"),"Lost in the Deep? Performance Evaluation of Dead Reckoning Techniques in Underwater Environments</f>
        <v xml:space="preserve">Lost in the Deep? Performance Evaluation of Dead Reckoning Techniques in Underwater Environments</v>
      </c>
      <c r="B29" s="7">
        <f t="shared" si="86"/>
        <v>73</v>
      </c>
      <c r="C29" s="8" t="s">
        <v>3675</v>
      </c>
      <c r="D29" s="6" t="s">
        <v>3676</v>
      </c>
      <c r="E29" s="9">
        <v>46001</v>
      </c>
      <c r="F29" s="7">
        <v>2023</v>
      </c>
      <c r="G29" s="7" t="s">
        <v>1145</v>
      </c>
      <c r="H29" s="6" t="str">
        <f t="shared" si="83"/>
        <v>2023_Jun_073</v>
      </c>
      <c r="I29" s="12" t="str">
        <f t="shared" si="84"/>
        <v>https://doi.org/10.1145/3596245</v>
      </c>
      <c r="J29" s="7">
        <f>IF(D29:D38&lt;&gt;"", VALUE(REGEXEXTRACT(D29:D38, "(\d+)\s+pages")), )
</f>
        <v>27</v>
      </c>
      <c r="K29" s="6" t="s">
        <v>45</v>
      </c>
      <c r="L29" s="7" t="str">
        <f t="shared" si="87"/>
        <v>No</v>
      </c>
      <c r="M29" s="7" t="s">
        <v>34</v>
      </c>
      <c r="N29" s="7" t="s">
        <v>33</v>
      </c>
      <c r="O29" s="7" t="s">
        <v>33</v>
      </c>
      <c r="P29" s="10" t="s">
        <v>3677</v>
      </c>
      <c r="Q29" s="6" t="s">
        <v>3678</v>
      </c>
      <c r="R29" s="7" t="s">
        <v>33</v>
      </c>
      <c r="S29" s="7" t="s">
        <v>34</v>
      </c>
      <c r="T29" s="6"/>
      <c r="U29" s="6" t="s">
        <v>3679</v>
      </c>
      <c r="V29" s="7" t="s">
        <v>33</v>
      </c>
      <c r="W29" s="6" t="s">
        <v>3680</v>
      </c>
      <c r="X29" s="7" t="s">
        <v>34</v>
      </c>
      <c r="Y29" s="6" t="s">
        <v>3681</v>
      </c>
      <c r="Z29" s="7" t="s">
        <v>34</v>
      </c>
      <c r="AA29" s="6" t="s">
        <v>3682</v>
      </c>
      <c r="AB29" s="6" t="s">
        <v>3683</v>
      </c>
      <c r="AC29" s="6" t="s">
        <v>355</v>
      </c>
    </row>
    <row r="30" ht="22.5" customHeight="1">
      <c r="A30" s="11" t="str">
        <f>REGEXEXTRACT(D30, "\d{4}\.\s(.*?)\.\sProc\. ACM")"),"Synthetic Smartwatch IMU Data Generation from In-the-wild ASL Videos</f>
        <v xml:space="preserve">Synthetic Smartwatch IMU Data Generation from In-the-wild ASL Videos</v>
      </c>
      <c r="B30" s="7">
        <f t="shared" si="86"/>
        <v>74</v>
      </c>
      <c r="C30" s="8" t="s">
        <v>3684</v>
      </c>
      <c r="D30" s="6" t="s">
        <v>3685</v>
      </c>
      <c r="E30" s="9">
        <v>46001</v>
      </c>
      <c r="F30" s="7">
        <v>2023</v>
      </c>
      <c r="G30" s="7" t="s">
        <v>1145</v>
      </c>
      <c r="H30" s="6" t="str">
        <f t="shared" si="83"/>
        <v>2023_Jun_074</v>
      </c>
      <c r="I30" s="12" t="str">
        <f t="shared" si="84"/>
        <v>https://doi.org/10.1145/3596261</v>
      </c>
      <c r="J30" s="7">
        <f>IF(D30:D38&lt;&gt;"", VALUE(REGEXEXTRACT(D30:D38, "(\d+)\s+pages")), )
</f>
        <v>34</v>
      </c>
      <c r="K30" s="6" t="s">
        <v>243</v>
      </c>
      <c r="L30" s="7" t="str">
        <f t="shared" si="87"/>
        <v>No</v>
      </c>
      <c r="M30" s="7" t="s">
        <v>33</v>
      </c>
      <c r="N30" s="7" t="s">
        <v>33</v>
      </c>
      <c r="O30" s="7" t="s">
        <v>34</v>
      </c>
      <c r="P30" s="6"/>
      <c r="Q30" s="6" t="s">
        <v>3686</v>
      </c>
      <c r="R30" s="7" t="s">
        <v>33</v>
      </c>
      <c r="S30" s="7" t="s">
        <v>33</v>
      </c>
      <c r="T30" s="10" t="s">
        <v>3687</v>
      </c>
      <c r="U30" s="6"/>
      <c r="V30" s="7" t="s">
        <v>33</v>
      </c>
      <c r="W30" s="6" t="s">
        <v>3688</v>
      </c>
      <c r="X30" s="7" t="s">
        <v>33</v>
      </c>
      <c r="Y30" s="6" t="s">
        <v>3689</v>
      </c>
      <c r="Z30" s="7" t="s">
        <v>34</v>
      </c>
      <c r="AA30" s="6" t="s">
        <v>3690</v>
      </c>
      <c r="AB30" s="6" t="s">
        <v>3691</v>
      </c>
      <c r="AC30" s="6" t="s">
        <v>355</v>
      </c>
    </row>
    <row r="31" ht="22.5" customHeight="1">
      <c r="A31" s="11" t="str">
        <f>REGEXEXTRACT(D31, "\d{4}\.\s(.*?)\.\sProc\. ACM")"),"ConvBoost: Boosting ConvNets for Sensor-based Activity Recognition</f>
        <v xml:space="preserve">ConvBoost: Boosting ConvNets for Sensor-based Activity Recognition</v>
      </c>
      <c r="B31" s="7">
        <f t="shared" si="86"/>
        <v>75</v>
      </c>
      <c r="C31" s="8" t="s">
        <v>3692</v>
      </c>
      <c r="D31" s="6" t="s">
        <v>3693</v>
      </c>
      <c r="E31" s="9">
        <v>46001</v>
      </c>
      <c r="F31" s="7">
        <v>2023</v>
      </c>
      <c r="G31" s="7" t="s">
        <v>1145</v>
      </c>
      <c r="H31" s="6" t="str">
        <f t="shared" si="83"/>
        <v>2023_Jun_075</v>
      </c>
      <c r="I31" s="12" t="str">
        <f t="shared" si="84"/>
        <v>https://doi.org/10.1145/3596234</v>
      </c>
      <c r="J31" s="7">
        <f>IF(D31:D38&lt;&gt;"", VALUE(REGEXEXTRACT(D31:D38, "(\d+)\s+pages")), )
</f>
        <v>21</v>
      </c>
      <c r="K31" s="6" t="s">
        <v>71</v>
      </c>
      <c r="L31" s="7" t="str">
        <f t="shared" si="87"/>
        <v>No</v>
      </c>
      <c r="M31" s="7" t="s">
        <v>33</v>
      </c>
      <c r="N31" s="7" t="s">
        <v>33</v>
      </c>
      <c r="O31" s="7" t="s">
        <v>33</v>
      </c>
      <c r="P31" s="12" t="s">
        <v>3694</v>
      </c>
      <c r="Q31" s="6" t="s">
        <v>3695</v>
      </c>
      <c r="R31" s="7" t="s">
        <v>33</v>
      </c>
      <c r="S31" s="7" t="s">
        <v>33</v>
      </c>
      <c r="T31" s="10" t="s">
        <v>3694</v>
      </c>
      <c r="U31" s="6" t="s">
        <v>3696</v>
      </c>
      <c r="V31" s="7" t="s">
        <v>34</v>
      </c>
      <c r="W31" s="6" t="s">
        <v>3697</v>
      </c>
      <c r="X31" s="7" t="s">
        <v>34</v>
      </c>
      <c r="Y31" s="6" t="s">
        <v>3698</v>
      </c>
      <c r="Z31" s="7" t="s">
        <v>144</v>
      </c>
      <c r="AA31" s="6" t="s">
        <v>3699</v>
      </c>
      <c r="AB31" s="6" t="s">
        <v>3700</v>
      </c>
      <c r="AC31" s="6" t="s">
        <v>355</v>
      </c>
    </row>
    <row r="32" ht="22.5" customHeight="1">
      <c r="A32" s="11" t="str">
        <f>REGEXEXTRACT(D32, "\d{4}\.\s(.*?)\.\sProc\. ACM")"),"Single Packet, Single Channel, Switched Antenna Array for RF Localization</f>
        <v xml:space="preserve">Single Packet, Single Channel, Switched Antenna Array for RF Localization</v>
      </c>
      <c r="B32" s="7">
        <f t="shared" si="86"/>
        <v>76</v>
      </c>
      <c r="C32" s="8" t="s">
        <v>3701</v>
      </c>
      <c r="D32" s="6" t="s">
        <v>3702</v>
      </c>
      <c r="E32" s="9">
        <v>46001</v>
      </c>
      <c r="F32" s="7">
        <v>2023</v>
      </c>
      <c r="G32" s="7" t="s">
        <v>1145</v>
      </c>
      <c r="H32" s="6" t="str">
        <f t="shared" si="83"/>
        <v>2023_Jun_076</v>
      </c>
      <c r="I32" s="12" t="str">
        <f t="shared" si="84"/>
        <v>https://doi.org/10.1145/3596263</v>
      </c>
      <c r="J32" s="7">
        <f>IF(D32:D38&lt;&gt;"", VALUE(REGEXEXTRACT(D32:D38, "(\d+)\s+pages")), )
</f>
        <v>25</v>
      </c>
      <c r="K32" s="6" t="s">
        <v>348</v>
      </c>
      <c r="L32" s="7" t="str">
        <f t="shared" si="87"/>
        <v>No</v>
      </c>
      <c r="M32" s="7" t="s">
        <v>34</v>
      </c>
      <c r="N32" s="7" t="s">
        <v>33</v>
      </c>
      <c r="O32" s="7" t="s">
        <v>34</v>
      </c>
      <c r="P32" s="6"/>
      <c r="Q32" s="6" t="s">
        <v>3703</v>
      </c>
      <c r="R32" s="7" t="s">
        <v>33</v>
      </c>
      <c r="S32" s="7" t="s">
        <v>34</v>
      </c>
      <c r="T32" s="6"/>
      <c r="U32" s="6" t="s">
        <v>3704</v>
      </c>
      <c r="V32" s="7" t="s">
        <v>33</v>
      </c>
      <c r="W32" s="6" t="s">
        <v>3705</v>
      </c>
      <c r="X32" s="7" t="s">
        <v>33</v>
      </c>
      <c r="Y32" s="6" t="s">
        <v>3706</v>
      </c>
      <c r="Z32" s="7" t="s">
        <v>34</v>
      </c>
      <c r="AA32" s="6" t="s">
        <v>3707</v>
      </c>
      <c r="AB32" s="6" t="s">
        <v>3708</v>
      </c>
      <c r="AC32" s="6" t="s">
        <v>355</v>
      </c>
    </row>
    <row r="33" ht="22.5" customHeight="1">
      <c r="A33" s="11" t="str">
        <f>REGEXEXTRACT(D33, "\d{4}\.\s(.*?)\.\sProc\. ACM")"),"HyWay: Enabling Mingling in the Hybrid World</f>
        <v xml:space="preserve">HyWay: Enabling Mingling in the Hybrid World</v>
      </c>
      <c r="B33" s="7">
        <f t="shared" si="86"/>
        <v>77</v>
      </c>
      <c r="C33" s="8" t="s">
        <v>3709</v>
      </c>
      <c r="D33" s="6" t="s">
        <v>3710</v>
      </c>
      <c r="E33" s="9">
        <v>46001</v>
      </c>
      <c r="F33" s="7">
        <v>2023</v>
      </c>
      <c r="G33" s="7" t="s">
        <v>1145</v>
      </c>
      <c r="H33" s="6" t="str">
        <f t="shared" si="83"/>
        <v>2023_Jun_077</v>
      </c>
      <c r="I33" s="12" t="str">
        <f t="shared" si="84"/>
        <v>https://doi.org/10.1145/3596235</v>
      </c>
      <c r="J33" s="7">
        <f>IF(D33:D38&lt;&gt;"", VALUE(REGEXEXTRACT(D33:D38, "(\d+)\s+pages")), )
</f>
        <v>33</v>
      </c>
      <c r="K33" s="6" t="s">
        <v>652</v>
      </c>
      <c r="L33" s="7" t="str">
        <f t="shared" si="87"/>
        <v>No</v>
      </c>
      <c r="M33" s="7" t="s">
        <v>34</v>
      </c>
      <c r="N33" s="7" t="s">
        <v>33</v>
      </c>
      <c r="O33" s="7" t="s">
        <v>34</v>
      </c>
      <c r="P33" s="6"/>
      <c r="Q33" s="6" t="s">
        <v>3711</v>
      </c>
      <c r="R33" s="7" t="s">
        <v>33</v>
      </c>
      <c r="S33" s="7" t="s">
        <v>34</v>
      </c>
      <c r="T33" s="6"/>
      <c r="U33" s="6" t="s">
        <v>3712</v>
      </c>
      <c r="V33" s="7" t="s">
        <v>33</v>
      </c>
      <c r="W33" s="6" t="s">
        <v>3713</v>
      </c>
      <c r="X33" s="7" t="s">
        <v>33</v>
      </c>
      <c r="Y33" s="6" t="s">
        <v>3714</v>
      </c>
      <c r="Z33" s="7" t="s">
        <v>34</v>
      </c>
      <c r="AA33" s="6" t="s">
        <v>3715</v>
      </c>
      <c r="AB33" s="6" t="s">
        <v>3716</v>
      </c>
      <c r="AC33" s="6" t="s">
        <v>355</v>
      </c>
    </row>
    <row r="34" ht="22.5" customHeight="1">
      <c r="A34" s="11" t="str">
        <f>REGEXEXTRACT(D34, "\d{4}\.\s(.*?)\.\sProc\. ACM")"),"Automatic Update for Wi-Fi Fingerprinting Indoor Localization via Multi-Target Domain Adaptation</f>
        <v xml:space="preserve">Automatic Update for Wi-Fi Fingerprinting Indoor Localization via Multi-Target Domain Adaptation</v>
      </c>
      <c r="B34" s="7">
        <f t="shared" si="86"/>
        <v>78</v>
      </c>
      <c r="C34" s="8" t="s">
        <v>3717</v>
      </c>
      <c r="D34" s="6" t="s">
        <v>3718</v>
      </c>
      <c r="E34" s="9">
        <v>46002</v>
      </c>
      <c r="F34" s="7">
        <v>2023</v>
      </c>
      <c r="G34" s="7" t="s">
        <v>1145</v>
      </c>
      <c r="H34" s="6" t="str">
        <f t="shared" si="83"/>
        <v>2023_Jun_078</v>
      </c>
      <c r="I34" s="12" t="str">
        <f t="shared" si="84"/>
        <v>https://doi.org/10.1145/3596239</v>
      </c>
      <c r="J34" s="7">
        <f>IF(D34:D38&lt;&gt;"", VALUE(REGEXEXTRACT(D34:D38, "(\d+)\s+pages")), )
</f>
        <v>27</v>
      </c>
      <c r="K34" s="6" t="s">
        <v>209</v>
      </c>
      <c r="L34" s="7" t="str">
        <f t="shared" si="87"/>
        <v>No</v>
      </c>
      <c r="M34" s="7" t="s">
        <v>34</v>
      </c>
      <c r="N34" s="7" t="s">
        <v>33</v>
      </c>
      <c r="O34" s="7" t="s">
        <v>34</v>
      </c>
      <c r="P34" s="6"/>
      <c r="Q34" s="6" t="s">
        <v>3719</v>
      </c>
      <c r="R34" s="7" t="s">
        <v>33</v>
      </c>
      <c r="S34" s="7" t="s">
        <v>33</v>
      </c>
      <c r="T34" s="10" t="s">
        <v>3720</v>
      </c>
      <c r="U34" s="6" t="s">
        <v>3721</v>
      </c>
      <c r="V34" s="7" t="s">
        <v>33</v>
      </c>
      <c r="W34" s="6" t="s">
        <v>3722</v>
      </c>
      <c r="X34" s="7" t="s">
        <v>34</v>
      </c>
      <c r="Y34" s="6" t="s">
        <v>3723</v>
      </c>
      <c r="Z34" s="7" t="s">
        <v>34</v>
      </c>
      <c r="AA34" s="6" t="s">
        <v>3724</v>
      </c>
      <c r="AB34" s="6" t="s">
        <v>3725</v>
      </c>
      <c r="AC34" s="6" t="s">
        <v>355</v>
      </c>
    </row>
    <row r="35" ht="22.5" customHeight="1">
      <c r="A35" s="11" t="str">
        <f>REGEXEXTRACT(D35, "\d{4}\.\s(.*?)\.\sProc\. ACM")"),"WiMeasure: Millimeter-level Object Size Measurement with Commodity WiFi Devices</f>
        <v xml:space="preserve">WiMeasure: Millimeter-level Object Size Measurement with Commodity WiFi Devices</v>
      </c>
      <c r="B35" s="7">
        <f t="shared" si="86"/>
        <v>79</v>
      </c>
      <c r="C35" s="8" t="s">
        <v>3726</v>
      </c>
      <c r="D35" s="6" t="s">
        <v>3727</v>
      </c>
      <c r="E35" s="9">
        <v>46002</v>
      </c>
      <c r="F35" s="7">
        <v>2023</v>
      </c>
      <c r="G35" s="7" t="s">
        <v>1145</v>
      </c>
      <c r="H35" s="6" t="str">
        <f t="shared" si="83"/>
        <v>2023_Jun_079</v>
      </c>
      <c r="I35" s="12" t="str">
        <f t="shared" si="84"/>
        <v>https://doi.org/10.1145/3596250</v>
      </c>
      <c r="J35" s="7">
        <f>IF(D35:D38&lt;&gt;"", VALUE(REGEXEXTRACT(D35:D38, "(\d+)\s+pages")), )
</f>
        <v>26</v>
      </c>
      <c r="K35" s="6" t="s">
        <v>71</v>
      </c>
      <c r="L35" s="7" t="str">
        <f t="shared" si="87"/>
        <v>No</v>
      </c>
      <c r="M35" s="7" t="s">
        <v>34</v>
      </c>
      <c r="N35" s="7" t="s">
        <v>33</v>
      </c>
      <c r="O35" s="7" t="s">
        <v>34</v>
      </c>
      <c r="P35" s="6"/>
      <c r="Q35" s="6" t="s">
        <v>3728</v>
      </c>
      <c r="R35" s="7" t="s">
        <v>33</v>
      </c>
      <c r="S35" s="7" t="s">
        <v>34</v>
      </c>
      <c r="T35" s="6"/>
      <c r="U35" s="6" t="s">
        <v>3729</v>
      </c>
      <c r="V35" s="7" t="s">
        <v>33</v>
      </c>
      <c r="W35" s="6" t="s">
        <v>3730</v>
      </c>
      <c r="X35" s="7" t="s">
        <v>33</v>
      </c>
      <c r="Y35" s="6" t="s">
        <v>3731</v>
      </c>
      <c r="Z35" s="7" t="s">
        <v>34</v>
      </c>
      <c r="AA35" s="6" t="s">
        <v>3732</v>
      </c>
      <c r="AB35" s="6" t="s">
        <v>3733</v>
      </c>
      <c r="AC35" s="6" t="s">
        <v>355</v>
      </c>
    </row>
    <row r="36" ht="22.5" customHeight="1">
      <c r="A36" s="11" t="str">
        <f>REGEXEXTRACT(D36, "\d{4}\.\s(.*?)\.\sProc\. ACM")"),"Semi-Supervised Learning for Wearable-based Momentary Stress Detection in the Wild</f>
        <v xml:space="preserve">Semi-Supervised Learning for Wearable-based Momentary Stress Detection in the Wild</v>
      </c>
      <c r="B36" s="7">
        <f t="shared" si="86"/>
        <v>80</v>
      </c>
      <c r="C36" s="8" t="s">
        <v>3734</v>
      </c>
      <c r="D36" s="6" t="s">
        <v>3735</v>
      </c>
      <c r="E36" s="9">
        <v>46002</v>
      </c>
      <c r="F36" s="7">
        <v>2023</v>
      </c>
      <c r="G36" s="7" t="s">
        <v>1145</v>
      </c>
      <c r="H36" s="6" t="str">
        <f t="shared" si="83"/>
        <v>2023_Jun_080</v>
      </c>
      <c r="I36" s="12" t="str">
        <f t="shared" si="84"/>
        <v>https://doi.org/10.1145/3596246</v>
      </c>
      <c r="J36" s="7">
        <f>IF(D36:D38&lt;&gt;"", VALUE(REGEXEXTRACT(D36:D38, "(\d+)\s+pages")), )
</f>
        <v>23</v>
      </c>
      <c r="K36" s="6" t="s">
        <v>71</v>
      </c>
      <c r="L36" s="7" t="str">
        <f t="shared" si="87"/>
        <v>No</v>
      </c>
      <c r="M36" s="7" t="s">
        <v>33</v>
      </c>
      <c r="N36" s="7" t="s">
        <v>33</v>
      </c>
      <c r="O36" s="7" t="s">
        <v>34</v>
      </c>
      <c r="P36" s="6"/>
      <c r="Q36" s="6" t="s">
        <v>3736</v>
      </c>
      <c r="R36" s="7" t="s">
        <v>33</v>
      </c>
      <c r="S36" s="7" t="s">
        <v>144</v>
      </c>
      <c r="T36" s="6"/>
      <c r="U36" s="6" t="s">
        <v>3737</v>
      </c>
      <c r="V36" s="7" t="s">
        <v>33</v>
      </c>
      <c r="W36" s="6" t="s">
        <v>3738</v>
      </c>
      <c r="X36" s="7" t="s">
        <v>34</v>
      </c>
      <c r="Y36" s="6" t="s">
        <v>3739</v>
      </c>
      <c r="Z36" s="7" t="s">
        <v>34</v>
      </c>
      <c r="AA36" s="6" t="s">
        <v>3740</v>
      </c>
      <c r="AB36" s="6" t="s">
        <v>3741</v>
      </c>
      <c r="AC36" s="6" t="s">
        <v>355</v>
      </c>
    </row>
    <row r="37" ht="22.5" customHeight="1">
      <c r="A37" s="11" t="str">
        <f>REGEXEXTRACT(D37, "\d{4}\.\s(.*?)\.\sProc\. ACM")"),"PrintShear: Shear Input Based on Fingerprint Deformation</f>
        <v xml:space="preserve">PrintShear: Shear Input Based on Fingerprint Deformation</v>
      </c>
      <c r="B37" s="7">
        <f t="shared" si="86"/>
        <v>81</v>
      </c>
      <c r="C37" s="8" t="s">
        <v>3742</v>
      </c>
      <c r="D37" s="6" t="s">
        <v>3743</v>
      </c>
      <c r="E37" s="9">
        <v>46002</v>
      </c>
      <c r="F37" s="7">
        <v>2023</v>
      </c>
      <c r="G37" s="7" t="s">
        <v>1145</v>
      </c>
      <c r="H37" s="6" t="str">
        <f t="shared" si="83"/>
        <v>2023_Jun_081</v>
      </c>
      <c r="I37" s="12" t="str">
        <f t="shared" si="84"/>
        <v>https://doi.org/10.1145/3596257</v>
      </c>
      <c r="J37" s="7">
        <f>IF(D37:D38&lt;&gt;"", VALUE(REGEXEXTRACT(D37:D38, "(\d+)\s+pages")), )
</f>
        <v>22</v>
      </c>
      <c r="K37" s="6" t="s">
        <v>32</v>
      </c>
      <c r="L37" s="7" t="str">
        <f t="shared" si="87"/>
        <v>No</v>
      </c>
      <c r="M37" s="7" t="s">
        <v>33</v>
      </c>
      <c r="N37" s="7" t="s">
        <v>33</v>
      </c>
      <c r="O37" s="7" t="s">
        <v>34</v>
      </c>
      <c r="P37" s="6"/>
      <c r="Q37" s="6" t="s">
        <v>3744</v>
      </c>
      <c r="R37" s="7" t="s">
        <v>33</v>
      </c>
      <c r="S37" s="7" t="s">
        <v>34</v>
      </c>
      <c r="T37" s="6"/>
      <c r="U37" s="6" t="s">
        <v>3745</v>
      </c>
      <c r="V37" s="7" t="s">
        <v>33</v>
      </c>
      <c r="W37" s="6" t="s">
        <v>3746</v>
      </c>
      <c r="X37" s="7" t="s">
        <v>33</v>
      </c>
      <c r="Y37" s="6" t="s">
        <v>3747</v>
      </c>
      <c r="Z37" s="7" t="s">
        <v>34</v>
      </c>
      <c r="AA37" s="6" t="s">
        <v>3748</v>
      </c>
      <c r="AB37" s="6" t="s">
        <v>3749</v>
      </c>
      <c r="AC37" s="6" t="s">
        <v>355</v>
      </c>
    </row>
    <row r="38" ht="22.5" customHeight="1">
      <c r="A38" s="11" t="str">
        <f>REGEXEXTRACT(D38, "\d{4}\.\s(.*?)\.\sProc\. ACM")"),"Hierarchical Wi-Fi Trajectory Embedding for Indoor User Mobility Pattern Analysis</f>
        <v xml:space="preserve">Hierarchical Wi-Fi Trajectory Embedding for Indoor User Mobility Pattern Analysis</v>
      </c>
      <c r="B38" s="7">
        <f t="shared" si="86"/>
        <v>82</v>
      </c>
      <c r="C38" s="8" t="s">
        <v>3750</v>
      </c>
      <c r="D38" s="6" t="s">
        <v>3751</v>
      </c>
      <c r="E38" s="9">
        <v>46002</v>
      </c>
      <c r="F38" s="7">
        <v>2023</v>
      </c>
      <c r="G38" s="7" t="s">
        <v>1145</v>
      </c>
      <c r="H38" s="6" t="str">
        <f t="shared" si="83"/>
        <v>2023_Jun_082</v>
      </c>
      <c r="I38" s="12" t="str">
        <f t="shared" si="84"/>
        <v>https://doi.org/10.1145/3596237</v>
      </c>
      <c r="J38" s="7">
        <f>IF(D38&lt;&gt;"", VALUE(REGEXEXTRACT(D38, "(\d+)\s+pages")), )
</f>
        <v>21</v>
      </c>
      <c r="K38" s="6" t="s">
        <v>71</v>
      </c>
      <c r="L38" s="7" t="str">
        <f t="shared" si="87"/>
        <v>No</v>
      </c>
      <c r="M38" s="7" t="s">
        <v>34</v>
      </c>
      <c r="N38" s="7" t="s">
        <v>33</v>
      </c>
      <c r="O38" s="7" t="s">
        <v>33</v>
      </c>
      <c r="P38" s="10" t="s">
        <v>3752</v>
      </c>
      <c r="Q38" s="6" t="s">
        <v>3753</v>
      </c>
      <c r="R38" s="7" t="s">
        <v>33</v>
      </c>
      <c r="S38" s="7" t="s">
        <v>34</v>
      </c>
      <c r="T38" s="6"/>
      <c r="U38" s="6" t="s">
        <v>3754</v>
      </c>
      <c r="V38" s="7" t="s">
        <v>33</v>
      </c>
      <c r="W38" s="6" t="s">
        <v>3755</v>
      </c>
      <c r="X38" s="7" t="s">
        <v>34</v>
      </c>
      <c r="Y38" s="6" t="s">
        <v>3756</v>
      </c>
      <c r="Z38" s="7" t="s">
        <v>144</v>
      </c>
      <c r="AA38" s="6" t="s">
        <v>3757</v>
      </c>
      <c r="AB38" s="6" t="s">
        <v>3758</v>
      </c>
      <c r="AC38" s="6" t="s">
        <v>355</v>
      </c>
    </row>
  </sheetData>
  <conditionalFormatting sqref="P1:P38">
    <cfRule type="colorScale" priority="1">
      <colorScale>
        <cfvo type="min"/>
        <cfvo type="max"/>
        <color indexed="65"/>
        <color rgb="FF57BB8A"/>
      </colorScale>
    </cfRule>
  </conditionalFormatting>
  <dataValidations count="2" disablePrompts="0">
    <dataValidation sqref="A2:A38 H2:I38 K2:K38 P2:Q38 T2:U38 W2:W38 Y2:Y38 AA2:AB38" type="none" allowBlank="1" errorStyle="stop" imeMode="noControl" operator="between" showDropDown="1" showErrorMessage="0" showInputMessage="0"/>
    <dataValidation sqref="D2:D38" type="none" allowBlank="1" errorStyle="stop" imeMode="noControl" operator="between" showDropDown="1" showErrorMessage="0" showInputMessage="0"/>
  </dataValidations>
  <hyperlinks>
    <hyperlink r:id="rId1" ref="C2"/>
    <hyperlink r:id="rId2" ref="C3"/>
    <hyperlink r:id="rId3" ref="C4"/>
    <hyperlink r:id="rId4" ref="D4"/>
    <hyperlink r:id="rId5" ref="C5"/>
    <hyperlink r:id="rId6" ref="C6"/>
    <hyperlink r:id="rId7" ref="C7"/>
    <hyperlink r:id="rId8" ref="C8"/>
    <hyperlink r:id="rId9" ref="C9"/>
    <hyperlink r:id="rId10" ref="D9"/>
    <hyperlink r:id="rId11" ref="P9"/>
    <hyperlink r:id="rId12" ref="C10"/>
    <hyperlink r:id="rId13" ref="P10"/>
    <hyperlink r:id="rId14" ref="C11"/>
    <hyperlink r:id="rId15" ref="C12"/>
    <hyperlink r:id="rId16" ref="C13"/>
    <hyperlink r:id="rId17" ref="P13"/>
    <hyperlink r:id="rId18" ref="C14"/>
    <hyperlink r:id="rId19" ref="C15"/>
    <hyperlink r:id="rId20" ref="C16"/>
    <hyperlink r:id="rId21" ref="C17"/>
    <hyperlink r:id="rId22" ref="C18"/>
    <hyperlink r:id="rId23" ref="C19"/>
    <hyperlink r:id="rId24" ref="P19"/>
    <hyperlink r:id="rId25" ref="C20"/>
    <hyperlink r:id="rId26" ref="D20"/>
    <hyperlink r:id="rId27" ref="C21"/>
    <hyperlink r:id="rId28" ref="D21"/>
    <hyperlink r:id="rId29" ref="C22"/>
    <hyperlink r:id="rId30" ref="C23"/>
    <hyperlink r:id="rId31" ref="C24"/>
    <hyperlink r:id="rId32" ref="C25"/>
    <hyperlink r:id="rId33" ref="C26"/>
    <hyperlink r:id="rId34" ref="C27"/>
    <hyperlink r:id="rId35" ref="P27"/>
    <hyperlink r:id="rId36" ref="T27"/>
    <hyperlink r:id="rId37" ref="C28"/>
    <hyperlink r:id="rId38" ref="C29"/>
    <hyperlink r:id="rId39" ref="P29"/>
    <hyperlink r:id="rId40" ref="C30"/>
    <hyperlink r:id="rId41" ref="T30"/>
    <hyperlink r:id="rId42" ref="C31"/>
    <hyperlink r:id="rId43" ref="P31"/>
    <hyperlink r:id="rId43" ref="T31"/>
    <hyperlink r:id="rId44" ref="C32"/>
    <hyperlink r:id="rId45" ref="C33"/>
    <hyperlink r:id="rId46" ref="C34"/>
    <hyperlink r:id="rId47" ref="T34"/>
    <hyperlink r:id="rId48" ref="C35"/>
    <hyperlink r:id="rId49" ref="C36"/>
    <hyperlink r:id="rId50" ref="C37"/>
    <hyperlink r:id="rId51" ref="C38"/>
    <hyperlink r:id="rId52" ref="P38"/>
  </hyperlinks>
  <printOptions headings="0" gridLines="1" horizontalCentered="1"/>
  <pageMargins left="0.25" right="0.25" top="0.75" bottom="0.75" header="0" footer="0"/>
  <pageSetup paperSize="9" scale="100" fitToWidth="1" fitToHeight="0" pageOrder="overThenDown" orientation="landscape" usePrinterDefaults="1" blackAndWhite="0" draft="0" cellComments="atEnd" useFirstPageNumber="0" errors="displayed" horizontalDpi="600" verticalDpi="600" copies="1"/>
  <headerFooter/>
  <tableParts count="1">
    <tablePart r:id="rId53"/>
  </tableParts>
  <extLst>
    <ext xmlns:x14="http://schemas.microsoft.com/office/spreadsheetml/2009/9/main" uri="{78C0D931-6437-407d-A8EE-F0AAD7539E65}">
      <x14:conditionalFormattings>
        <x14:conditionalFormatting xmlns:xm="http://schemas.microsoft.com/office/excel/2006/main">
          <x14:cfRule type="expression" priority="2" id="{F5528320-206A-4009-BFEA-EBBD509B8549}">
            <xm:f>AND(REGEXMATCH($O2,"^(Yes|Partially)$"), ISBLANK($P2))</xm:f>
            <x14:dxf>
              <font/>
              <fill>
                <patternFill patternType="solid">
                  <fgColor rgb="FFE68282"/>
                  <bgColor rgb="FFE68282"/>
                </patternFill>
              </fill>
              <border>
                <left/>
                <right/>
                <top/>
                <bottom/>
                <diagonal/>
              </border>
            </x14:dxf>
          </x14:cfRule>
          <xm:sqref>P2:P38</xm:sqref>
        </x14:conditionalFormatting>
        <x14:conditionalFormatting xmlns:xm="http://schemas.microsoft.com/office/excel/2006/main">
          <x14:cfRule type="expression" priority="3" id="{8182ED44-16BD-477D-A3B3-F27793BDC492}">
            <xm:f>AND(REGEXMATCH($S2,"^(Yes|Partially)$"), ISBLANK($T2))</xm:f>
            <x14:dxf>
              <font/>
              <fill>
                <patternFill patternType="solid">
                  <fgColor rgb="FFE68282"/>
                  <bgColor rgb="FFE68282"/>
                </patternFill>
              </fill>
              <border>
                <left/>
                <right/>
                <top/>
                <bottom/>
                <diagonal/>
              </border>
            </x14:dxf>
          </x14:cfRule>
          <xm:sqref>T2:T38</xm:sqref>
        </x14:conditionalFormatting>
        <x14:conditionalFormatting xmlns:xm="http://schemas.microsoft.com/office/excel/2006/main">
          <x14:cfRule type="expression" priority="4" id="{3C9F08DB-1785-474C-9248-14FA96F87917}">
            <xm:f>AND($V2="Yes", ISBLANK($W2))</xm:f>
            <x14:dxf>
              <font/>
              <fill>
                <patternFill patternType="solid">
                  <fgColor rgb="FFE68282"/>
                  <bgColor rgb="FFE68282"/>
                </patternFill>
              </fill>
              <border>
                <left/>
                <right/>
                <top/>
                <bottom/>
                <diagonal/>
              </border>
            </x14:dxf>
          </x14:cfRule>
          <xm:sqref>W2:W38</xm:sqref>
        </x14:conditionalFormatting>
        <x14:conditionalFormatting xmlns:xm="http://schemas.microsoft.com/office/excel/2006/main">
          <x14:cfRule type="expression" priority="5" id="{244F4CB1-76BA-4976-8237-1EA9F490DBD4}">
            <xm:f>AND($X2="Yes", ISBLANK($Y2))</xm:f>
            <x14:dxf>
              <font/>
              <fill>
                <patternFill patternType="solid">
                  <fgColor rgb="FFE68282"/>
                  <bgColor rgb="FFE68282"/>
                </patternFill>
              </fill>
              <border>
                <left/>
                <right/>
                <top/>
                <bottom/>
                <diagonal/>
              </border>
            </x14:dxf>
          </x14:cfRule>
          <xm:sqref>Y2:Y38</xm:sqref>
        </x14:conditionalFormatting>
      </x14:conditionalFormattings>
    </ext>
    <ext xmlns:x14="http://schemas.microsoft.com/office/spreadsheetml/2009/9/main" uri="{CCE6A557-97BC-4b89-ADB6-D9C93CAAB3DF}">
      <x14:dataValidations xmlns:xm="http://schemas.microsoft.com/office/excel/2006/main" count="10" disablePrompts="0">
        <x14:dataValidation xr:uid="{006A4948-C446-4DAF-8113-FE0428D4CC44}" type="list" allowBlank="1" errorStyle="stop" imeMode="noControl" operator="between" showDropDown="0" showErrorMessage="0" showInputMessage="0">
          <x14:formula1>
            <xm:f>"Yes,No"</xm:f>
          </x14:formula1>
          <xm:sqref>L2:L38</xm:sqref>
        </x14:dataValidation>
        <x14:dataValidation xr:uid="{3CEAB802-3C74-4580-9EE2-FBFD8057EDE2}" type="list" allowBlank="1" errorStyle="stop" imeMode="noControl" operator="between" showDropDown="0" showErrorMessage="0" showInputMessage="0">
          <x14:formula1>
            <xm:f>"Yes,No,Unknown"</xm:f>
          </x14:formula1>
          <xm:sqref>R2:R38</xm:sqref>
        </x14:dataValidation>
        <x14:dataValidation xr:uid="{45973E35-C6D3-42E2-8837-403421C1DC34}" type="list" allowBlank="1" errorStyle="stop" imeMode="noControl" operator="between" showDropDown="0" showErrorMessage="0" showInputMessage="0">
          <x14:formula1>
            <xm:f>"Yes,No,Unknown"</xm:f>
          </x14:formula1>
          <xm:sqref>N2:N38</xm:sqref>
        </x14:dataValidation>
        <x14:dataValidation xr:uid="{5C77AC23-35C0-4F85-BB2D-44D2EC029645}" type="list" allowBlank="1" errorStyle="stop" imeMode="noControl" operator="between" showDropDown="0" showErrorMessage="0" showInputMessage="0">
          <x14:formula1>
            <xm:f>"Yes,No,Partially,Unknown,N/A"</xm:f>
          </x14:formula1>
          <xm:sqref>Z2:Z38</xm:sqref>
        </x14:dataValidation>
        <x14:dataValidation xr:uid="{53BA4342-88C6-44A1-8BBA-A0571501BACD}" type="custom" allowBlank="1" errorStyle="stop" imeMode="noControl" operator="between" showDropDown="1" showErrorMessage="0" showInputMessage="0">
          <x14:formula1>
            <xm:f>AND(ISNUMBER(B2),(NOT(OR(NOT(ISERROR(DATEVALUE(B2))), AND(ISNUMBER(B2), LEFT(CELL("format", B2))="D")))))</xm:f>
          </x14:formula1>
          <xm:sqref>B2:B38 F2:F38 J2:J38</xm:sqref>
        </x14:dataValidation>
        <x14:dataValidation xr:uid="{CF61D46A-DA15-4C42-A6AD-A412CFB474D3}" type="custom" allowBlank="1" errorStyle="stop" imeMode="noControl" operator="between" showDropDown="1" showErrorMessage="0" showInputMessage="0">
          <x14:formula1>
            <xm:f>OR(NOT(ISERROR(DATEVALUE(E2))), AND(ISNUMBER(E2), LEFT(CELL("format", E2))="D"))</xm:f>
          </x14:formula1>
          <xm:sqref>E2:E38</xm:sqref>
        </x14:dataValidation>
        <x14:dataValidation xr:uid="{BFE62862-13C9-4193-A1BB-029E531629FA}" type="list" allowBlank="1" errorStyle="stop" imeMode="noControl" operator="between" showDropDown="0" showErrorMessage="0" showInputMessage="0">
          <x14:formula1>
            <xm:f>"Yes,No,Unknown"</xm:f>
          </x14:formula1>
          <xm:sqref>M2:M38</xm:sqref>
        </x14:dataValidation>
        <x14:dataValidation xr:uid="{E0E886F5-422D-4D96-A50C-7D9630D77C77}" type="list" allowBlank="1" errorStyle="stop" imeMode="noControl" operator="between" showDropDown="0" showErrorMessage="0" showInputMessage="0">
          <x14:formula1>
            <xm:f>"Yes,No,Unknown,N/A"</xm:f>
          </x14:formula1>
          <xm:sqref>V2:V38 X2:X38</xm:sqref>
        </x14:dataValidation>
        <x14:dataValidation xr:uid="{2FC31481-83A0-46F0-980C-4269EF5FCE0F}" type="list" allowBlank="1" errorStyle="stop" imeMode="noControl" operator="between" showDropDown="0" showErrorMessage="0" showInputMessage="0">
          <x14:formula1>
            <xm:f>"Yes,No,Partially,Unknown,N/A,Upon_request"</xm:f>
          </x14:formula1>
          <xm:sqref>O2:O38 S2:S38</xm:sqref>
        </x14:dataValidation>
        <x14:dataValidation xr:uid="{981D3D81-4246-4D79-A958-F74F25697A2E}" type="list" allowBlank="1" errorStyle="stop" imeMode="noControl" operator="between" showDropDown="0" showErrorMessage="0" showInputMessage="0">
          <x14:formula1>
            <xm:f>"Mar,Jun,Sep,Dec"</xm:f>
          </x14:formula1>
          <xm:sqref>G2:G38</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1"/>
  </sheetPr>
  <sheetViews>
    <sheetView zoomScale="100" workbookViewId="0">
      <pane xSplit="2" ySplit="1" topLeftCell="C2" activePane="bottomRight" state="frozen"/>
      <selection activeCell="C2" activeCellId="0" sqref="C2"/>
    </sheetView>
  </sheetViews>
  <sheetFormatPr defaultColWidth="12.630000000000001" defaultRowHeight="15.75" customHeight="1"/>
  <cols>
    <col customWidth="1" min="1" max="1" width="24.25"/>
    <col customWidth="1" min="2" max="2" width="20.129999999999999"/>
    <col customWidth="1" min="3" max="3" width="21"/>
    <col customWidth="1" min="4" max="4" width="14.75"/>
    <col customWidth="1" min="6" max="6" width="11.880000000000001"/>
    <col customWidth="1" min="7" max="7" width="12.630000000000001"/>
    <col customWidth="1" min="8" max="8" width="15.130000000000001"/>
    <col customWidth="1" min="9" max="9" width="28"/>
    <col customWidth="1" min="10" max="10" width="18.879999999999999"/>
    <col customWidth="1" min="11" max="11" width="36.75"/>
    <col customWidth="1" min="12" max="12" width="21.379999999999999"/>
    <col customWidth="1" min="13" max="13" width="18.879999999999999"/>
    <col customWidth="1" min="14" max="14" width="19.879999999999999"/>
    <col customWidth="1" min="15" max="16" width="19.75"/>
    <col customWidth="1" min="17" max="17" width="34.5"/>
    <col customWidth="1" min="18" max="18" width="19"/>
    <col customWidth="1" min="19" max="19" width="19.379999999999999"/>
    <col customWidth="1" min="20" max="21" width="19.75"/>
    <col customWidth="1" min="22" max="22" width="22.629999999999999"/>
    <col customWidth="1" min="23" max="23" width="32.630000000000003"/>
    <col customWidth="1" min="24" max="24" width="22.629999999999999"/>
    <col customWidth="1" min="25" max="25" width="25.5"/>
    <col customWidth="1" min="26" max="26" width="27.25"/>
    <col customWidth="1" min="27" max="27" width="39.25"/>
    <col customWidth="1" min="28" max="29" width="34.130000000000003"/>
  </cols>
  <sheetData>
    <row r="1" ht="22.5" customHeight="1">
      <c r="A1" s="1" t="s">
        <v>0</v>
      </c>
      <c r="B1" s="2" t="s">
        <v>1</v>
      </c>
      <c r="C1" s="3" t="s">
        <v>2</v>
      </c>
      <c r="D1" s="3" t="s">
        <v>3</v>
      </c>
      <c r="E1" s="3" t="s">
        <v>4</v>
      </c>
      <c r="F1" s="2" t="s">
        <v>5</v>
      </c>
      <c r="G1" s="2" t="s">
        <v>6</v>
      </c>
      <c r="H1" s="2" t="s">
        <v>7</v>
      </c>
      <c r="I1" s="2" t="s">
        <v>8</v>
      </c>
      <c r="J1" s="2" t="s">
        <v>9</v>
      </c>
      <c r="K1" s="2" t="s">
        <v>10</v>
      </c>
      <c r="L1" s="2" t="s">
        <v>11</v>
      </c>
      <c r="M1" s="2" t="s">
        <v>12</v>
      </c>
      <c r="N1" s="4" t="s">
        <v>13</v>
      </c>
      <c r="O1" s="4" t="s">
        <v>14</v>
      </c>
      <c r="P1" s="4" t="s">
        <v>15</v>
      </c>
      <c r="Q1" s="4" t="s">
        <v>16</v>
      </c>
      <c r="R1" s="5" t="s">
        <v>17</v>
      </c>
      <c r="S1" s="5" t="s">
        <v>18</v>
      </c>
      <c r="T1" s="5" t="s">
        <v>19</v>
      </c>
      <c r="U1" s="5" t="s">
        <v>20</v>
      </c>
      <c r="V1" s="2" t="s">
        <v>21</v>
      </c>
      <c r="W1" s="3" t="s">
        <v>22</v>
      </c>
      <c r="X1" s="2" t="s">
        <v>23</v>
      </c>
      <c r="Y1" s="3" t="s">
        <v>24</v>
      </c>
      <c r="Z1" s="2" t="s">
        <v>25</v>
      </c>
      <c r="AA1" s="3" t="s">
        <v>26</v>
      </c>
      <c r="AB1" s="3" t="s">
        <v>27</v>
      </c>
      <c r="AC1" s="3" t="s">
        <v>28</v>
      </c>
    </row>
    <row r="2" ht="22.5" customHeight="1">
      <c r="A2" s="11" t="str">
        <f>REGEXEXTRACT(D2, "\d{4}\.\s(.*?)\.\sProc\. ACM")"),"PARROT: Interactive Privacy-Aware Internet of Things Application Design Tool</f>
        <v xml:space="preserve">PARROT: Interactive Privacy-Aware Internet of Things Application Design Tool</v>
      </c>
      <c r="B2" s="7">
        <f t="shared" ref="B2:B9" si="88">IFERROR(VALUE(REGEXEXTRACT(D2,"Article\s+(\d+)")),"")
</f>
        <v>1</v>
      </c>
      <c r="C2" s="8" t="s">
        <v>3759</v>
      </c>
      <c r="D2" s="6" t="s">
        <v>3760</v>
      </c>
      <c r="E2" s="9">
        <v>46050</v>
      </c>
      <c r="F2" s="7">
        <v>2023</v>
      </c>
      <c r="G2" s="7" t="s">
        <v>1412</v>
      </c>
      <c r="H2" s="6" t="str">
        <f t="shared" ref="H2:H46" si="89">TEXT($F2,"0000") &amp; "_" &amp; $G2 &amp; "_" &amp; TEXT($B2,"000")</f>
        <v>2023_Mar_001</v>
      </c>
      <c r="I2" s="12" t="str">
        <f t="shared" ref="I2:I46" si="90">CONCATENATE("https",RIGHT(D2,LEN(D2) - (FIND("://",D2) - 1)))</f>
        <v>https://doi.org/10.1145/3580880</v>
      </c>
      <c r="J2" s="7">
        <f>IF(D2:D46&lt;&gt;"", VALUE(REGEXEXTRACT(D2:D46, "(\d+)\s+pages")), )
</f>
        <v>37</v>
      </c>
      <c r="K2" s="6" t="s">
        <v>652</v>
      </c>
      <c r="L2" s="7" t="str">
        <f t="shared" ref="L2:L9" si="91">IF(REGEXMATCH(LOWER($A2),"(^|[^a-z])dataset(s)?([^a-z]|$)"),"Yes","No")"),"No</f>
        <v>No</v>
      </c>
      <c r="M2" s="7" t="s">
        <v>34</v>
      </c>
      <c r="N2" s="7" t="s">
        <v>33</v>
      </c>
      <c r="O2" s="7" t="s">
        <v>34</v>
      </c>
      <c r="P2" s="6"/>
      <c r="Q2" s="6"/>
      <c r="R2" s="7" t="s">
        <v>34</v>
      </c>
      <c r="S2" s="7" t="s">
        <v>35</v>
      </c>
      <c r="T2" s="6"/>
      <c r="U2" s="6"/>
      <c r="V2" s="7" t="s">
        <v>34</v>
      </c>
      <c r="W2" s="6"/>
      <c r="X2" s="7" t="s">
        <v>34</v>
      </c>
      <c r="Y2" s="13"/>
      <c r="Z2" s="7" t="s">
        <v>34</v>
      </c>
      <c r="AA2" s="6"/>
      <c r="AB2" s="6" t="s">
        <v>3761</v>
      </c>
      <c r="AC2" s="6" t="s">
        <v>39</v>
      </c>
    </row>
    <row r="3" ht="22.5" customHeight="1">
      <c r="A3" s="11" t="str">
        <f>REGEXEXTRACT(D3, "\d{4}\.\s(.*?)\.\sProc\. ACM")"),"Mites: Design and Deployment of a General-Purpose Sensing Infrastructure for Buildings</f>
        <v xml:space="preserve">Mites: Design and Deployment of a General-Purpose Sensing Infrastructure for Buildings</v>
      </c>
      <c r="B3" s="7">
        <f t="shared" si="88"/>
        <v>2</v>
      </c>
      <c r="C3" s="8" t="s">
        <v>3762</v>
      </c>
      <c r="D3" s="6" t="s">
        <v>3763</v>
      </c>
      <c r="E3" s="9">
        <v>46050</v>
      </c>
      <c r="F3" s="7">
        <v>2023</v>
      </c>
      <c r="G3" s="7" t="s">
        <v>1412</v>
      </c>
      <c r="H3" s="6" t="str">
        <f t="shared" si="89"/>
        <v>2023_Mar_002</v>
      </c>
      <c r="I3" s="12" t="str">
        <f t="shared" si="90"/>
        <v>https://doi.org/10.1145/3580865</v>
      </c>
      <c r="J3" s="7">
        <f>IF(D3:D46&lt;&gt;"", VALUE(REGEXEXTRACT(D3:D46, "(\d+)\s+pages")), )
</f>
        <v>32</v>
      </c>
      <c r="K3" s="6" t="s">
        <v>45</v>
      </c>
      <c r="L3" s="7" t="str">
        <f t="shared" si="91"/>
        <v>No</v>
      </c>
      <c r="M3" s="7" t="s">
        <v>33</v>
      </c>
      <c r="N3" s="7" t="s">
        <v>33</v>
      </c>
      <c r="O3" s="7" t="s">
        <v>34</v>
      </c>
      <c r="P3" s="6"/>
      <c r="Q3" s="6"/>
      <c r="R3" s="7" t="s">
        <v>34</v>
      </c>
      <c r="S3" s="7" t="s">
        <v>35</v>
      </c>
      <c r="T3" s="6"/>
      <c r="U3" s="6"/>
      <c r="V3" s="7" t="s">
        <v>33</v>
      </c>
      <c r="W3" s="6" t="s">
        <v>3764</v>
      </c>
      <c r="X3" s="7" t="s">
        <v>34</v>
      </c>
      <c r="Y3" s="13"/>
      <c r="Z3" s="7" t="s">
        <v>34</v>
      </c>
      <c r="AA3" s="6"/>
      <c r="AB3" s="6" t="s">
        <v>3765</v>
      </c>
      <c r="AC3" s="6" t="s">
        <v>39</v>
      </c>
    </row>
    <row r="4" ht="22.5" customHeight="1">
      <c r="A4" s="11" t="str">
        <f>REGEXEXTRACT(D4, "\d{4}\.\s(.*?)\.\sProc\. ACM")"),"FeverPhone: Accessible Core-Body Temperature Sensing for Fever Monitoring Using Commodity Smartphones</f>
        <v xml:space="preserve">FeverPhone: Accessible Core-Body Temperature Sensing for Fever Monitoring Using Commodity Smartphones</v>
      </c>
      <c r="B4" s="7">
        <f t="shared" si="88"/>
        <v>3</v>
      </c>
      <c r="C4" s="8" t="s">
        <v>3766</v>
      </c>
      <c r="D4" s="6" t="s">
        <v>3767</v>
      </c>
      <c r="E4" s="9">
        <v>46050</v>
      </c>
      <c r="F4" s="7">
        <v>2023</v>
      </c>
      <c r="G4" s="7" t="s">
        <v>1412</v>
      </c>
      <c r="H4" s="6" t="str">
        <f t="shared" si="89"/>
        <v>2023_Mar_003</v>
      </c>
      <c r="I4" s="12" t="str">
        <f t="shared" si="90"/>
        <v>https://doi.org/10.1145/3580850</v>
      </c>
      <c r="J4" s="7">
        <f>IF(D4:D46&lt;&gt;"", VALUE(REGEXEXTRACT(D4:D46, "(\d+)\s+pages")), )
</f>
        <v>23</v>
      </c>
      <c r="K4" s="6" t="s">
        <v>133</v>
      </c>
      <c r="L4" s="7" t="str">
        <f t="shared" si="91"/>
        <v>No</v>
      </c>
      <c r="M4" s="7" t="s">
        <v>33</v>
      </c>
      <c r="N4" s="7" t="s">
        <v>33</v>
      </c>
      <c r="O4" s="7" t="s">
        <v>34</v>
      </c>
      <c r="P4" s="6"/>
      <c r="Q4" s="6"/>
      <c r="R4" s="7" t="s">
        <v>33</v>
      </c>
      <c r="S4" s="7" t="s">
        <v>34</v>
      </c>
      <c r="T4" s="6"/>
      <c r="U4" s="6"/>
      <c r="V4" s="7" t="s">
        <v>34</v>
      </c>
      <c r="W4" s="6" t="s">
        <v>2887</v>
      </c>
      <c r="X4" s="7" t="s">
        <v>34</v>
      </c>
      <c r="Y4" s="13"/>
      <c r="Z4" s="7" t="s">
        <v>34</v>
      </c>
      <c r="AA4" s="6"/>
      <c r="AB4" s="6" t="s">
        <v>3768</v>
      </c>
      <c r="AC4" s="6" t="s">
        <v>39</v>
      </c>
    </row>
    <row r="5" ht="22.5" customHeight="1">
      <c r="A5" s="11" t="str">
        <f>REGEXEXTRACT(D5, "\d{4}\.\s(.*?)\.\sProc\. ACM")"),"ViSig: Automatic Interpretation of Visual Body Signals Using On-Body Sensors</f>
        <v xml:space="preserve">ViSig: Automatic Interpretation of Visual Body Signals Using On-Body Sensors</v>
      </c>
      <c r="B5" s="7">
        <f t="shared" si="88"/>
        <v>4</v>
      </c>
      <c r="C5" s="8" t="s">
        <v>3769</v>
      </c>
      <c r="D5" s="6" t="s">
        <v>3770</v>
      </c>
      <c r="E5" s="9">
        <v>46050</v>
      </c>
      <c r="F5" s="7">
        <v>2023</v>
      </c>
      <c r="G5" s="7" t="s">
        <v>1412</v>
      </c>
      <c r="H5" s="6" t="str">
        <f t="shared" si="89"/>
        <v>2023_Mar_004</v>
      </c>
      <c r="I5" s="12" t="str">
        <f t="shared" si="90"/>
        <v>https://doi.org/10.1145/3580797</v>
      </c>
      <c r="J5" s="7">
        <f>IF(D5:D46&lt;&gt;"", VALUE(REGEXEXTRACT(D5:D46, "(\d+)\s+pages")), )
</f>
        <v>27</v>
      </c>
      <c r="K5" s="6" t="s">
        <v>45</v>
      </c>
      <c r="L5" s="7" t="str">
        <f t="shared" si="91"/>
        <v>No</v>
      </c>
      <c r="M5" s="7" t="s">
        <v>33</v>
      </c>
      <c r="N5" s="7" t="s">
        <v>33</v>
      </c>
      <c r="O5" s="7" t="s">
        <v>34</v>
      </c>
      <c r="P5" s="6"/>
      <c r="Q5" s="6"/>
      <c r="R5" s="7" t="s">
        <v>33</v>
      </c>
      <c r="S5" s="7" t="s">
        <v>34</v>
      </c>
      <c r="T5" s="6"/>
      <c r="U5" s="6"/>
      <c r="V5" s="7" t="s">
        <v>33</v>
      </c>
      <c r="W5" s="6" t="s">
        <v>3771</v>
      </c>
      <c r="X5" s="7" t="s">
        <v>34</v>
      </c>
      <c r="Y5" s="13"/>
      <c r="Z5" s="7" t="s">
        <v>34</v>
      </c>
      <c r="AA5" s="6"/>
      <c r="AB5" s="6" t="s">
        <v>3772</v>
      </c>
      <c r="AC5" s="6" t="s">
        <v>39</v>
      </c>
    </row>
    <row r="6" ht="22.5" customHeight="1">
      <c r="A6" s="11" t="str">
        <f>REGEXEXTRACT(D6, "\d{4}\.\s(.*?)\.\sProc\. ACM")"),"DisPad: Flexible On-Body Displacement of Fabric Sensors for Robust Joint-Motion Tracking</f>
        <v xml:space="preserve">DisPad: Flexible On-Body Displacement of Fabric Sensors for Robust Joint-Motion Tracking</v>
      </c>
      <c r="B6" s="7">
        <f t="shared" si="88"/>
        <v>5</v>
      </c>
      <c r="C6" s="8" t="s">
        <v>3773</v>
      </c>
      <c r="D6" s="6" t="s">
        <v>3774</v>
      </c>
      <c r="E6" s="9">
        <v>46050</v>
      </c>
      <c r="F6" s="7">
        <v>2023</v>
      </c>
      <c r="G6" s="7" t="s">
        <v>1412</v>
      </c>
      <c r="H6" s="6" t="str">
        <f t="shared" si="89"/>
        <v>2023_Mar_005</v>
      </c>
      <c r="I6" s="12" t="str">
        <f t="shared" si="90"/>
        <v>https://doi.org/10.1145/3580832</v>
      </c>
      <c r="J6" s="7">
        <f>IF(D6:D46&lt;&gt;"", VALUE(REGEXEXTRACT(D6:D46, "(\d+)\s+pages")), )
</f>
        <v>27</v>
      </c>
      <c r="K6" s="6" t="s">
        <v>45</v>
      </c>
      <c r="L6" s="7" t="str">
        <f t="shared" si="91"/>
        <v>No</v>
      </c>
      <c r="M6" s="7" t="s">
        <v>34</v>
      </c>
      <c r="N6" s="7" t="s">
        <v>33</v>
      </c>
      <c r="O6" s="7" t="s">
        <v>34</v>
      </c>
      <c r="P6" s="6"/>
      <c r="Q6" s="6" t="s">
        <v>3775</v>
      </c>
      <c r="R6" s="7" t="s">
        <v>33</v>
      </c>
      <c r="S6" s="7" t="s">
        <v>34</v>
      </c>
      <c r="T6" s="6"/>
      <c r="U6" s="6" t="s">
        <v>3776</v>
      </c>
      <c r="V6" s="7" t="s">
        <v>33</v>
      </c>
      <c r="W6" s="6" t="s">
        <v>3777</v>
      </c>
      <c r="X6" s="7" t="s">
        <v>34</v>
      </c>
      <c r="Y6" s="13"/>
      <c r="Z6" s="7" t="s">
        <v>34</v>
      </c>
      <c r="AA6" s="6"/>
      <c r="AB6" s="6" t="s">
        <v>3778</v>
      </c>
      <c r="AC6" s="6" t="s">
        <v>39</v>
      </c>
    </row>
    <row r="7" ht="22.5" customHeight="1">
      <c r="A7" s="11" t="str">
        <f>REGEXEXTRACT(D7, "\d{4}\.\s(.*?)\.\sProc\. ACM")"),"AI-to-Human Actuation: Boosting Unmodified AI's Robustness by Proactively Inducing Favorable Human Sensing Conditions</f>
        <v xml:space="preserve">AI-to-Human Actuation: Boosting Unmodified AI's Robustness by Proactively Inducing Favorable Human Sensing Conditions</v>
      </c>
      <c r="B7" s="7">
        <f t="shared" si="88"/>
        <v>6</v>
      </c>
      <c r="C7" s="8" t="s">
        <v>3779</v>
      </c>
      <c r="D7" s="6" t="s">
        <v>3780</v>
      </c>
      <c r="E7" s="9">
        <v>46050</v>
      </c>
      <c r="F7" s="7">
        <v>2023</v>
      </c>
      <c r="G7" s="7" t="s">
        <v>1412</v>
      </c>
      <c r="H7" s="6" t="str">
        <f t="shared" si="89"/>
        <v>2023_Mar_006</v>
      </c>
      <c r="I7" s="12" t="str">
        <f t="shared" si="90"/>
        <v>https://doi.org/10.1145/3580812</v>
      </c>
      <c r="J7" s="7">
        <f>IF(D7:D46&lt;&gt;"", VALUE(REGEXEXTRACT(D7:D46, "(\d+)\s+pages")), )
</f>
        <v>32</v>
      </c>
      <c r="K7" s="6" t="s">
        <v>32</v>
      </c>
      <c r="L7" s="7" t="str">
        <f t="shared" si="91"/>
        <v>No</v>
      </c>
      <c r="M7" s="7" t="s">
        <v>34</v>
      </c>
      <c r="N7" s="7" t="s">
        <v>33</v>
      </c>
      <c r="O7" s="7" t="s">
        <v>34</v>
      </c>
      <c r="P7" s="6"/>
      <c r="Q7" s="6"/>
      <c r="R7" s="7" t="s">
        <v>34</v>
      </c>
      <c r="S7" s="7" t="s">
        <v>35</v>
      </c>
      <c r="T7" s="6"/>
      <c r="U7" s="6"/>
      <c r="V7" s="7" t="s">
        <v>33</v>
      </c>
      <c r="W7" s="6" t="s">
        <v>3781</v>
      </c>
      <c r="X7" s="7" t="s">
        <v>34</v>
      </c>
      <c r="Y7" s="13"/>
      <c r="Z7" s="7" t="s">
        <v>34</v>
      </c>
      <c r="AA7" s="6"/>
      <c r="AB7" s="6" t="s">
        <v>3782</v>
      </c>
      <c r="AC7" s="6" t="s">
        <v>39</v>
      </c>
    </row>
    <row r="8" ht="22.5" customHeight="1">
      <c r="A8" s="11" t="str">
        <f>REGEXEXTRACT(D8, "\d{4}\.\s(.*?)\.\sProc\. ACM")"),"Behavior Modeling Approach for Forecasting Physical Functioning of People with Multiple Sclerosis</f>
        <v xml:space="preserve">Behavior Modeling Approach for Forecasting Physical Functioning of People with Multiple Sclerosis</v>
      </c>
      <c r="B8" s="7">
        <f t="shared" si="88"/>
        <v>7</v>
      </c>
      <c r="C8" s="8" t="s">
        <v>3783</v>
      </c>
      <c r="D8" s="6" t="s">
        <v>3784</v>
      </c>
      <c r="E8" s="9">
        <v>46050</v>
      </c>
      <c r="F8" s="7">
        <v>2023</v>
      </c>
      <c r="G8" s="7" t="s">
        <v>1412</v>
      </c>
      <c r="H8" s="6" t="str">
        <f t="shared" si="89"/>
        <v>2023_Mar_007</v>
      </c>
      <c r="I8" s="12" t="str">
        <f t="shared" si="90"/>
        <v>https://doi.org/10.1145/3580887</v>
      </c>
      <c r="J8" s="7">
        <f>IF(D8:D46&lt;&gt;"", VALUE(REGEXEXTRACT(D8:D46, "(\d+)\s+pages")), )
</f>
        <v>29</v>
      </c>
      <c r="K8" s="6" t="s">
        <v>71</v>
      </c>
      <c r="L8" s="7" t="str">
        <f t="shared" si="91"/>
        <v>No</v>
      </c>
      <c r="M8" s="7" t="s">
        <v>34</v>
      </c>
      <c r="N8" s="7" t="s">
        <v>33</v>
      </c>
      <c r="O8" s="7" t="s">
        <v>34</v>
      </c>
      <c r="P8" s="6"/>
      <c r="Q8" s="6"/>
      <c r="R8" s="7" t="s">
        <v>33</v>
      </c>
      <c r="S8" s="7" t="s">
        <v>33</v>
      </c>
      <c r="T8" s="6"/>
      <c r="U8" s="6" t="s">
        <v>3785</v>
      </c>
      <c r="V8" s="7" t="s">
        <v>34</v>
      </c>
      <c r="W8" s="6"/>
      <c r="X8" s="7" t="s">
        <v>34</v>
      </c>
      <c r="Y8" s="13"/>
      <c r="Z8" s="7" t="s">
        <v>34</v>
      </c>
      <c r="AA8" s="6"/>
      <c r="AB8" s="6" t="s">
        <v>3786</v>
      </c>
      <c r="AC8" s="6" t="s">
        <v>39</v>
      </c>
    </row>
    <row r="9" ht="22.5" customHeight="1">
      <c r="A9" s="11" t="str">
        <f>REGEXEXTRACT(D9, "\d{4}\.\s(.*?)\.\sProc\. ACM")"),"RoVaR: Robust Multi-agent Tracking through Dual-layer Diversity in Visual and RF Sensing</f>
        <v xml:space="preserve">RoVaR: Robust Multi-agent Tracking through Dual-layer Diversity in Visual and RF Sensing</v>
      </c>
      <c r="B9" s="7">
        <f t="shared" si="88"/>
        <v>8</v>
      </c>
      <c r="C9" s="8" t="s">
        <v>3787</v>
      </c>
      <c r="D9" s="6" t="s">
        <v>3788</v>
      </c>
      <c r="E9" s="9">
        <v>46050</v>
      </c>
      <c r="F9" s="7">
        <v>2023</v>
      </c>
      <c r="G9" s="7" t="s">
        <v>1412</v>
      </c>
      <c r="H9" s="6" t="str">
        <f t="shared" si="89"/>
        <v>2023_Mar_008</v>
      </c>
      <c r="I9" s="12" t="str">
        <f t="shared" si="90"/>
        <v>https://doi.org/10.1145/3580854</v>
      </c>
      <c r="J9" s="7">
        <f>IF(D9:D46&lt;&gt;"", VALUE(REGEXEXTRACT(D9:D46, "(\d+)\s+pages")), )
</f>
        <v>25</v>
      </c>
      <c r="K9" s="6" t="s">
        <v>45</v>
      </c>
      <c r="L9" s="7" t="str">
        <f t="shared" si="91"/>
        <v>No</v>
      </c>
      <c r="M9" s="7" t="s">
        <v>34</v>
      </c>
      <c r="N9" s="7" t="s">
        <v>33</v>
      </c>
      <c r="O9" s="7" t="s">
        <v>34</v>
      </c>
      <c r="P9" s="6"/>
      <c r="Q9" s="6"/>
      <c r="R9" s="7" t="s">
        <v>33</v>
      </c>
      <c r="S9" s="7" t="s">
        <v>34</v>
      </c>
      <c r="T9" s="10" t="s">
        <v>3789</v>
      </c>
      <c r="U9" s="6" t="s">
        <v>3790</v>
      </c>
      <c r="V9" s="7" t="s">
        <v>33</v>
      </c>
      <c r="W9" s="6" t="s">
        <v>3791</v>
      </c>
      <c r="X9" s="7" t="s">
        <v>34</v>
      </c>
      <c r="Y9" s="13"/>
      <c r="Z9" s="7" t="s">
        <v>34</v>
      </c>
      <c r="AA9" s="6"/>
      <c r="AB9" s="6" t="s">
        <v>3792</v>
      </c>
      <c r="AC9" s="6" t="s">
        <v>39</v>
      </c>
    </row>
    <row r="10" ht="22.5" customHeight="1">
      <c r="A10" s="11" t="str">
        <f>REGEXEXTRACT(D10, "\d{4}\.\s(.*?)\.\sProc\. ACM")"),"Midas: Generating mmWave Radar Data from Videos for Training Pervasive and Privacy-preserving Human Sensing Tasks</f>
        <v xml:space="preserve">Midas: Generating mmWave Radar Data from Videos for Training Pervasive and Privacy-preserving Human Sensing Tasks</v>
      </c>
      <c r="B10" s="7">
        <f t="shared" ref="B10:B46" si="92">IFERROR(VALUE(REGEXEXTRACT(D10,"Article\s+(\d+)")),"")
</f>
        <v>9</v>
      </c>
      <c r="C10" s="8" t="s">
        <v>3793</v>
      </c>
      <c r="D10" s="6" t="s">
        <v>3794</v>
      </c>
      <c r="E10" s="9">
        <v>46050</v>
      </c>
      <c r="F10" s="7">
        <v>2023</v>
      </c>
      <c r="G10" s="7" t="s">
        <v>1412</v>
      </c>
      <c r="H10" s="6" t="str">
        <f t="shared" si="89"/>
        <v>2023_Mar_009</v>
      </c>
      <c r="I10" s="12" t="str">
        <f t="shared" si="90"/>
        <v>https://doi.org/10.1145/3580872</v>
      </c>
      <c r="J10" s="7">
        <f>IF(D10:D46&lt;&gt;"", VALUE(REGEXEXTRACT(D10:D46, "(\d+)\s+pages")), )
</f>
        <v>26</v>
      </c>
      <c r="K10" s="6" t="s">
        <v>45</v>
      </c>
      <c r="L10" s="7" t="str">
        <f t="shared" ref="L10:L46" si="93">IF(REGEXMATCH(LOWER($A10),"(^|[^a-z])dataset(s)?([^a-z]|$)"),"Yes","No")"),"No</f>
        <v>No</v>
      </c>
      <c r="M10" s="7" t="s">
        <v>34</v>
      </c>
      <c r="N10" s="7" t="s">
        <v>33</v>
      </c>
      <c r="O10" s="7" t="s">
        <v>33</v>
      </c>
      <c r="P10" s="10" t="s">
        <v>3795</v>
      </c>
      <c r="Q10" s="6"/>
      <c r="R10" s="7" t="s">
        <v>33</v>
      </c>
      <c r="S10" s="7" t="s">
        <v>33</v>
      </c>
      <c r="T10" s="10" t="s">
        <v>3795</v>
      </c>
      <c r="U10" s="6"/>
      <c r="V10" s="7" t="s">
        <v>33</v>
      </c>
      <c r="W10" s="6" t="s">
        <v>3796</v>
      </c>
      <c r="X10" s="7" t="s">
        <v>34</v>
      </c>
      <c r="Y10" s="13"/>
      <c r="Z10" s="7" t="s">
        <v>144</v>
      </c>
      <c r="AA10" s="6" t="s">
        <v>3797</v>
      </c>
      <c r="AB10" s="6" t="s">
        <v>3798</v>
      </c>
      <c r="AC10" s="6" t="s">
        <v>39</v>
      </c>
    </row>
    <row r="11" ht="22.5" customHeight="1">
      <c r="A11" s="11" t="str">
        <f>REGEXEXTRACT(D11, "\d{4}\.\s(.*?)\.\sProc\. ACM")"),"MI-Mesh: 3D Human Mesh Construction by Fusing Image and Millimeter Wave</f>
        <v xml:space="preserve">MI-Mesh: 3D Human Mesh Construction by Fusing Image and Millimeter Wave</v>
      </c>
      <c r="B11" s="7">
        <f t="shared" si="92"/>
        <v>10</v>
      </c>
      <c r="C11" s="8" t="s">
        <v>3799</v>
      </c>
      <c r="D11" s="6" t="s">
        <v>3800</v>
      </c>
      <c r="E11" s="9">
        <v>46055</v>
      </c>
      <c r="F11" s="7">
        <v>2023</v>
      </c>
      <c r="G11" s="7" t="s">
        <v>1412</v>
      </c>
      <c r="H11" s="6" t="str">
        <f t="shared" si="89"/>
        <v>2023_Mar_010</v>
      </c>
      <c r="I11" s="12" t="str">
        <f t="shared" si="90"/>
        <v>https://doi.org/10.1145/3580861</v>
      </c>
      <c r="J11" s="7">
        <f>IF(D11:D46&lt;&gt;"", VALUE(REGEXEXTRACT(D11:D46, "(\d+)\s+pages")), )
</f>
        <v>24</v>
      </c>
      <c r="K11" s="6" t="s">
        <v>45</v>
      </c>
      <c r="L11" s="7" t="str">
        <f t="shared" si="93"/>
        <v>No</v>
      </c>
      <c r="M11" s="7" t="s">
        <v>34</v>
      </c>
      <c r="N11" s="7" t="s">
        <v>33</v>
      </c>
      <c r="O11" s="7" t="s">
        <v>34</v>
      </c>
      <c r="P11" s="6"/>
      <c r="Q11" s="6" t="s">
        <v>113</v>
      </c>
      <c r="R11" s="7" t="s">
        <v>33</v>
      </c>
      <c r="S11" s="7" t="s">
        <v>34</v>
      </c>
      <c r="T11" s="6"/>
      <c r="U11" s="6"/>
      <c r="V11" s="7" t="s">
        <v>33</v>
      </c>
      <c r="W11" s="6" t="s">
        <v>3801</v>
      </c>
      <c r="X11" s="7" t="s">
        <v>34</v>
      </c>
      <c r="Y11" s="13"/>
      <c r="Z11" s="7" t="s">
        <v>34</v>
      </c>
      <c r="AA11" s="6"/>
      <c r="AB11" s="6" t="s">
        <v>3802</v>
      </c>
      <c r="AC11" s="6" t="s">
        <v>39</v>
      </c>
    </row>
    <row r="12" ht="22.5" customHeight="1">
      <c r="A12" s="11" t="str">
        <f>REGEXEXTRACT(D12, "\d{4}\.\s(.*?)\.\sProc\. ACM")"),"Soil Moisture Sensing with UAV-Mounted IR-UWB Radar and Deep Learning</f>
        <v xml:space="preserve">Soil Moisture Sensing with UAV-Mounted IR-UWB Radar and Deep Learning</v>
      </c>
      <c r="B12" s="7">
        <f t="shared" si="92"/>
        <v>11</v>
      </c>
      <c r="C12" s="8" t="s">
        <v>3803</v>
      </c>
      <c r="D12" s="6" t="s">
        <v>3804</v>
      </c>
      <c r="E12" s="9">
        <v>46055</v>
      </c>
      <c r="F12" s="7">
        <v>2023</v>
      </c>
      <c r="G12" s="7" t="s">
        <v>1412</v>
      </c>
      <c r="H12" s="6" t="str">
        <f t="shared" si="89"/>
        <v>2023_Mar_011</v>
      </c>
      <c r="I12" s="12" t="str">
        <f t="shared" si="90"/>
        <v>https://doi.org/10.1145/3580867</v>
      </c>
      <c r="J12" s="7">
        <f>IF(D12:D46&lt;&gt;"", VALUE(REGEXEXTRACT(D12:D46, "(\d+)\s+pages")), )
</f>
        <v>25</v>
      </c>
      <c r="K12" s="6" t="s">
        <v>45</v>
      </c>
      <c r="L12" s="7" t="str">
        <f t="shared" si="93"/>
        <v>No</v>
      </c>
      <c r="M12" s="7" t="s">
        <v>34</v>
      </c>
      <c r="N12" s="7" t="s">
        <v>33</v>
      </c>
      <c r="O12" s="7" t="s">
        <v>34</v>
      </c>
      <c r="P12" s="6"/>
      <c r="Q12" s="6"/>
      <c r="R12" s="7" t="s">
        <v>33</v>
      </c>
      <c r="S12" s="7" t="s">
        <v>34</v>
      </c>
      <c r="T12" s="6"/>
      <c r="U12" s="6"/>
      <c r="V12" s="7" t="s">
        <v>33</v>
      </c>
      <c r="W12" s="6" t="s">
        <v>3805</v>
      </c>
      <c r="X12" s="7" t="s">
        <v>33</v>
      </c>
      <c r="Y12" s="6" t="s">
        <v>152</v>
      </c>
      <c r="Z12" s="7" t="s">
        <v>34</v>
      </c>
      <c r="AA12" s="6"/>
      <c r="AB12" s="6" t="s">
        <v>3806</v>
      </c>
      <c r="AC12" s="6" t="s">
        <v>39</v>
      </c>
    </row>
    <row r="13" ht="22.5" customHeight="1">
      <c r="A13" s="11" t="str">
        <f>REGEXEXTRACT(D13, "\d{4}\.\s(.*?)\.\sProc\. ACM")"),"Real-time Context-Aware Multimodal Network for Activity and Activity-Stage Recognition from Team Communication in Dynamic Clinical Settings</f>
        <v xml:space="preserve">Real-time Context-Aware Multimodal Network for Activity and Activity-Stage Recognition from Team Communication in Dynamic Clinical Settings</v>
      </c>
      <c r="B13" s="7">
        <f t="shared" si="92"/>
        <v>12</v>
      </c>
      <c r="C13" s="8" t="s">
        <v>3807</v>
      </c>
      <c r="D13" s="6" t="s">
        <v>3808</v>
      </c>
      <c r="E13" s="9">
        <v>46056</v>
      </c>
      <c r="F13" s="7">
        <v>2023</v>
      </c>
      <c r="G13" s="7" t="s">
        <v>1412</v>
      </c>
      <c r="H13" s="6" t="str">
        <f t="shared" si="89"/>
        <v>2023_Mar_012</v>
      </c>
      <c r="I13" s="12" t="str">
        <f t="shared" si="90"/>
        <v>https://doi.org/10.1145/3580798</v>
      </c>
      <c r="J13" s="7">
        <f>IF(D13:D46&lt;&gt;"", VALUE(REGEXEXTRACT(D13:D46, "(\d+)\s+pages")), )
</f>
        <v>28</v>
      </c>
      <c r="K13" s="6" t="s">
        <v>243</v>
      </c>
      <c r="L13" s="7" t="str">
        <f t="shared" si="93"/>
        <v>No</v>
      </c>
      <c r="M13" s="7" t="s">
        <v>34</v>
      </c>
      <c r="N13" s="7" t="s">
        <v>33</v>
      </c>
      <c r="O13" s="7" t="s">
        <v>34</v>
      </c>
      <c r="P13" s="6"/>
      <c r="Q13" s="6"/>
      <c r="R13" s="7" t="s">
        <v>33</v>
      </c>
      <c r="S13" s="7" t="s">
        <v>34</v>
      </c>
      <c r="T13" s="6"/>
      <c r="U13" s="6"/>
      <c r="V13" s="7" t="s">
        <v>34</v>
      </c>
      <c r="W13" s="6"/>
      <c r="X13" s="7" t="s">
        <v>34</v>
      </c>
      <c r="Y13" s="13"/>
      <c r="Z13" s="7" t="s">
        <v>34</v>
      </c>
      <c r="AA13" s="6"/>
      <c r="AB13" s="6" t="s">
        <v>3809</v>
      </c>
      <c r="AC13" s="6" t="s">
        <v>39</v>
      </c>
    </row>
    <row r="14" ht="22.5" customHeight="1">
      <c r="A14" s="11" t="str">
        <f>REGEXEXTRACT(D14, "\d{4}\.\s(.*?)\.\sProc\. ACM")"),"ForceSticker: Wireless, Batteryless, Thin &amp;amp; Flexible Force Sensors</f>
        <v xml:space="preserve">ForceSticker: Wireless, Batteryless, Thin &amp;amp; Flexible Force Sensors</v>
      </c>
      <c r="B14" s="7">
        <f t="shared" si="92"/>
        <v>13</v>
      </c>
      <c r="C14" s="8" t="s">
        <v>3810</v>
      </c>
      <c r="D14" s="6" t="s">
        <v>3811</v>
      </c>
      <c r="E14" s="9">
        <v>46056</v>
      </c>
      <c r="F14" s="7">
        <v>2023</v>
      </c>
      <c r="G14" s="7" t="s">
        <v>1412</v>
      </c>
      <c r="H14" s="6" t="str">
        <f t="shared" si="89"/>
        <v>2023_Mar_013</v>
      </c>
      <c r="I14" s="12" t="str">
        <f t="shared" si="90"/>
        <v>https://doi.org/10.1145/3580793</v>
      </c>
      <c r="J14" s="7">
        <f>IF(D14:D46&lt;&gt;"", VALUE(REGEXEXTRACT(D14:D46, "(\d+)\s+pages")), )
</f>
        <v>32</v>
      </c>
      <c r="K14" s="6" t="s">
        <v>45</v>
      </c>
      <c r="L14" s="7" t="str">
        <f t="shared" si="93"/>
        <v>No</v>
      </c>
      <c r="M14" s="7" t="s">
        <v>33</v>
      </c>
      <c r="N14" s="7" t="s">
        <v>33</v>
      </c>
      <c r="O14" s="7" t="s">
        <v>34</v>
      </c>
      <c r="P14" s="6"/>
      <c r="Q14" s="6"/>
      <c r="R14" s="7" t="s">
        <v>34</v>
      </c>
      <c r="S14" s="7" t="s">
        <v>35</v>
      </c>
      <c r="T14" s="6"/>
      <c r="U14" s="6"/>
      <c r="V14" s="7" t="s">
        <v>33</v>
      </c>
      <c r="W14" s="6" t="s">
        <v>3812</v>
      </c>
      <c r="X14" s="7" t="s">
        <v>34</v>
      </c>
      <c r="Y14" s="13"/>
      <c r="Z14" s="7" t="s">
        <v>34</v>
      </c>
      <c r="AA14" s="6"/>
      <c r="AB14" s="6" t="s">
        <v>3813</v>
      </c>
      <c r="AC14" s="6" t="s">
        <v>39</v>
      </c>
    </row>
    <row r="15" ht="22.5" customHeight="1">
      <c r="A15" s="11" t="str">
        <f>REGEXEXTRACT(D15, "\d{4}\.\s(.*?)\.\sProc\. ACM")"),"Feeling the Temperature of the Room: Unobtrusive Thermal Display of Engagement during Group Communication</f>
        <v xml:space="preserve">Feeling the Temperature of the Room: Unobtrusive Thermal Display of Engagement during Group Communication</v>
      </c>
      <c r="B15" s="7">
        <f t="shared" si="92"/>
        <v>14</v>
      </c>
      <c r="C15" s="8" t="s">
        <v>3814</v>
      </c>
      <c r="D15" s="6" t="s">
        <v>3815</v>
      </c>
      <c r="E15" s="9">
        <v>46056</v>
      </c>
      <c r="F15" s="7">
        <v>2023</v>
      </c>
      <c r="G15" s="7" t="s">
        <v>1412</v>
      </c>
      <c r="H15" s="6" t="str">
        <f t="shared" si="89"/>
        <v>2023_Mar_014</v>
      </c>
      <c r="I15" s="12" t="str">
        <f t="shared" si="90"/>
        <v>https://doi.org/10.1145/3580820</v>
      </c>
      <c r="J15" s="7">
        <f>IF(D15:D46&lt;&gt;"", VALUE(REGEXEXTRACT(D15:D46, "(\d+)\s+pages")), )
</f>
        <v>21</v>
      </c>
      <c r="K15" s="6" t="s">
        <v>42</v>
      </c>
      <c r="L15" s="7" t="str">
        <f t="shared" si="93"/>
        <v>No</v>
      </c>
      <c r="M15" s="7" t="s">
        <v>33</v>
      </c>
      <c r="N15" s="7" t="s">
        <v>34</v>
      </c>
      <c r="O15" s="7" t="s">
        <v>35</v>
      </c>
      <c r="P15" s="6"/>
      <c r="Q15" s="6"/>
      <c r="R15" s="7" t="s">
        <v>34</v>
      </c>
      <c r="S15" s="7" t="s">
        <v>35</v>
      </c>
      <c r="T15" s="6"/>
      <c r="U15" s="6"/>
      <c r="V15" s="7" t="s">
        <v>35</v>
      </c>
      <c r="W15" s="6"/>
      <c r="X15" s="7" t="s">
        <v>35</v>
      </c>
      <c r="Y15" s="13"/>
      <c r="Z15" s="7" t="s">
        <v>35</v>
      </c>
      <c r="AA15" s="6"/>
      <c r="AB15" s="6"/>
      <c r="AC15" s="6" t="s">
        <v>39</v>
      </c>
    </row>
    <row r="16" ht="22.5" customHeight="1">
      <c r="A16" s="14" t="str">
        <f>REGEXEXTRACT(D16, "\d{4}\.\s(.*?)\.\sProc\. ACM")"),"BabyNutri: A Cost-Effective Baby Food Macronutrients Analyzer Based on Spectral Reconstruction</f>
        <v xml:space="preserve">BabyNutri: A Cost-Effective Baby Food Macronutrients Analyzer Based on Spectral Reconstruction</v>
      </c>
      <c r="B16" s="15">
        <f t="shared" si="92"/>
        <v>15</v>
      </c>
      <c r="C16" s="16" t="s">
        <v>3816</v>
      </c>
      <c r="D16" s="17" t="s">
        <v>3817</v>
      </c>
      <c r="E16" s="18">
        <v>46057</v>
      </c>
      <c r="F16" s="15">
        <v>2023</v>
      </c>
      <c r="G16" s="15" t="s">
        <v>1412</v>
      </c>
      <c r="H16" s="17" t="str">
        <f t="shared" si="89"/>
        <v>2023_Mar_015</v>
      </c>
      <c r="I16" s="19" t="str">
        <f t="shared" si="90"/>
        <v>https://doi.org/10.1145/3580858</v>
      </c>
      <c r="J16" s="15">
        <f>IF(D16:D46&lt;&gt;"", VALUE(REGEXEXTRACT(D16:D46, "(\d+)\s+pages")), )
</f>
        <v>30</v>
      </c>
      <c r="K16" s="17" t="s">
        <v>45</v>
      </c>
      <c r="L16" s="15" t="str">
        <f t="shared" si="93"/>
        <v>No</v>
      </c>
      <c r="M16" s="15" t="s">
        <v>34</v>
      </c>
      <c r="N16" s="15" t="s">
        <v>33</v>
      </c>
      <c r="O16" s="15" t="s">
        <v>34</v>
      </c>
      <c r="P16" s="17"/>
      <c r="Q16" s="17"/>
      <c r="R16" s="15" t="s">
        <v>33</v>
      </c>
      <c r="S16" s="15" t="s">
        <v>34</v>
      </c>
      <c r="T16" s="17"/>
      <c r="U16" s="17"/>
      <c r="V16" s="15" t="s">
        <v>33</v>
      </c>
      <c r="W16" s="17" t="s">
        <v>3818</v>
      </c>
      <c r="X16" s="15" t="s">
        <v>34</v>
      </c>
      <c r="Y16" s="20"/>
      <c r="Z16" s="15" t="s">
        <v>34</v>
      </c>
      <c r="AA16" s="17"/>
      <c r="AB16" s="17" t="s">
        <v>3819</v>
      </c>
      <c r="AC16" s="17" t="s">
        <v>39</v>
      </c>
    </row>
    <row r="17" ht="22.5" customHeight="1">
      <c r="A17" s="11" t="str">
        <f>REGEXEXTRACT(D17, "\d{4}\.\s(.*?)\.\sProc\. ACM")"),"NF-Heart: A Near-field Non-contact Continuous User Authentication System via Ballistocardiogram</f>
        <v xml:space="preserve">NF-Heart: A Near-field Non-contact Continuous User Authentication System via Ballistocardiogram</v>
      </c>
      <c r="B17" s="7">
        <f t="shared" si="92"/>
        <v>16</v>
      </c>
      <c r="C17" s="8" t="s">
        <v>3820</v>
      </c>
      <c r="D17" s="6" t="s">
        <v>3821</v>
      </c>
      <c r="E17" s="9">
        <v>46112</v>
      </c>
      <c r="F17" s="7">
        <v>2023</v>
      </c>
      <c r="G17" s="7" t="s">
        <v>1412</v>
      </c>
      <c r="H17" s="6" t="str">
        <f t="shared" si="89"/>
        <v>2023_Mar_016</v>
      </c>
      <c r="I17" s="12" t="str">
        <f t="shared" si="90"/>
        <v>https://doi.org/10.1145/3580851</v>
      </c>
      <c r="J17" s="7">
        <f>IF(D17:D46&lt;&gt;"", VALUE(REGEXEXTRACT(D17:D46, "(\d+)\s+pages")), )
</f>
        <v>24</v>
      </c>
      <c r="K17" s="6" t="s">
        <v>348</v>
      </c>
      <c r="L17" s="7" t="str">
        <f t="shared" si="93"/>
        <v>No</v>
      </c>
      <c r="M17" s="7" t="s">
        <v>34</v>
      </c>
      <c r="N17" s="7" t="s">
        <v>33</v>
      </c>
      <c r="O17" s="7" t="s">
        <v>34</v>
      </c>
      <c r="P17" s="6"/>
      <c r="Q17" s="6"/>
      <c r="R17" s="7" t="s">
        <v>33</v>
      </c>
      <c r="S17" s="7" t="s">
        <v>34</v>
      </c>
      <c r="T17" s="6"/>
      <c r="U17" s="6"/>
      <c r="V17" s="7" t="s">
        <v>33</v>
      </c>
      <c r="W17" s="6" t="s">
        <v>3822</v>
      </c>
      <c r="X17" s="7" t="s">
        <v>33</v>
      </c>
      <c r="Y17" s="6" t="s">
        <v>3823</v>
      </c>
      <c r="Z17" s="7" t="s">
        <v>34</v>
      </c>
      <c r="AA17" s="6"/>
      <c r="AB17" s="6" t="s">
        <v>3824</v>
      </c>
      <c r="AC17" s="6" t="s">
        <v>181</v>
      </c>
    </row>
    <row r="18" ht="22.5" customHeight="1">
      <c r="A18" s="11" t="str">
        <f>REGEXEXTRACT(D18, "\d{4}\.\s(.*?)\.\sProc\. ACM")"),"X-CHAR: A Concept-based Explainable Complex Human Activity Recognition Model</f>
        <v xml:space="preserve">X-CHAR: A Concept-based Explainable Complex Human Activity Recognition Model</v>
      </c>
      <c r="B18" s="7">
        <f t="shared" si="92"/>
        <v>17</v>
      </c>
      <c r="C18" s="8" t="s">
        <v>3825</v>
      </c>
      <c r="D18" s="6" t="s">
        <v>3826</v>
      </c>
      <c r="E18" s="9">
        <v>46112</v>
      </c>
      <c r="F18" s="7">
        <v>2023</v>
      </c>
      <c r="G18" s="7" t="s">
        <v>1412</v>
      </c>
      <c r="H18" s="6" t="str">
        <f t="shared" si="89"/>
        <v>2023_Mar_017</v>
      </c>
      <c r="I18" s="12" t="str">
        <f t="shared" si="90"/>
        <v>https://doi.org/10.1145/3580804</v>
      </c>
      <c r="J18" s="7">
        <f>IF(D18:D46&lt;&gt;"", VALUE(REGEXEXTRACT(D18:D46, "(\d+)\s+pages")), )
</f>
        <v>28</v>
      </c>
      <c r="K18" s="6" t="s">
        <v>133</v>
      </c>
      <c r="L18" s="7" t="str">
        <f t="shared" si="93"/>
        <v>No</v>
      </c>
      <c r="M18" s="7" t="s">
        <v>33</v>
      </c>
      <c r="N18" s="7" t="s">
        <v>33</v>
      </c>
      <c r="O18" s="7" t="s">
        <v>34</v>
      </c>
      <c r="P18" s="6"/>
      <c r="Q18" s="6"/>
      <c r="R18" s="7" t="s">
        <v>33</v>
      </c>
      <c r="S18" s="7" t="s">
        <v>34</v>
      </c>
      <c r="T18" s="6"/>
      <c r="U18" s="6" t="s">
        <v>3827</v>
      </c>
      <c r="V18" s="7" t="s">
        <v>34</v>
      </c>
      <c r="W18" s="6" t="s">
        <v>3828</v>
      </c>
      <c r="X18" s="7" t="s">
        <v>33</v>
      </c>
      <c r="Y18" s="6" t="s">
        <v>3829</v>
      </c>
      <c r="Z18" s="7" t="s">
        <v>34</v>
      </c>
      <c r="AA18" s="6"/>
      <c r="AB18" s="6" t="s">
        <v>3830</v>
      </c>
      <c r="AC18" s="6" t="s">
        <v>181</v>
      </c>
    </row>
    <row r="19" ht="22.5" customHeight="1">
      <c r="A19" s="11" t="str">
        <f>REGEXEXTRACT(D19, "\d{4}\.\s(.*?)\.\sProc\. ACM")"),"A Data-Driven Context-Aware Health Inference System for Children during School Closures</f>
        <v xml:space="preserve">A Data-Driven Context-Aware Health Inference System for Children during School Closures</v>
      </c>
      <c r="B19" s="7">
        <f t="shared" si="92"/>
        <v>18</v>
      </c>
      <c r="C19" s="8" t="s">
        <v>3831</v>
      </c>
      <c r="D19" s="6" t="s">
        <v>3832</v>
      </c>
      <c r="E19" s="9">
        <v>46112</v>
      </c>
      <c r="F19" s="7">
        <v>2023</v>
      </c>
      <c r="G19" s="7" t="s">
        <v>1412</v>
      </c>
      <c r="H19" s="6" t="str">
        <f t="shared" si="89"/>
        <v>2023_Mar_018</v>
      </c>
      <c r="I19" s="12" t="str">
        <f t="shared" si="90"/>
        <v>https://doi.org/10.1145/3580800</v>
      </c>
      <c r="J19" s="7">
        <f>IF(D19:D46&lt;&gt;"", VALUE(REGEXEXTRACT(D19:D46, "(\d+)\s+pages")), )
</f>
        <v>26</v>
      </c>
      <c r="K19" s="6" t="s">
        <v>133</v>
      </c>
      <c r="L19" s="7" t="str">
        <f t="shared" si="93"/>
        <v>No</v>
      </c>
      <c r="M19" s="7" t="s">
        <v>34</v>
      </c>
      <c r="N19" s="7" t="s">
        <v>33</v>
      </c>
      <c r="O19" s="7" t="s">
        <v>34</v>
      </c>
      <c r="P19" s="6"/>
      <c r="Q19" s="6"/>
      <c r="R19" s="7" t="s">
        <v>33</v>
      </c>
      <c r="S19" s="7" t="s">
        <v>34</v>
      </c>
      <c r="T19" s="6"/>
      <c r="U19" s="6" t="s">
        <v>3833</v>
      </c>
      <c r="V19" s="7" t="s">
        <v>33</v>
      </c>
      <c r="W19" s="6" t="s">
        <v>3834</v>
      </c>
      <c r="X19" s="7" t="s">
        <v>33</v>
      </c>
      <c r="Y19" s="6" t="s">
        <v>3835</v>
      </c>
      <c r="Z19" s="7" t="s">
        <v>34</v>
      </c>
      <c r="AA19" s="6"/>
      <c r="AB19" s="6" t="s">
        <v>3836</v>
      </c>
      <c r="AC19" s="6" t="s">
        <v>181</v>
      </c>
    </row>
    <row r="20" ht="22.5" customHeight="1">
      <c r="A20" s="11" t="str">
        <f>REGEXEXTRACT(D20, "\d{4}\.\s(.*?)\.\sProc\. ACM")"),"Individualized Tracking of Neurocognitive-State-Dependent Eye-Movement Features Using Mobile Devices</f>
        <v xml:space="preserve">Individualized Tracking of Neurocognitive-State-Dependent Eye-Movement Features Using Mobile Devices</v>
      </c>
      <c r="B20" s="7">
        <f t="shared" si="92"/>
        <v>19</v>
      </c>
      <c r="C20" s="8" t="s">
        <v>3837</v>
      </c>
      <c r="D20" s="6" t="s">
        <v>3838</v>
      </c>
      <c r="E20" s="9">
        <v>46112</v>
      </c>
      <c r="F20" s="7">
        <v>2023</v>
      </c>
      <c r="G20" s="7" t="s">
        <v>1412</v>
      </c>
      <c r="H20" s="6" t="str">
        <f t="shared" si="89"/>
        <v>2023_Mar_019</v>
      </c>
      <c r="I20" s="12" t="str">
        <f t="shared" si="90"/>
        <v>https://doi.org/10.1145/3580843</v>
      </c>
      <c r="J20" s="7">
        <f>IF(D20:D46&lt;&gt;"", VALUE(REGEXEXTRACT(D20:D46, "(\d+)\s+pages")), )
</f>
        <v>23</v>
      </c>
      <c r="K20" s="6" t="s">
        <v>133</v>
      </c>
      <c r="L20" s="7" t="str">
        <f t="shared" si="93"/>
        <v>No</v>
      </c>
      <c r="M20" s="7" t="s">
        <v>34</v>
      </c>
      <c r="N20" s="7" t="s">
        <v>33</v>
      </c>
      <c r="O20" s="7" t="s">
        <v>34</v>
      </c>
      <c r="P20" s="6"/>
      <c r="Q20" s="6"/>
      <c r="R20" s="7" t="s">
        <v>33</v>
      </c>
      <c r="S20" s="7" t="s">
        <v>34</v>
      </c>
      <c r="T20" s="6"/>
      <c r="U20" s="6"/>
      <c r="V20" s="7" t="s">
        <v>34</v>
      </c>
      <c r="W20" s="6" t="s">
        <v>3839</v>
      </c>
      <c r="X20" s="7" t="s">
        <v>33</v>
      </c>
      <c r="Y20" s="6" t="s">
        <v>3840</v>
      </c>
      <c r="Z20" s="7" t="s">
        <v>34</v>
      </c>
      <c r="AA20" s="6"/>
      <c r="AB20" s="6" t="s">
        <v>3841</v>
      </c>
      <c r="AC20" s="6" t="s">
        <v>181</v>
      </c>
    </row>
    <row r="21" ht="22.5" customHeight="1">
      <c r="A21" s="11" t="str">
        <f>REGEXEXTRACT(D21, "\d{4}\.\s(.*?)\.\sProc\. ACM")"),"Hierarchical Clustering-based Personalized Federated Learning for Robust and Fair Human Activity Recognition</f>
        <v xml:space="preserve">Hierarchical Clustering-based Personalized Federated Learning for Robust and Fair Human Activity Recognition</v>
      </c>
      <c r="B21" s="7">
        <f t="shared" si="92"/>
        <v>20</v>
      </c>
      <c r="C21" s="8" t="s">
        <v>3842</v>
      </c>
      <c r="D21" s="6" t="s">
        <v>3843</v>
      </c>
      <c r="E21" s="9">
        <v>46113</v>
      </c>
      <c r="F21" s="7">
        <v>2023</v>
      </c>
      <c r="G21" s="7" t="s">
        <v>1412</v>
      </c>
      <c r="H21" s="6" t="str">
        <f t="shared" si="89"/>
        <v>2023_Mar_020</v>
      </c>
      <c r="I21" s="12" t="str">
        <f t="shared" si="90"/>
        <v>https://doi.org/10.1145/3580795</v>
      </c>
      <c r="J21" s="7">
        <f>IF(D21:D46&lt;&gt;"", VALUE(REGEXEXTRACT(D21:D46, "(\d+)\s+pages")), )
</f>
        <v>38</v>
      </c>
      <c r="K21" s="6" t="s">
        <v>64</v>
      </c>
      <c r="L21" s="7" t="str">
        <f t="shared" si="93"/>
        <v>No</v>
      </c>
      <c r="M21" s="7" t="s">
        <v>34</v>
      </c>
      <c r="N21" s="7" t="s">
        <v>33</v>
      </c>
      <c r="O21" s="7" t="s">
        <v>33</v>
      </c>
      <c r="P21" s="10" t="s">
        <v>3844</v>
      </c>
      <c r="Q21" s="6"/>
      <c r="R21" s="7" t="s">
        <v>34</v>
      </c>
      <c r="S21" s="7" t="s">
        <v>34</v>
      </c>
      <c r="T21" s="6"/>
      <c r="U21" s="6"/>
      <c r="V21" s="7" t="s">
        <v>34</v>
      </c>
      <c r="W21" s="6" t="s">
        <v>3845</v>
      </c>
      <c r="X21" s="7" t="s">
        <v>34</v>
      </c>
      <c r="Y21" s="6" t="s">
        <v>3846</v>
      </c>
      <c r="Z21" s="7" t="s">
        <v>144</v>
      </c>
      <c r="AA21" s="6" t="s">
        <v>3847</v>
      </c>
      <c r="AB21" s="6" t="s">
        <v>3848</v>
      </c>
      <c r="AC21" s="6" t="s">
        <v>181</v>
      </c>
    </row>
    <row r="22" ht="22.5" customHeight="1">
      <c r="A22" s="11" t="str">
        <f>REGEXEXTRACT(D22, "\d{4}\.\s(.*?)\.\sProc\. ACM")"),"AMIR: Active Multimodal Interaction Recognition from Video and Network Traffic in Connected Environments</f>
        <v xml:space="preserve">AMIR: Active Multimodal Interaction Recognition from Video and Network Traffic in Connected Environments</v>
      </c>
      <c r="B22" s="7">
        <f t="shared" si="92"/>
        <v>21</v>
      </c>
      <c r="C22" s="8" t="s">
        <v>3849</v>
      </c>
      <c r="D22" s="6" t="s">
        <v>3850</v>
      </c>
      <c r="E22" s="9">
        <v>46113</v>
      </c>
      <c r="F22" s="7">
        <v>2023</v>
      </c>
      <c r="G22" s="7" t="s">
        <v>1412</v>
      </c>
      <c r="H22" s="6" t="str">
        <f t="shared" si="89"/>
        <v>2023_Mar_021</v>
      </c>
      <c r="I22" s="12" t="str">
        <f t="shared" si="90"/>
        <v>https://doi.org/10.1145/3580818</v>
      </c>
      <c r="J22" s="7">
        <f>IF(D22:D46&lt;&gt;"", VALUE(REGEXEXTRACT(D22:D46, "(\d+)\s+pages")), )
</f>
        <v>26</v>
      </c>
      <c r="K22" s="6" t="s">
        <v>243</v>
      </c>
      <c r="L22" s="7" t="str">
        <f t="shared" si="93"/>
        <v>No</v>
      </c>
      <c r="M22" s="7" t="s">
        <v>34</v>
      </c>
      <c r="N22" s="7" t="s">
        <v>33</v>
      </c>
      <c r="O22" s="7" t="s">
        <v>33</v>
      </c>
      <c r="P22" s="6" t="s">
        <v>3851</v>
      </c>
      <c r="Q22" s="6" t="s">
        <v>3852</v>
      </c>
      <c r="R22" s="7" t="s">
        <v>33</v>
      </c>
      <c r="S22" s="7" t="s">
        <v>33</v>
      </c>
      <c r="T22" s="6" t="s">
        <v>3851</v>
      </c>
      <c r="U22" s="6"/>
      <c r="V22" s="7" t="s">
        <v>33</v>
      </c>
      <c r="W22" s="6" t="s">
        <v>3853</v>
      </c>
      <c r="X22" s="7" t="s">
        <v>33</v>
      </c>
      <c r="Y22" s="6" t="s">
        <v>3854</v>
      </c>
      <c r="Z22" s="7" t="s">
        <v>34</v>
      </c>
      <c r="AA22" s="6"/>
      <c r="AB22" s="6" t="s">
        <v>3855</v>
      </c>
      <c r="AC22" s="6" t="s">
        <v>181</v>
      </c>
    </row>
    <row r="23" ht="22.5" customHeight="1">
      <c r="A23" s="11" t="str">
        <f>REGEXEXTRACT(D23, "\d{4}\.\s(.*?)\.\sProc\. ACM")"),"FocalPoint: Adaptive Direct Manipulation for Selecting Small 3D Virtual Objects</f>
        <v xml:space="preserve">FocalPoint: Adaptive Direct Manipulation for Selecting Small 3D Virtual Objects</v>
      </c>
      <c r="B23" s="7">
        <f t="shared" si="92"/>
        <v>22</v>
      </c>
      <c r="C23" s="8" t="s">
        <v>3856</v>
      </c>
      <c r="D23" s="6" t="s">
        <v>3857</v>
      </c>
      <c r="E23" s="9">
        <v>46113</v>
      </c>
      <c r="F23" s="7">
        <v>2023</v>
      </c>
      <c r="G23" s="7" t="s">
        <v>1412</v>
      </c>
      <c r="H23" s="6" t="str">
        <f t="shared" si="89"/>
        <v>2023_Mar_022</v>
      </c>
      <c r="I23" s="12" t="str">
        <f t="shared" si="90"/>
        <v>https://doi.org/10.1145/3580856</v>
      </c>
      <c r="J23" s="7">
        <f>IF(D23:D46&lt;&gt;"", VALUE(REGEXEXTRACT(D23:D46, "(\d+)\s+pages")), )
</f>
        <v>26</v>
      </c>
      <c r="K23" s="6" t="s">
        <v>133</v>
      </c>
      <c r="L23" s="7" t="str">
        <f t="shared" si="93"/>
        <v>No</v>
      </c>
      <c r="M23" s="7" t="s">
        <v>34</v>
      </c>
      <c r="N23" s="7" t="s">
        <v>33</v>
      </c>
      <c r="O23" s="7" t="s">
        <v>33</v>
      </c>
      <c r="P23" s="10" t="s">
        <v>3858</v>
      </c>
      <c r="Q23" s="6"/>
      <c r="R23" s="7" t="s">
        <v>34</v>
      </c>
      <c r="S23" s="7" t="s">
        <v>34</v>
      </c>
      <c r="T23" s="6"/>
      <c r="U23" s="6"/>
      <c r="V23" s="7" t="s">
        <v>34</v>
      </c>
      <c r="W23" s="6" t="s">
        <v>3859</v>
      </c>
      <c r="X23" s="7" t="s">
        <v>34</v>
      </c>
      <c r="Y23" s="6" t="s">
        <v>3860</v>
      </c>
      <c r="Z23" s="7" t="s">
        <v>33</v>
      </c>
      <c r="AA23" s="6" t="s">
        <v>3861</v>
      </c>
      <c r="AB23" s="6" t="s">
        <v>3862</v>
      </c>
      <c r="AC23" s="6" t="s">
        <v>181</v>
      </c>
    </row>
    <row r="24" ht="22.5" customHeight="1">
      <c r="A24" s="11" t="str">
        <f>REGEXEXTRACT(D24, "\d{4}\.\s(.*?)\.\sProc\. ACM")"),"Narrative-Based Visual Feedback to Encourage Sustained Physical Activity: A Field Trial of the WhoIsZuki Mobile Health Platform</f>
        <v xml:space="preserve">Narrative-Based Visual Feedback to Encourage Sustained Physical Activity: A Field Trial of the WhoIsZuki Mobile Health Platform</v>
      </c>
      <c r="B24" s="7">
        <f t="shared" si="92"/>
        <v>23</v>
      </c>
      <c r="C24" s="8" t="s">
        <v>3863</v>
      </c>
      <c r="D24" s="6" t="s">
        <v>3864</v>
      </c>
      <c r="E24" s="9">
        <v>46113</v>
      </c>
      <c r="F24" s="7">
        <v>2023</v>
      </c>
      <c r="G24" s="7" t="s">
        <v>1412</v>
      </c>
      <c r="H24" s="6" t="str">
        <f t="shared" si="89"/>
        <v>2023_Mar_023</v>
      </c>
      <c r="I24" s="12" t="str">
        <f t="shared" si="90"/>
        <v>https://doi.org/10.1145/3580786</v>
      </c>
      <c r="J24" s="7">
        <f>IF(D24:D46&lt;&gt;"", VALUE(REGEXEXTRACT(D24:D46, "(\d+)\s+pages")), )
</f>
        <v>36</v>
      </c>
      <c r="K24" s="6" t="s">
        <v>652</v>
      </c>
      <c r="L24" s="7" t="str">
        <f t="shared" si="93"/>
        <v>No</v>
      </c>
      <c r="M24" s="7" t="s">
        <v>34</v>
      </c>
      <c r="N24" s="7" t="s">
        <v>33</v>
      </c>
      <c r="O24" s="7" t="s">
        <v>34</v>
      </c>
      <c r="P24" s="6"/>
      <c r="Q24" s="6"/>
      <c r="R24" s="7" t="s">
        <v>34</v>
      </c>
      <c r="S24" s="7" t="s">
        <v>34</v>
      </c>
      <c r="T24" s="6"/>
      <c r="U24" s="6"/>
      <c r="V24" s="7" t="s">
        <v>34</v>
      </c>
      <c r="W24" s="6"/>
      <c r="X24" s="7" t="s">
        <v>33</v>
      </c>
      <c r="Y24" s="6" t="s">
        <v>3865</v>
      </c>
      <c r="Z24" s="7" t="s">
        <v>34</v>
      </c>
      <c r="AA24" s="6"/>
      <c r="AB24" s="6" t="s">
        <v>3866</v>
      </c>
      <c r="AC24" s="6" t="s">
        <v>181</v>
      </c>
    </row>
    <row r="25" ht="22.5" customHeight="1">
      <c r="A25" s="11" t="str">
        <f>REGEXEXTRACT(D25, "\d{4}\.\s(.*?)\.\sProc\. ACM")"),"Eat2pic: An Eating-Painting Interactive System to Nudge Users into Making Healthier Diet Choices</f>
        <v xml:space="preserve">Eat2pic: An Eating-Painting Interactive System to Nudge Users into Making Healthier Diet Choices</v>
      </c>
      <c r="B25" s="7">
        <f t="shared" si="92"/>
        <v>24</v>
      </c>
      <c r="C25" s="8" t="s">
        <v>3867</v>
      </c>
      <c r="D25" s="6" t="s">
        <v>3868</v>
      </c>
      <c r="E25" s="9">
        <v>46113</v>
      </c>
      <c r="F25" s="7">
        <v>2023</v>
      </c>
      <c r="G25" s="7" t="s">
        <v>1412</v>
      </c>
      <c r="H25" s="6" t="str">
        <f t="shared" si="89"/>
        <v>2023_Mar_024</v>
      </c>
      <c r="I25" s="12" t="str">
        <f t="shared" si="90"/>
        <v>https://doi.org/10.1145/3580784</v>
      </c>
      <c r="J25" s="7">
        <f>IF(D25:D46&lt;&gt;"", VALUE(REGEXEXTRACT(D25:D46, "(\d+)\s+pages")), )
</f>
        <v>23</v>
      </c>
      <c r="K25" s="6" t="s">
        <v>217</v>
      </c>
      <c r="L25" s="7" t="str">
        <f t="shared" si="93"/>
        <v>No</v>
      </c>
      <c r="M25" s="7" t="s">
        <v>33</v>
      </c>
      <c r="N25" s="7" t="s">
        <v>33</v>
      </c>
      <c r="O25" s="7" t="s">
        <v>34</v>
      </c>
      <c r="P25" s="6"/>
      <c r="Q25" s="6"/>
      <c r="R25" s="7" t="s">
        <v>33</v>
      </c>
      <c r="S25" s="7" t="s">
        <v>34</v>
      </c>
      <c r="T25" s="6"/>
      <c r="U25" s="6"/>
      <c r="V25" s="7" t="s">
        <v>33</v>
      </c>
      <c r="W25" s="6" t="s">
        <v>3869</v>
      </c>
      <c r="X25" s="7" t="s">
        <v>33</v>
      </c>
      <c r="Y25" s="6" t="s">
        <v>3870</v>
      </c>
      <c r="Z25" s="7" t="s">
        <v>34</v>
      </c>
      <c r="AA25" s="6"/>
      <c r="AB25" s="6" t="s">
        <v>3871</v>
      </c>
      <c r="AC25" s="6" t="s">
        <v>181</v>
      </c>
    </row>
    <row r="26" ht="22.5" customHeight="1">
      <c r="A26" s="11" t="str">
        <f>REGEXEXTRACT(D26, "\d{4}\.\s(.*?)\.\sProc\. ACM")"),"Exergy: A Toolkit to Simplify Creative Applications of Wind Energy Harvesting</f>
        <v xml:space="preserve">Exergy: A Toolkit to Simplify Creative Applications of Wind Energy Harvesting</v>
      </c>
      <c r="B26" s="7">
        <f t="shared" si="92"/>
        <v>25</v>
      </c>
      <c r="C26" s="8" t="s">
        <v>3872</v>
      </c>
      <c r="D26" s="6" t="s">
        <v>3873</v>
      </c>
      <c r="E26" s="9">
        <v>46113</v>
      </c>
      <c r="F26" s="7">
        <v>2023</v>
      </c>
      <c r="G26" s="7" t="s">
        <v>1412</v>
      </c>
      <c r="H26" s="6" t="str">
        <f t="shared" si="89"/>
        <v>2023_Mar_025</v>
      </c>
      <c r="I26" s="12" t="str">
        <f t="shared" si="90"/>
        <v>https://doi.org/10.1145/3580814</v>
      </c>
      <c r="J26" s="7">
        <f>IF(D26:D46&lt;&gt;"", VALUE(REGEXEXTRACT(D26:D46, "(\d+)\s+pages")), )
</f>
        <v>28</v>
      </c>
      <c r="K26" s="6" t="s">
        <v>3302</v>
      </c>
      <c r="L26" s="7" t="str">
        <f t="shared" si="93"/>
        <v>No</v>
      </c>
      <c r="M26" s="7" t="s">
        <v>33</v>
      </c>
      <c r="N26" s="7" t="s">
        <v>33</v>
      </c>
      <c r="O26" s="7" t="s">
        <v>33</v>
      </c>
      <c r="P26" s="6"/>
      <c r="Q26" s="6"/>
      <c r="R26" s="7" t="s">
        <v>33</v>
      </c>
      <c r="S26" s="7" t="s">
        <v>34</v>
      </c>
      <c r="T26" s="6"/>
      <c r="U26" s="6"/>
      <c r="V26" s="7" t="s">
        <v>33</v>
      </c>
      <c r="W26" s="6" t="s">
        <v>3874</v>
      </c>
      <c r="X26" s="7" t="s">
        <v>33</v>
      </c>
      <c r="Y26" s="6" t="s">
        <v>3875</v>
      </c>
      <c r="Z26" s="7" t="s">
        <v>34</v>
      </c>
      <c r="AA26" s="6"/>
      <c r="AB26" s="6" t="s">
        <v>3876</v>
      </c>
      <c r="AC26" s="6" t="s">
        <v>181</v>
      </c>
    </row>
    <row r="27" ht="22.5" customHeight="1">
      <c r="A27" s="11" t="str">
        <f>REGEXEXTRACT(D27, "\d{4}\.\s(.*?)\.\sProc\. ACM")"),"Auto-Gait: Automatic Ataxia Risk Assessment with Computer Vision from Gait Task Videos</f>
        <v xml:space="preserve">Auto-Gait: Automatic Ataxia Risk Assessment with Computer Vision from Gait Task Videos</v>
      </c>
      <c r="B27" s="7">
        <f t="shared" si="92"/>
        <v>26</v>
      </c>
      <c r="C27" s="8" t="s">
        <v>3877</v>
      </c>
      <c r="D27" s="6" t="s">
        <v>3878</v>
      </c>
      <c r="E27" s="9">
        <v>46116</v>
      </c>
      <c r="F27" s="7">
        <v>2023</v>
      </c>
      <c r="G27" s="7" t="s">
        <v>1412</v>
      </c>
      <c r="H27" s="6" t="str">
        <f t="shared" si="89"/>
        <v>2023_Mar_026</v>
      </c>
      <c r="I27" s="12" t="str">
        <f t="shared" si="90"/>
        <v>https://doi.org/10.1145/3580845</v>
      </c>
      <c r="J27" s="7">
        <f>IF(D27:D46&lt;&gt;"", VALUE(REGEXEXTRACT(D27:D46, "(\d+)\s+pages")), )
</f>
        <v>19</v>
      </c>
      <c r="K27" s="6" t="s">
        <v>64</v>
      </c>
      <c r="L27" s="7" t="str">
        <f t="shared" si="93"/>
        <v>No</v>
      </c>
      <c r="M27" s="7" t="s">
        <v>34</v>
      </c>
      <c r="N27" s="7" t="s">
        <v>33</v>
      </c>
      <c r="O27" s="7" t="s">
        <v>33</v>
      </c>
      <c r="P27" s="12" t="s">
        <v>3879</v>
      </c>
      <c r="Q27" s="10" t="s">
        <v>3880</v>
      </c>
      <c r="R27" s="7" t="s">
        <v>33</v>
      </c>
      <c r="S27" s="7" t="s">
        <v>55</v>
      </c>
      <c r="T27" s="6"/>
      <c r="U27" s="6" t="s">
        <v>3881</v>
      </c>
      <c r="V27" s="7" t="s">
        <v>34</v>
      </c>
      <c r="W27" s="6" t="s">
        <v>3882</v>
      </c>
      <c r="X27" s="7" t="s">
        <v>34</v>
      </c>
      <c r="Y27" s="6" t="s">
        <v>3883</v>
      </c>
      <c r="Z27" s="7" t="s">
        <v>144</v>
      </c>
      <c r="AA27" s="6" t="s">
        <v>3884</v>
      </c>
      <c r="AB27" s="6" t="s">
        <v>3885</v>
      </c>
      <c r="AC27" s="6" t="s">
        <v>181</v>
      </c>
    </row>
    <row r="28" ht="22.5" customHeight="1">
      <c r="A28" s="11" t="str">
        <f>REGEXEXTRACT(D28, "\d{4}\.\s(.*?)\.\sProc\. ACM")"),"Using Wearable Sensors to Measure Interpersonal Synchrony in Actors and Audience Members During a Live Theatre Performance</f>
        <v xml:space="preserve">Using Wearable Sensors to Measure Interpersonal Synchrony in Actors and Audience Members During a Live Theatre Performance</v>
      </c>
      <c r="B28" s="7">
        <f t="shared" si="92"/>
        <v>27</v>
      </c>
      <c r="C28" s="8" t="s">
        <v>3886</v>
      </c>
      <c r="D28" s="6" t="s">
        <v>3887</v>
      </c>
      <c r="E28" s="9">
        <v>46116</v>
      </c>
      <c r="F28" s="7">
        <v>2023</v>
      </c>
      <c r="G28" s="7" t="s">
        <v>1412</v>
      </c>
      <c r="H28" s="6" t="str">
        <f t="shared" si="89"/>
        <v>2023_Mar_027</v>
      </c>
      <c r="I28" s="12" t="str">
        <f t="shared" si="90"/>
        <v>https://doi.org/10.1145/3580781</v>
      </c>
      <c r="J28" s="7">
        <f>IF(D28:D46&lt;&gt;"", VALUE(REGEXEXTRACT(D28:D46, "(\d+)\s+pages")), )
</f>
        <v>29</v>
      </c>
      <c r="K28" s="6" t="s">
        <v>53</v>
      </c>
      <c r="L28" s="7" t="str">
        <f t="shared" si="93"/>
        <v>No</v>
      </c>
      <c r="M28" s="7" t="s">
        <v>34</v>
      </c>
      <c r="N28" s="7" t="s">
        <v>34</v>
      </c>
      <c r="O28" s="7" t="s">
        <v>34</v>
      </c>
      <c r="P28" s="6"/>
      <c r="Q28" s="6"/>
      <c r="R28" s="7" t="s">
        <v>33</v>
      </c>
      <c r="S28" s="7" t="s">
        <v>34</v>
      </c>
      <c r="T28" s="10" t="s">
        <v>3888</v>
      </c>
      <c r="U28" s="6" t="s">
        <v>3889</v>
      </c>
      <c r="V28" s="7" t="s">
        <v>34</v>
      </c>
      <c r="W28" s="6" t="s">
        <v>3890</v>
      </c>
      <c r="X28" s="7" t="s">
        <v>34</v>
      </c>
      <c r="Y28" s="6" t="s">
        <v>3891</v>
      </c>
      <c r="Z28" s="7" t="s">
        <v>34</v>
      </c>
      <c r="AA28" s="6"/>
      <c r="AB28" s="6" t="s">
        <v>3892</v>
      </c>
      <c r="AC28" s="6" t="s">
        <v>181</v>
      </c>
    </row>
    <row r="29" ht="22.5" customHeight="1">
      <c r="A29" s="11" t="str">
        <f>REGEXEXTRACT(D29, "\d{4}\.\s(.*?)\.\sProc\. ACM")"),"The Tale of a Complicated Relationship: Insights from Users' Love/Breakup Letters to Their Smartphones before and during the COVID-19 Pandemic</f>
        <v xml:space="preserve">The Tale of a Complicated Relationship: Insights from Users' Love/Breakup Letters to Their Smartphones before and during the COVID-19 Pandemic</v>
      </c>
      <c r="B29" s="7">
        <f t="shared" si="92"/>
        <v>28</v>
      </c>
      <c r="C29" s="8" t="s">
        <v>3893</v>
      </c>
      <c r="D29" s="6" t="s">
        <v>3894</v>
      </c>
      <c r="E29" s="9">
        <v>46116</v>
      </c>
      <c r="F29" s="7">
        <v>2023</v>
      </c>
      <c r="G29" s="7" t="s">
        <v>1412</v>
      </c>
      <c r="H29" s="6" t="str">
        <f t="shared" si="89"/>
        <v>2023_Mar_028</v>
      </c>
      <c r="I29" s="12" t="str">
        <f t="shared" si="90"/>
        <v>https://doi.org/10.1145/3580792</v>
      </c>
      <c r="J29" s="7">
        <f>IF(D29:D46&lt;&gt;"", VALUE(REGEXEXTRACT(D29:D46, "(\d+)\s+pages")), )
</f>
        <v>34</v>
      </c>
      <c r="K29" s="6" t="s">
        <v>42</v>
      </c>
      <c r="L29" s="7" t="str">
        <f t="shared" si="93"/>
        <v>No</v>
      </c>
      <c r="M29" s="7" t="s">
        <v>34</v>
      </c>
      <c r="N29" s="7" t="s">
        <v>34</v>
      </c>
      <c r="O29" s="7" t="s">
        <v>35</v>
      </c>
      <c r="P29" s="6"/>
      <c r="Q29" s="6"/>
      <c r="R29" s="7" t="s">
        <v>34</v>
      </c>
      <c r="S29" s="7" t="s">
        <v>35</v>
      </c>
      <c r="T29" s="6"/>
      <c r="U29" s="6"/>
      <c r="V29" s="7" t="s">
        <v>35</v>
      </c>
      <c r="W29" s="6"/>
      <c r="X29" s="7" t="s">
        <v>35</v>
      </c>
      <c r="Y29" s="13"/>
      <c r="Z29" s="7" t="s">
        <v>35</v>
      </c>
      <c r="AA29" s="6"/>
      <c r="AB29" s="6" t="s">
        <v>3895</v>
      </c>
      <c r="AC29" s="6" t="s">
        <v>181</v>
      </c>
    </row>
    <row r="30" ht="22.5" customHeight="1">
      <c r="A30" s="11" t="str">
        <f>REGEXEXTRACT(D30, "\d{4}\.\s(.*?)\.\sProc\. ACM")"),"Mood Measurement on Smartphones: Which Measure, Which Design?</f>
        <v xml:space="preserve">Mood Measurement on Smartphones: Which Measure, Which Design?</v>
      </c>
      <c r="B30" s="7">
        <f t="shared" si="92"/>
        <v>29</v>
      </c>
      <c r="C30" s="8" t="s">
        <v>3896</v>
      </c>
      <c r="D30" s="6" t="s">
        <v>3897</v>
      </c>
      <c r="E30" s="9">
        <v>46116</v>
      </c>
      <c r="F30" s="7">
        <v>2023</v>
      </c>
      <c r="G30" s="7" t="s">
        <v>1412</v>
      </c>
      <c r="H30" s="6" t="str">
        <f t="shared" si="89"/>
        <v>2023_Mar_029</v>
      </c>
      <c r="I30" s="12" t="str">
        <f t="shared" si="90"/>
        <v>https://doi.org/10.1145/3580864</v>
      </c>
      <c r="J30" s="7">
        <f>IF(D30:D46&lt;&gt;"", VALUE(REGEXEXTRACT(D30:D46, "(\d+)\s+pages")), )
</f>
        <v>35</v>
      </c>
      <c r="K30" s="6" t="s">
        <v>42</v>
      </c>
      <c r="L30" s="7" t="str">
        <f t="shared" si="93"/>
        <v>No</v>
      </c>
      <c r="M30" s="7" t="s">
        <v>34</v>
      </c>
      <c r="N30" s="7" t="s">
        <v>34</v>
      </c>
      <c r="O30" s="7" t="s">
        <v>35</v>
      </c>
      <c r="P30" s="6"/>
      <c r="Q30" s="6"/>
      <c r="R30" s="7" t="s">
        <v>34</v>
      </c>
      <c r="S30" s="7" t="s">
        <v>35</v>
      </c>
      <c r="T30" s="6"/>
      <c r="U30" s="6"/>
      <c r="V30" s="7" t="s">
        <v>35</v>
      </c>
      <c r="W30" s="6"/>
      <c r="X30" s="7" t="s">
        <v>35</v>
      </c>
      <c r="Y30" s="13"/>
      <c r="Z30" s="7" t="s">
        <v>35</v>
      </c>
      <c r="AA30" s="6"/>
      <c r="AB30" s="6" t="s">
        <v>3898</v>
      </c>
      <c r="AC30" s="6" t="s">
        <v>181</v>
      </c>
    </row>
    <row r="31" ht="22.5" customHeight="1">
      <c r="A31" s="14" t="str">
        <f>REGEXEXTRACT(D31, "\d{4}\.\s(.*?)\.\sProc\. ACM")"),"GlucoScreen: A Smartphone-based Readerless Glucose Test Strip for Prediabetes Screening</f>
        <v xml:space="preserve">GlucoScreen: A Smartphone-based Readerless Glucose Test Strip for Prediabetes Screening</v>
      </c>
      <c r="B31" s="15">
        <f t="shared" si="92"/>
        <v>30</v>
      </c>
      <c r="C31" s="16" t="s">
        <v>3899</v>
      </c>
      <c r="D31" s="17" t="s">
        <v>3900</v>
      </c>
      <c r="E31" s="18">
        <v>46116</v>
      </c>
      <c r="F31" s="15">
        <v>2023</v>
      </c>
      <c r="G31" s="15" t="s">
        <v>1412</v>
      </c>
      <c r="H31" s="17" t="str">
        <f t="shared" si="89"/>
        <v>2023_Mar_030</v>
      </c>
      <c r="I31" s="19" t="str">
        <f t="shared" si="90"/>
        <v>https://doi.org/10.1145/3580855</v>
      </c>
      <c r="J31" s="15">
        <f>IF(D31:D46&lt;&gt;"", VALUE(REGEXEXTRACT(D31:D46, "(\d+)\s+pages")), )
</f>
        <v>20</v>
      </c>
      <c r="K31" s="17" t="s">
        <v>217</v>
      </c>
      <c r="L31" s="15" t="str">
        <f t="shared" si="93"/>
        <v>No</v>
      </c>
      <c r="M31" s="15" t="s">
        <v>33</v>
      </c>
      <c r="N31" s="15" t="s">
        <v>33</v>
      </c>
      <c r="O31" s="15" t="s">
        <v>34</v>
      </c>
      <c r="P31" s="17"/>
      <c r="Q31" s="17"/>
      <c r="R31" s="15" t="s">
        <v>34</v>
      </c>
      <c r="S31" s="15" t="s">
        <v>34</v>
      </c>
      <c r="T31" s="17"/>
      <c r="U31" s="17"/>
      <c r="V31" s="15" t="s">
        <v>33</v>
      </c>
      <c r="W31" s="17" t="s">
        <v>3901</v>
      </c>
      <c r="X31" s="15" t="s">
        <v>33</v>
      </c>
      <c r="Y31" s="17" t="s">
        <v>3902</v>
      </c>
      <c r="Z31" s="15" t="s">
        <v>34</v>
      </c>
      <c r="AA31" s="17"/>
      <c r="AB31" s="17" t="s">
        <v>3903</v>
      </c>
      <c r="AC31" s="17" t="s">
        <v>181</v>
      </c>
    </row>
    <row r="32" ht="22.5" customHeight="1">
      <c r="A32" s="11" t="str">
        <f>REGEXEXTRACT(D32, "\d{4}\.\s(.*?)\.\sProc\. ACM")"),"ThermoFit: Thermoforming Smart Orthoses via Metamaterial Structures for Body-Fitting and Component-Adjusting</f>
        <v xml:space="preserve">ThermoFit: Thermoforming Smart Orthoses via Metamaterial Structures for Body-Fitting and Component-Adjusting</v>
      </c>
      <c r="B32" s="7">
        <f t="shared" si="92"/>
        <v>31</v>
      </c>
      <c r="C32" s="8" t="s">
        <v>3904</v>
      </c>
      <c r="D32" s="6" t="s">
        <v>3905</v>
      </c>
      <c r="E32" s="9">
        <v>46002</v>
      </c>
      <c r="F32" s="7">
        <v>2023</v>
      </c>
      <c r="G32" s="7" t="s">
        <v>1412</v>
      </c>
      <c r="H32" s="6" t="str">
        <f t="shared" si="89"/>
        <v>2023_Mar_031</v>
      </c>
      <c r="I32" s="12" t="str">
        <f t="shared" si="90"/>
        <v>https://doi.org/10.1145/3580806</v>
      </c>
      <c r="J32" s="7">
        <f>IF(D32:D46&lt;&gt;"", VALUE(REGEXEXTRACT(D32:D46, "(\d+)\s+pages")), )
</f>
        <v>27</v>
      </c>
      <c r="K32" s="6" t="s">
        <v>1093</v>
      </c>
      <c r="L32" s="7" t="str">
        <f t="shared" si="93"/>
        <v>No</v>
      </c>
      <c r="M32" s="7" t="s">
        <v>34</v>
      </c>
      <c r="N32" s="7" t="s">
        <v>33</v>
      </c>
      <c r="O32" s="7" t="s">
        <v>34</v>
      </c>
      <c r="P32" s="6"/>
      <c r="Q32" s="6" t="s">
        <v>3015</v>
      </c>
      <c r="R32" s="7" t="s">
        <v>33</v>
      </c>
      <c r="S32" s="7" t="s">
        <v>34</v>
      </c>
      <c r="T32" s="6"/>
      <c r="U32" s="6" t="s">
        <v>3906</v>
      </c>
      <c r="V32" s="7" t="s">
        <v>33</v>
      </c>
      <c r="W32" s="6" t="s">
        <v>3907</v>
      </c>
      <c r="X32" s="7" t="s">
        <v>33</v>
      </c>
      <c r="Y32" s="6" t="s">
        <v>3908</v>
      </c>
      <c r="Z32" s="7" t="s">
        <v>144</v>
      </c>
      <c r="AA32" s="6" t="s">
        <v>3909</v>
      </c>
      <c r="AB32" s="6" t="s">
        <v>3910</v>
      </c>
      <c r="AC32" s="6" t="s">
        <v>355</v>
      </c>
    </row>
    <row r="33" ht="22.5" customHeight="1">
      <c r="A33" s="11" t="str">
        <f>REGEXEXTRACT(D33, "\d{4}\.\s(.*?)\.\sProc\. ACM")"),"VoiceListener: A Training-free and Universal Eavesdropping Attack on Built-in Speakers of Mobile Devices</f>
        <v xml:space="preserve">VoiceListener: A Training-free and Universal Eavesdropping Attack on Built-in Speakers of Mobile Devices</v>
      </c>
      <c r="B33" s="7">
        <f t="shared" si="92"/>
        <v>32</v>
      </c>
      <c r="C33" s="8" t="s">
        <v>3911</v>
      </c>
      <c r="D33" s="6" t="s">
        <v>3912</v>
      </c>
      <c r="E33" s="9">
        <v>46003</v>
      </c>
      <c r="F33" s="7">
        <v>2023</v>
      </c>
      <c r="G33" s="7" t="s">
        <v>1412</v>
      </c>
      <c r="H33" s="6" t="str">
        <f t="shared" si="89"/>
        <v>2023_Mar_032</v>
      </c>
      <c r="I33" s="12" t="str">
        <f t="shared" si="90"/>
        <v>https://doi.org/10.1145/3580789</v>
      </c>
      <c r="J33" s="7">
        <f>IF(D33:D46&lt;&gt;"", VALUE(REGEXEXTRACT(D33:D46, "(\d+)\s+pages")), )
</f>
        <v>22</v>
      </c>
      <c r="K33" s="6" t="s">
        <v>71</v>
      </c>
      <c r="L33" s="7" t="str">
        <f t="shared" si="93"/>
        <v>No</v>
      </c>
      <c r="M33" s="7" t="s">
        <v>34</v>
      </c>
      <c r="N33" s="7" t="s">
        <v>33</v>
      </c>
      <c r="O33" s="7" t="s">
        <v>34</v>
      </c>
      <c r="P33" s="6"/>
      <c r="Q33" s="6" t="s">
        <v>3913</v>
      </c>
      <c r="R33" s="7" t="s">
        <v>33</v>
      </c>
      <c r="S33" s="7" t="s">
        <v>144</v>
      </c>
      <c r="T33" s="6"/>
      <c r="U33" s="6" t="s">
        <v>3914</v>
      </c>
      <c r="V33" s="7" t="s">
        <v>33</v>
      </c>
      <c r="W33" s="6" t="s">
        <v>3915</v>
      </c>
      <c r="X33" s="7" t="s">
        <v>34</v>
      </c>
      <c r="Y33" s="6" t="s">
        <v>3916</v>
      </c>
      <c r="Z33" s="7" t="s">
        <v>34</v>
      </c>
      <c r="AA33" s="6" t="s">
        <v>3917</v>
      </c>
      <c r="AB33" s="6" t="s">
        <v>3918</v>
      </c>
      <c r="AC33" s="6" t="s">
        <v>355</v>
      </c>
    </row>
    <row r="34" ht="22.5" customHeight="1">
      <c r="A34" s="11" t="str">
        <f>REGEXEXTRACT(D34, "\d{4}\.\s(.*?)\.\sProc\. ACM")"),"MagSound: Magnetic Field Assisted Wireless Earphone Tracking</f>
        <v xml:space="preserve">MagSound: Magnetic Field Assisted Wireless Earphone Tracking</v>
      </c>
      <c r="B34" s="7">
        <f t="shared" si="92"/>
        <v>33</v>
      </c>
      <c r="C34" s="8" t="s">
        <v>3919</v>
      </c>
      <c r="D34" s="6" t="s">
        <v>3920</v>
      </c>
      <c r="E34" s="9">
        <v>46003</v>
      </c>
      <c r="F34" s="7">
        <v>2023</v>
      </c>
      <c r="G34" s="7" t="s">
        <v>1412</v>
      </c>
      <c r="H34" s="6" t="str">
        <f t="shared" si="89"/>
        <v>2023_Mar_033</v>
      </c>
      <c r="I34" s="12" t="str">
        <f t="shared" si="90"/>
        <v>https://doi.org/10.1145/3580889</v>
      </c>
      <c r="J34" s="7">
        <f>IF(D34:D46&lt;&gt;"", VALUE(REGEXEXTRACT(D34:D46, "(\d+)\s+pages")), )
</f>
        <v>32</v>
      </c>
      <c r="K34" s="6" t="s">
        <v>32</v>
      </c>
      <c r="L34" s="7" t="str">
        <f t="shared" si="93"/>
        <v>No</v>
      </c>
      <c r="M34" s="7" t="s">
        <v>34</v>
      </c>
      <c r="N34" s="7" t="s">
        <v>33</v>
      </c>
      <c r="O34" s="7" t="s">
        <v>34</v>
      </c>
      <c r="P34" s="6"/>
      <c r="Q34" s="6" t="s">
        <v>3921</v>
      </c>
      <c r="R34" s="7" t="s">
        <v>33</v>
      </c>
      <c r="S34" s="7" t="s">
        <v>34</v>
      </c>
      <c r="T34" s="6"/>
      <c r="U34" s="6" t="s">
        <v>3922</v>
      </c>
      <c r="V34" s="7" t="s">
        <v>33</v>
      </c>
      <c r="W34" s="6" t="s">
        <v>3923</v>
      </c>
      <c r="X34" s="7" t="s">
        <v>34</v>
      </c>
      <c r="Y34" s="6" t="s">
        <v>3924</v>
      </c>
      <c r="Z34" s="7" t="s">
        <v>34</v>
      </c>
      <c r="AA34" s="6" t="s">
        <v>2733</v>
      </c>
      <c r="AB34" s="6" t="s">
        <v>3925</v>
      </c>
      <c r="AC34" s="6" t="s">
        <v>355</v>
      </c>
    </row>
    <row r="35" ht="22.5" customHeight="1">
      <c r="A35" s="11" t="str">
        <f>REGEXEXTRACT(D35, "\d{4}\.\s(.*?)\.\sProc\. ACM")"),"Human Parsing with Joint Learning for Dynamic mmWave Radar Point Cloud</f>
        <v xml:space="preserve">Human Parsing with Joint Learning for Dynamic mmWave Radar Point Cloud</v>
      </c>
      <c r="B35" s="7">
        <f t="shared" si="92"/>
        <v>34</v>
      </c>
      <c r="C35" s="8" t="s">
        <v>3926</v>
      </c>
      <c r="D35" s="6" t="s">
        <v>3927</v>
      </c>
      <c r="E35" s="9">
        <v>46003</v>
      </c>
      <c r="F35" s="7">
        <v>2023</v>
      </c>
      <c r="G35" s="7" t="s">
        <v>1412</v>
      </c>
      <c r="H35" s="6" t="str">
        <f t="shared" si="89"/>
        <v>2023_Mar_034</v>
      </c>
      <c r="I35" s="12" t="str">
        <f t="shared" si="90"/>
        <v>https://doi.org/10.1145/3580779</v>
      </c>
      <c r="J35" s="7">
        <f>IF(D35:D46&lt;&gt;"", VALUE(REGEXEXTRACT(D35:D46, "(\d+)\s+pages")), )
</f>
        <v>22</v>
      </c>
      <c r="K35" s="6" t="s">
        <v>32</v>
      </c>
      <c r="L35" s="7" t="str">
        <f t="shared" si="93"/>
        <v>No</v>
      </c>
      <c r="M35" s="7" t="s">
        <v>34</v>
      </c>
      <c r="N35" s="7" t="s">
        <v>33</v>
      </c>
      <c r="O35" s="7" t="s">
        <v>34</v>
      </c>
      <c r="P35" s="6"/>
      <c r="Q35" s="6" t="s">
        <v>3928</v>
      </c>
      <c r="R35" s="7" t="s">
        <v>33</v>
      </c>
      <c r="S35" s="7" t="s">
        <v>34</v>
      </c>
      <c r="T35" s="6"/>
      <c r="U35" s="6" t="s">
        <v>3929</v>
      </c>
      <c r="V35" s="7" t="s">
        <v>33</v>
      </c>
      <c r="W35" s="6" t="s">
        <v>3930</v>
      </c>
      <c r="X35" s="7" t="s">
        <v>33</v>
      </c>
      <c r="Y35" s="6" t="s">
        <v>3931</v>
      </c>
      <c r="Z35" s="7" t="s">
        <v>34</v>
      </c>
      <c r="AA35" s="6" t="s">
        <v>3932</v>
      </c>
      <c r="AB35" s="6" t="s">
        <v>3933</v>
      </c>
      <c r="AC35" s="6" t="s">
        <v>355</v>
      </c>
    </row>
    <row r="36" ht="22.5" customHeight="1">
      <c r="A36" s="11" t="str">
        <f>REGEXEXTRACT(D36, "\d{4}\.\s(.*?)\.\sProc\. ACM")"),"RF-CM: Cross-Modal Framework for RF-enabled Few-Shot Human Activity Recognition</f>
        <v xml:space="preserve">RF-CM: Cross-Modal Framework for RF-enabled Few-Shot Human Activity Recognition</v>
      </c>
      <c r="B36" s="7">
        <f t="shared" si="92"/>
        <v>35</v>
      </c>
      <c r="C36" s="8" t="s">
        <v>3934</v>
      </c>
      <c r="D36" s="6" t="s">
        <v>3935</v>
      </c>
      <c r="E36" s="9">
        <v>46003</v>
      </c>
      <c r="F36" s="7">
        <v>2023</v>
      </c>
      <c r="G36" s="7" t="s">
        <v>1412</v>
      </c>
      <c r="H36" s="6" t="str">
        <f t="shared" si="89"/>
        <v>2023_Mar_035</v>
      </c>
      <c r="I36" s="12" t="str">
        <f t="shared" si="90"/>
        <v>https://doi.org/10.1145/3580859</v>
      </c>
      <c r="J36" s="7">
        <f>IF(D36:D46&lt;&gt;"", VALUE(REGEXEXTRACT(D36:D46, "(\d+)\s+pages")), )
</f>
        <v>28</v>
      </c>
      <c r="K36" s="6" t="s">
        <v>32</v>
      </c>
      <c r="L36" s="7" t="str">
        <f t="shared" si="93"/>
        <v>No</v>
      </c>
      <c r="M36" s="7" t="s">
        <v>34</v>
      </c>
      <c r="N36" s="7" t="s">
        <v>33</v>
      </c>
      <c r="O36" s="7" t="s">
        <v>34</v>
      </c>
      <c r="P36" s="6"/>
      <c r="Q36" s="6" t="s">
        <v>3936</v>
      </c>
      <c r="R36" s="7" t="s">
        <v>33</v>
      </c>
      <c r="S36" s="7" t="s">
        <v>144</v>
      </c>
      <c r="T36" s="6"/>
      <c r="U36" s="6" t="s">
        <v>3937</v>
      </c>
      <c r="V36" s="7" t="s">
        <v>33</v>
      </c>
      <c r="W36" s="6" t="s">
        <v>3938</v>
      </c>
      <c r="X36" s="7" t="s">
        <v>34</v>
      </c>
      <c r="Y36" s="6" t="s">
        <v>3939</v>
      </c>
      <c r="Z36" s="7" t="s">
        <v>34</v>
      </c>
      <c r="AA36" s="6" t="s">
        <v>2733</v>
      </c>
      <c r="AB36" s="6" t="s">
        <v>3940</v>
      </c>
      <c r="AC36" s="6" t="s">
        <v>355</v>
      </c>
    </row>
    <row r="37" ht="22.5" customHeight="1">
      <c r="A37" s="11" t="str">
        <f>REGEXEXTRACT(D37, "\d{4}\.\s(.*?)\.\sProc\. ACM")"),"Genie in the Model: Automatic Generation of Human-in-the-Loop Deep Neural Networks for Mobile Applications</f>
        <v xml:space="preserve">Genie in the Model: Automatic Generation of Human-in-the-Loop Deep Neural Networks for Mobile Applications</v>
      </c>
      <c r="B37" s="7">
        <f t="shared" si="92"/>
        <v>36</v>
      </c>
      <c r="C37" s="8" t="s">
        <v>3941</v>
      </c>
      <c r="D37" s="6" t="s">
        <v>3942</v>
      </c>
      <c r="E37" s="9">
        <v>46003</v>
      </c>
      <c r="F37" s="7">
        <v>2023</v>
      </c>
      <c r="G37" s="7" t="s">
        <v>1412</v>
      </c>
      <c r="H37" s="6" t="str">
        <f t="shared" si="89"/>
        <v>2023_Mar_036</v>
      </c>
      <c r="I37" s="12" t="str">
        <f t="shared" si="90"/>
        <v>https://doi.org/10.1145/3580815</v>
      </c>
      <c r="J37" s="7">
        <f>IF(D37:D46&lt;&gt;"", VALUE(REGEXEXTRACT(D37:D46, "(\d+)\s+pages")), )
</f>
        <v>29</v>
      </c>
      <c r="K37" s="6" t="s">
        <v>133</v>
      </c>
      <c r="L37" s="7" t="str">
        <f t="shared" si="93"/>
        <v>No</v>
      </c>
      <c r="M37" s="7" t="s">
        <v>34</v>
      </c>
      <c r="N37" s="7" t="s">
        <v>33</v>
      </c>
      <c r="O37" s="7" t="s">
        <v>34</v>
      </c>
      <c r="P37" s="6"/>
      <c r="Q37" s="6" t="s">
        <v>3943</v>
      </c>
      <c r="R37" s="7" t="s">
        <v>33</v>
      </c>
      <c r="S37" s="7" t="s">
        <v>144</v>
      </c>
      <c r="T37" s="6"/>
      <c r="U37" s="6" t="s">
        <v>3944</v>
      </c>
      <c r="V37" s="7" t="s">
        <v>33</v>
      </c>
      <c r="W37" s="6" t="s">
        <v>3945</v>
      </c>
      <c r="X37" s="7" t="s">
        <v>33</v>
      </c>
      <c r="Y37" s="6" t="s">
        <v>3946</v>
      </c>
      <c r="Z37" s="7" t="s">
        <v>34</v>
      </c>
      <c r="AA37" s="6" t="s">
        <v>3947</v>
      </c>
      <c r="AB37" s="6" t="s">
        <v>3948</v>
      </c>
      <c r="AC37" s="6" t="s">
        <v>355</v>
      </c>
    </row>
    <row r="38" ht="22.5" customHeight="1">
      <c r="A38" s="11" t="str">
        <f>REGEXEXTRACT(D38, "\d{4}\.\s(.*?)\.\sProc\. ACM")"),"Spectral-Loc: Indoor Localization Using Light Spectral Information</f>
        <v xml:space="preserve">Spectral-Loc: Indoor Localization Using Light Spectral Information</v>
      </c>
      <c r="B38" s="7">
        <f t="shared" si="92"/>
        <v>37</v>
      </c>
      <c r="C38" s="8" t="s">
        <v>3949</v>
      </c>
      <c r="D38" s="6" t="s">
        <v>3950</v>
      </c>
      <c r="E38" s="9">
        <v>46004</v>
      </c>
      <c r="F38" s="7">
        <v>2023</v>
      </c>
      <c r="G38" s="7" t="s">
        <v>1412</v>
      </c>
      <c r="H38" s="6" t="str">
        <f t="shared" si="89"/>
        <v>2023_Mar_037</v>
      </c>
      <c r="I38" s="12" t="str">
        <f t="shared" si="90"/>
        <v>https://doi.org/10.1145/3580878</v>
      </c>
      <c r="J38" s="7">
        <f>IF(D38:D46&lt;&gt;"", VALUE(REGEXEXTRACT(D38:D46, "(\d+)\s+pages")), )
</f>
        <v>26</v>
      </c>
      <c r="K38" s="6" t="s">
        <v>32</v>
      </c>
      <c r="L38" s="7" t="str">
        <f t="shared" si="93"/>
        <v>No</v>
      </c>
      <c r="M38" s="7" t="s">
        <v>34</v>
      </c>
      <c r="N38" s="7" t="s">
        <v>33</v>
      </c>
      <c r="O38" s="7" t="s">
        <v>34</v>
      </c>
      <c r="P38" s="6"/>
      <c r="Q38" s="6" t="s">
        <v>3913</v>
      </c>
      <c r="R38" s="7" t="s">
        <v>33</v>
      </c>
      <c r="S38" s="7" t="s">
        <v>34</v>
      </c>
      <c r="T38" s="6"/>
      <c r="U38" s="6" t="s">
        <v>3951</v>
      </c>
      <c r="V38" s="7" t="s">
        <v>33</v>
      </c>
      <c r="W38" s="6" t="s">
        <v>3952</v>
      </c>
      <c r="X38" s="7" t="s">
        <v>34</v>
      </c>
      <c r="Y38" s="6" t="s">
        <v>3953</v>
      </c>
      <c r="Z38" s="7" t="s">
        <v>34</v>
      </c>
      <c r="AA38" s="6" t="s">
        <v>3954</v>
      </c>
      <c r="AB38" s="6" t="s">
        <v>3955</v>
      </c>
      <c r="AC38" s="6" t="s">
        <v>355</v>
      </c>
    </row>
    <row r="39" ht="22.5" customHeight="1">
      <c r="A39" s="11" t="str">
        <f>REGEXEXTRACT(D39, "\d{4}\.\s(.*?)\.\sProc\. ACM")"),"From 2D to 3D: Facilitating Single-Finger Mid-Air Typing on QWERTY Keyboards with Probabilistic Touch Modeling</f>
        <v xml:space="preserve">From 2D to 3D: Facilitating Single-Finger Mid-Air Typing on QWERTY Keyboards with Probabilistic Touch Modeling</v>
      </c>
      <c r="B39" s="7">
        <f t="shared" si="92"/>
        <v>38</v>
      </c>
      <c r="C39" s="8" t="s">
        <v>3956</v>
      </c>
      <c r="D39" s="6" t="s">
        <v>3957</v>
      </c>
      <c r="E39" s="9">
        <v>46004</v>
      </c>
      <c r="F39" s="7">
        <v>2023</v>
      </c>
      <c r="G39" s="7" t="s">
        <v>1412</v>
      </c>
      <c r="H39" s="6" t="str">
        <f t="shared" si="89"/>
        <v>2023_Mar_038</v>
      </c>
      <c r="I39" s="12" t="str">
        <f t="shared" si="90"/>
        <v>https://doi.org/10.1145/3580829</v>
      </c>
      <c r="J39" s="7">
        <f>IF(D39:D46&lt;&gt;"", VALUE(REGEXEXTRACT(D39:D46, "(\d+)\s+pages")), )
</f>
        <v>25</v>
      </c>
      <c r="K39" s="6" t="s">
        <v>32</v>
      </c>
      <c r="L39" s="7" t="str">
        <f t="shared" si="93"/>
        <v>No</v>
      </c>
      <c r="M39" s="7" t="s">
        <v>33</v>
      </c>
      <c r="N39" s="7" t="s">
        <v>33</v>
      </c>
      <c r="O39" s="7" t="s">
        <v>34</v>
      </c>
      <c r="P39" s="6"/>
      <c r="Q39" s="6" t="s">
        <v>3913</v>
      </c>
      <c r="R39" s="7" t="s">
        <v>33</v>
      </c>
      <c r="S39" s="7" t="s">
        <v>34</v>
      </c>
      <c r="T39" s="6"/>
      <c r="U39" s="6" t="s">
        <v>3958</v>
      </c>
      <c r="V39" s="7" t="s">
        <v>33</v>
      </c>
      <c r="W39" s="6" t="s">
        <v>3959</v>
      </c>
      <c r="X39" s="7" t="s">
        <v>33</v>
      </c>
      <c r="Y39" s="6" t="s">
        <v>3960</v>
      </c>
      <c r="Z39" s="7" t="s">
        <v>34</v>
      </c>
      <c r="AA39" s="6" t="s">
        <v>3961</v>
      </c>
      <c r="AB39" s="6" t="s">
        <v>3962</v>
      </c>
      <c r="AC39" s="6" t="s">
        <v>355</v>
      </c>
    </row>
    <row r="40" ht="22.5" customHeight="1">
      <c r="A40" s="11" t="str">
        <f>REGEXEXTRACT(D40, "\d{4}\.\s(.*?)\.\sProc\. ACM")"),"MSilent: Towards General Corpus Silent Speech Recognition Using COTS mmWave Radar</f>
        <v xml:space="preserve">MSilent: Towards General Corpus Silent Speech Recognition Using COTS mmWave Radar</v>
      </c>
      <c r="B40" s="7">
        <f t="shared" si="92"/>
        <v>39</v>
      </c>
      <c r="C40" s="8" t="s">
        <v>3963</v>
      </c>
      <c r="D40" s="6" t="s">
        <v>3964</v>
      </c>
      <c r="E40" s="9">
        <v>46004</v>
      </c>
      <c r="F40" s="7">
        <v>2023</v>
      </c>
      <c r="G40" s="7" t="s">
        <v>1412</v>
      </c>
      <c r="H40" s="6" t="str">
        <f t="shared" si="89"/>
        <v>2023_Mar_039</v>
      </c>
      <c r="I40" s="12" t="str">
        <f t="shared" si="90"/>
        <v>https://doi.org/10.1145/3580838</v>
      </c>
      <c r="J40" s="7">
        <f>IF(D40:D46&lt;&gt;"", VALUE(REGEXEXTRACT(D40:D46, "(\d+)\s+pages")), )
</f>
        <v>28</v>
      </c>
      <c r="K40" s="6" t="s">
        <v>243</v>
      </c>
      <c r="L40" s="7" t="str">
        <f t="shared" si="93"/>
        <v>No</v>
      </c>
      <c r="M40" s="7" t="s">
        <v>34</v>
      </c>
      <c r="N40" s="7" t="s">
        <v>33</v>
      </c>
      <c r="O40" s="7" t="s">
        <v>34</v>
      </c>
      <c r="P40" s="6"/>
      <c r="Q40" s="6" t="s">
        <v>3943</v>
      </c>
      <c r="R40" s="7" t="s">
        <v>33</v>
      </c>
      <c r="S40" s="7" t="s">
        <v>34</v>
      </c>
      <c r="T40" s="6"/>
      <c r="U40" s="6" t="s">
        <v>3965</v>
      </c>
      <c r="V40" s="7" t="s">
        <v>33</v>
      </c>
      <c r="W40" s="6" t="s">
        <v>3966</v>
      </c>
      <c r="X40" s="7" t="s">
        <v>34</v>
      </c>
      <c r="Y40" s="6" t="s">
        <v>3967</v>
      </c>
      <c r="Z40" s="7" t="s">
        <v>34</v>
      </c>
      <c r="AA40" s="6" t="s">
        <v>3968</v>
      </c>
      <c r="AB40" s="6" t="s">
        <v>3969</v>
      </c>
      <c r="AC40" s="6" t="s">
        <v>355</v>
      </c>
    </row>
    <row r="41" ht="22.5" customHeight="1">
      <c r="A41" s="11" t="str">
        <f>REGEXEXTRACT(D41, "\d{4}\.\s(.*?)\.\sProc\. ACM")"),"LT-Fall: The Design and Implementation of a Life-threatening Fall Detection and Alarming System</f>
        <v xml:space="preserve">LT-Fall: The Design and Implementation of a Life-threatening Fall Detection and Alarming System</v>
      </c>
      <c r="B41" s="7">
        <f t="shared" si="92"/>
        <v>40</v>
      </c>
      <c r="C41" s="8" t="s">
        <v>3970</v>
      </c>
      <c r="D41" s="6" t="s">
        <v>3971</v>
      </c>
      <c r="E41" s="9">
        <v>46004</v>
      </c>
      <c r="F41" s="7">
        <v>2023</v>
      </c>
      <c r="G41" s="7" t="s">
        <v>1412</v>
      </c>
      <c r="H41" s="6" t="str">
        <f t="shared" si="89"/>
        <v>2023_Mar_040</v>
      </c>
      <c r="I41" s="12" t="str">
        <f t="shared" si="90"/>
        <v>https://doi.org/10.1145/3580835</v>
      </c>
      <c r="J41" s="7">
        <f>IF(D41:D46&lt;&gt;"", VALUE(REGEXEXTRACT(D41:D46, "(\d+)\s+pages")), )
</f>
        <v>24</v>
      </c>
      <c r="K41" s="6" t="s">
        <v>32</v>
      </c>
      <c r="L41" s="7" t="str">
        <f t="shared" si="93"/>
        <v>No</v>
      </c>
      <c r="M41" s="7" t="s">
        <v>34</v>
      </c>
      <c r="N41" s="7" t="s">
        <v>33</v>
      </c>
      <c r="O41" s="7" t="s">
        <v>34</v>
      </c>
      <c r="P41" s="6"/>
      <c r="Q41" s="6" t="s">
        <v>3972</v>
      </c>
      <c r="R41" s="7" t="s">
        <v>33</v>
      </c>
      <c r="S41" s="7" t="s">
        <v>34</v>
      </c>
      <c r="T41" s="6"/>
      <c r="U41" s="6" t="s">
        <v>3973</v>
      </c>
      <c r="V41" s="7" t="s">
        <v>33</v>
      </c>
      <c r="W41" s="6" t="s">
        <v>3974</v>
      </c>
      <c r="X41" s="7" t="s">
        <v>34</v>
      </c>
      <c r="Y41" s="6" t="s">
        <v>3975</v>
      </c>
      <c r="Z41" s="7" t="s">
        <v>34</v>
      </c>
      <c r="AA41" s="6" t="s">
        <v>3976</v>
      </c>
      <c r="AB41" s="6" t="s">
        <v>3977</v>
      </c>
      <c r="AC41" s="6" t="s">
        <v>355</v>
      </c>
    </row>
    <row r="42" ht="22.5" customHeight="1">
      <c r="A42" s="11" t="str">
        <f>REGEXEXTRACT(D42, "\d{4}\.\s(.*?)\.\sProc\. ACM")"),"MoCaPose: Motion Capturing with Textile-integrated Capacitive Sensors in Loose-fitting Smart Garments</f>
        <v xml:space="preserve">MoCaPose: Motion Capturing with Textile-integrated Capacitive Sensors in Loose-fitting Smart Garments</v>
      </c>
      <c r="B42" s="7">
        <f t="shared" si="92"/>
        <v>41</v>
      </c>
      <c r="C42" s="8" t="s">
        <v>3978</v>
      </c>
      <c r="D42" s="6" t="s">
        <v>3979</v>
      </c>
      <c r="E42" s="9">
        <v>46004</v>
      </c>
      <c r="F42" s="7">
        <v>2023</v>
      </c>
      <c r="G42" s="7" t="s">
        <v>1412</v>
      </c>
      <c r="H42" s="6" t="str">
        <f t="shared" si="89"/>
        <v>2023_Mar_041</v>
      </c>
      <c r="I42" s="12" t="str">
        <f t="shared" si="90"/>
        <v>https://doi.org/10.1145/3580883</v>
      </c>
      <c r="J42" s="7">
        <f>IF(D42:D46&lt;&gt;"", VALUE(REGEXEXTRACT(D42:D46, "(\d+)\s+pages")), )
</f>
        <v>40</v>
      </c>
      <c r="K42" s="6" t="s">
        <v>3980</v>
      </c>
      <c r="L42" s="7" t="str">
        <f t="shared" si="93"/>
        <v>No</v>
      </c>
      <c r="M42" s="7" t="s">
        <v>33</v>
      </c>
      <c r="N42" s="7" t="s">
        <v>33</v>
      </c>
      <c r="O42" s="7" t="s">
        <v>34</v>
      </c>
      <c r="P42" s="6"/>
      <c r="Q42" s="6" t="s">
        <v>3981</v>
      </c>
      <c r="R42" s="7" t="s">
        <v>33</v>
      </c>
      <c r="S42" s="7" t="s">
        <v>34</v>
      </c>
      <c r="T42" s="6"/>
      <c r="U42" s="6" t="s">
        <v>3982</v>
      </c>
      <c r="V42" s="7" t="s">
        <v>33</v>
      </c>
      <c r="W42" s="6" t="s">
        <v>3983</v>
      </c>
      <c r="X42" s="7" t="s">
        <v>33</v>
      </c>
      <c r="Y42" s="6" t="s">
        <v>3984</v>
      </c>
      <c r="Z42" s="7" t="s">
        <v>34</v>
      </c>
      <c r="AA42" s="6" t="s">
        <v>3985</v>
      </c>
      <c r="AB42" s="6" t="s">
        <v>3986</v>
      </c>
      <c r="AC42" s="6" t="s">
        <v>355</v>
      </c>
    </row>
    <row r="43" ht="22.5" customHeight="1">
      <c r="A43" s="11" t="str">
        <f>REGEXEXTRACT(D43, "\d{4}\.\s(.*?)\.\sProc\. ACM")"),"3D Deformation Capture via a Configurable Self-Sensing IMU Sensor Network</f>
        <v xml:space="preserve">3D Deformation Capture via a Configurable Self-Sensing IMU Sensor Network</v>
      </c>
      <c r="B43" s="7">
        <f t="shared" si="92"/>
        <v>42</v>
      </c>
      <c r="C43" s="8" t="s">
        <v>3987</v>
      </c>
      <c r="D43" s="6" t="s">
        <v>3988</v>
      </c>
      <c r="E43" s="9">
        <v>46005</v>
      </c>
      <c r="F43" s="7">
        <v>2023</v>
      </c>
      <c r="G43" s="7" t="s">
        <v>1412</v>
      </c>
      <c r="H43" s="6" t="str">
        <f t="shared" si="89"/>
        <v>2023_Mar_042</v>
      </c>
      <c r="I43" s="12" t="str">
        <f t="shared" si="90"/>
        <v>https://doi.org/10.1145/3580874</v>
      </c>
      <c r="J43" s="7">
        <f>IF(D43:D46&lt;&gt;"", VALUE(REGEXEXTRACT(D43:D46, "(\d+)\s+pages")), )
</f>
        <v>24</v>
      </c>
      <c r="K43" s="6" t="s">
        <v>45</v>
      </c>
      <c r="L43" s="7" t="str">
        <f t="shared" si="93"/>
        <v>No</v>
      </c>
      <c r="M43" s="7" t="s">
        <v>34</v>
      </c>
      <c r="N43" s="7" t="s">
        <v>33</v>
      </c>
      <c r="O43" s="7" t="s">
        <v>33</v>
      </c>
      <c r="P43" s="10" t="s">
        <v>3989</v>
      </c>
      <c r="Q43" s="6" t="s">
        <v>3990</v>
      </c>
      <c r="R43" s="7" t="s">
        <v>33</v>
      </c>
      <c r="S43" s="7" t="s">
        <v>34</v>
      </c>
      <c r="T43" s="6"/>
      <c r="U43" s="6" t="s">
        <v>3991</v>
      </c>
      <c r="V43" s="7" t="s">
        <v>33</v>
      </c>
      <c r="W43" s="6" t="s">
        <v>3992</v>
      </c>
      <c r="X43" s="7" t="s">
        <v>34</v>
      </c>
      <c r="Y43" s="6" t="s">
        <v>3993</v>
      </c>
      <c r="Z43" s="7" t="s">
        <v>34</v>
      </c>
      <c r="AA43" s="6" t="s">
        <v>3994</v>
      </c>
      <c r="AB43" s="6" t="s">
        <v>3995</v>
      </c>
      <c r="AC43" s="6" t="s">
        <v>355</v>
      </c>
    </row>
    <row r="44" ht="22.5" customHeight="1">
      <c r="A44" s="11" t="str">
        <f>REGEXEXTRACT(D44, "\d{4}\.\s(.*?)\.\sProc\. ACM")"),"IoTBeholder: A Privacy Snooping Attack on User Habitual Behaviors from Smart Home Wi-Fi Traffic</f>
        <v xml:space="preserve">IoTBeholder: A Privacy Snooping Attack on User Habitual Behaviors from Smart Home Wi-Fi Traffic</v>
      </c>
      <c r="B44" s="7">
        <f t="shared" si="92"/>
        <v>43</v>
      </c>
      <c r="C44" s="8" t="s">
        <v>3996</v>
      </c>
      <c r="D44" s="6" t="s">
        <v>3997</v>
      </c>
      <c r="E44" s="9">
        <v>46005</v>
      </c>
      <c r="F44" s="7">
        <v>2023</v>
      </c>
      <c r="G44" s="7" t="s">
        <v>1412</v>
      </c>
      <c r="H44" s="6" t="str">
        <f t="shared" si="89"/>
        <v>2023_Mar_043</v>
      </c>
      <c r="I44" s="12" t="str">
        <f t="shared" si="90"/>
        <v>https://doi.org/10.1145/3580890</v>
      </c>
      <c r="J44" s="7">
        <f>IF(D44:D46&lt;&gt;"", VALUE(REGEXEXTRACT(D44:D46, "(\d+)\s+pages")), )
</f>
        <v>26</v>
      </c>
      <c r="K44" s="6" t="s">
        <v>32</v>
      </c>
      <c r="L44" s="7" t="str">
        <f t="shared" si="93"/>
        <v>No</v>
      </c>
      <c r="M44" s="7" t="s">
        <v>33</v>
      </c>
      <c r="N44" s="7" t="s">
        <v>33</v>
      </c>
      <c r="O44" s="7" t="s">
        <v>34</v>
      </c>
      <c r="P44" s="6"/>
      <c r="Q44" s="6" t="s">
        <v>3998</v>
      </c>
      <c r="R44" s="7" t="s">
        <v>33</v>
      </c>
      <c r="S44" s="7" t="s">
        <v>34</v>
      </c>
      <c r="T44" s="6"/>
      <c r="U44" s="6" t="s">
        <v>3999</v>
      </c>
      <c r="V44" s="7" t="s">
        <v>33</v>
      </c>
      <c r="W44" s="6" t="s">
        <v>4000</v>
      </c>
      <c r="X44" s="7" t="s">
        <v>34</v>
      </c>
      <c r="Y44" s="6" t="s">
        <v>4001</v>
      </c>
      <c r="Z44" s="7" t="s">
        <v>34</v>
      </c>
      <c r="AA44" s="6" t="s">
        <v>3985</v>
      </c>
      <c r="AB44" s="6" t="s">
        <v>4002</v>
      </c>
      <c r="AC44" s="6" t="s">
        <v>355</v>
      </c>
    </row>
    <row r="45" ht="22.5" customHeight="1">
      <c r="A45" s="11" t="str">
        <f>REGEXEXTRACT(D45, "\d{4}\.\s(.*?)\.\sProc\. ACM")"),"Voicify Your UI: Towards Android App Control with Voice Commands</f>
        <v xml:space="preserve">Voicify Your UI: Towards Android App Control with Voice Commands</v>
      </c>
      <c r="B45" s="7">
        <f t="shared" si="92"/>
        <v>44</v>
      </c>
      <c r="C45" s="8" t="s">
        <v>4003</v>
      </c>
      <c r="D45" s="6" t="s">
        <v>4004</v>
      </c>
      <c r="E45" s="9">
        <v>46005</v>
      </c>
      <c r="F45" s="7">
        <v>2023</v>
      </c>
      <c r="G45" s="7" t="s">
        <v>1412</v>
      </c>
      <c r="H45" s="6" t="str">
        <f t="shared" si="89"/>
        <v>2023_Mar_044</v>
      </c>
      <c r="I45" s="12" t="str">
        <f t="shared" si="90"/>
        <v>https://doi.org/10.1145/3581998</v>
      </c>
      <c r="J45" s="7">
        <f>IF(D45:D46&lt;&gt;"", VALUE(REGEXEXTRACT(D45:D46, "(\d+)\s+pages")), )
</f>
        <v>22</v>
      </c>
      <c r="K45" s="6" t="s">
        <v>133</v>
      </c>
      <c r="L45" s="7" t="str">
        <f t="shared" si="93"/>
        <v>No</v>
      </c>
      <c r="M45" s="7" t="s">
        <v>34</v>
      </c>
      <c r="N45" s="7" t="s">
        <v>33</v>
      </c>
      <c r="O45" s="7" t="s">
        <v>33</v>
      </c>
      <c r="P45" s="12" t="s">
        <v>4005</v>
      </c>
      <c r="Q45" s="6" t="s">
        <v>4006</v>
      </c>
      <c r="R45" s="7" t="s">
        <v>33</v>
      </c>
      <c r="S45" s="7" t="s">
        <v>144</v>
      </c>
      <c r="T45" s="10" t="s">
        <v>4005</v>
      </c>
      <c r="U45" s="6" t="s">
        <v>4007</v>
      </c>
      <c r="V45" s="7" t="s">
        <v>33</v>
      </c>
      <c r="W45" s="6" t="s">
        <v>4008</v>
      </c>
      <c r="X45" s="7" t="s">
        <v>33</v>
      </c>
      <c r="Y45" s="6" t="s">
        <v>4009</v>
      </c>
      <c r="Z45" s="7" t="s">
        <v>34</v>
      </c>
      <c r="AA45" s="6" t="s">
        <v>4010</v>
      </c>
      <c r="AB45" s="6" t="s">
        <v>4011</v>
      </c>
      <c r="AC45" s="6" t="s">
        <v>355</v>
      </c>
    </row>
    <row r="46" ht="22.5" customHeight="1">
      <c r="A46" s="11" t="str">
        <f>REGEXEXTRACT(D46, "\d{4}\.\s(.*?)\.\sProc\. ACM")"),"A User-Centric Evaluation of Smart Home Resolution Approaches for Conflicts Between Routines</f>
        <v xml:space="preserve">A User-Centric Evaluation of Smart Home Resolution Approaches for Conflicts Between Routines</v>
      </c>
      <c r="B46" s="7">
        <f t="shared" si="92"/>
        <v>45</v>
      </c>
      <c r="C46" s="8" t="s">
        <v>4012</v>
      </c>
      <c r="D46" s="6" t="s">
        <v>4013</v>
      </c>
      <c r="E46" s="9">
        <v>46005</v>
      </c>
      <c r="F46" s="7">
        <v>2023</v>
      </c>
      <c r="G46" s="7" t="s">
        <v>1412</v>
      </c>
      <c r="H46" s="6" t="str">
        <f t="shared" si="89"/>
        <v>2023_Mar_045</v>
      </c>
      <c r="I46" s="12" t="str">
        <f t="shared" si="90"/>
        <v>https://doi.org/10.1145/3581997</v>
      </c>
      <c r="J46" s="7">
        <f>IF(D46&lt;&gt;"", VALUE(REGEXEXTRACT(D46, "(\d+)\s+pages")), )
</f>
        <v>35</v>
      </c>
      <c r="K46" s="6" t="s">
        <v>42</v>
      </c>
      <c r="L46" s="7" t="str">
        <f t="shared" si="93"/>
        <v>No</v>
      </c>
      <c r="M46" s="7" t="s">
        <v>34</v>
      </c>
      <c r="N46" s="7" t="s">
        <v>34</v>
      </c>
      <c r="O46" s="7" t="s">
        <v>35</v>
      </c>
      <c r="P46" s="6"/>
      <c r="Q46" s="6"/>
      <c r="R46" s="7" t="s">
        <v>34</v>
      </c>
      <c r="S46" s="7" t="s">
        <v>35</v>
      </c>
      <c r="T46" s="6"/>
      <c r="U46" s="6"/>
      <c r="V46" s="7" t="s">
        <v>35</v>
      </c>
      <c r="W46" s="6"/>
      <c r="X46" s="7" t="s">
        <v>35</v>
      </c>
      <c r="Y46" s="13"/>
      <c r="Z46" s="7" t="s">
        <v>35</v>
      </c>
      <c r="AA46" s="6"/>
      <c r="AB46" s="6"/>
      <c r="AC46" s="6" t="s">
        <v>355</v>
      </c>
    </row>
  </sheetData>
  <conditionalFormatting sqref="P1:P46">
    <cfRule type="colorScale" priority="1">
      <colorScale>
        <cfvo type="min"/>
        <cfvo type="max"/>
        <color indexed="65"/>
        <color rgb="FF57BB8A"/>
      </colorScale>
    </cfRule>
  </conditionalFormatting>
  <dataValidations count="2" disablePrompts="0">
    <dataValidation sqref="A2:A46 H2:I46 K2:K46 P2:Q46 T2:U46 W2:W46 Y2:Y46 AA2:AB46" type="none" allowBlank="1" errorStyle="stop" imeMode="noControl" operator="between" showDropDown="1" showErrorMessage="0" showInputMessage="0"/>
    <dataValidation sqref="D2:D46" type="none" allowBlank="1" errorStyle="stop" imeMode="noControl" operator="between" showDropDown="1" showErrorMessage="0" showInputMessage="0"/>
  </dataValidations>
  <hyperlinks>
    <hyperlink r:id="rId1" ref="C2"/>
    <hyperlink r:id="rId2" ref="C3"/>
    <hyperlink r:id="rId3" ref="C4"/>
    <hyperlink r:id="rId4" ref="C5"/>
    <hyperlink r:id="rId5" ref="C6"/>
    <hyperlink r:id="rId6" ref="C7"/>
    <hyperlink r:id="rId7" ref="C8"/>
    <hyperlink r:id="rId8" ref="C9"/>
    <hyperlink r:id="rId9" ref="T9"/>
    <hyperlink r:id="rId10" ref="C10"/>
    <hyperlink r:id="rId11" ref="P10"/>
    <hyperlink r:id="rId11" ref="T10"/>
    <hyperlink r:id="rId12" ref="C11"/>
    <hyperlink r:id="rId13" ref="C12"/>
    <hyperlink r:id="rId14" ref="C13"/>
    <hyperlink r:id="rId15" ref="C14"/>
    <hyperlink r:id="rId16" ref="C15"/>
    <hyperlink r:id="rId17" ref="C16"/>
    <hyperlink r:id="rId18" ref="C17"/>
    <hyperlink r:id="rId19" ref="C18"/>
    <hyperlink r:id="rId20" ref="C19"/>
    <hyperlink r:id="rId21" ref="C20"/>
    <hyperlink r:id="rId22" ref="C21"/>
    <hyperlink r:id="rId23" ref="P21"/>
    <hyperlink r:id="rId24" ref="C22"/>
    <hyperlink r:id="rId25" ref="C23"/>
    <hyperlink r:id="rId26" ref="P23"/>
    <hyperlink r:id="rId27" ref="C24"/>
    <hyperlink r:id="rId28" ref="C25"/>
    <hyperlink r:id="rId29" ref="C26"/>
    <hyperlink r:id="rId30" ref="C27"/>
    <hyperlink r:id="rId31" ref="P27"/>
    <hyperlink r:id="rId32" ref="Q27"/>
    <hyperlink r:id="rId33" ref="C28"/>
    <hyperlink r:id="rId34" ref="T28"/>
    <hyperlink r:id="rId35" ref="C29"/>
    <hyperlink r:id="rId36" ref="C30"/>
    <hyperlink r:id="rId37" ref="C31"/>
    <hyperlink r:id="rId38" ref="C32"/>
    <hyperlink r:id="rId39" ref="C33"/>
    <hyperlink r:id="rId40" ref="C34"/>
    <hyperlink r:id="rId41" ref="C35"/>
    <hyperlink r:id="rId42" ref="C36"/>
    <hyperlink r:id="rId43" ref="C37"/>
    <hyperlink r:id="rId44" ref="C38"/>
    <hyperlink r:id="rId45" ref="C39"/>
    <hyperlink r:id="rId46" ref="C40"/>
    <hyperlink r:id="rId47" ref="C41"/>
    <hyperlink r:id="rId48" ref="C42"/>
    <hyperlink r:id="rId49" ref="C43"/>
    <hyperlink r:id="rId50" ref="P43"/>
    <hyperlink r:id="rId51" ref="C44"/>
    <hyperlink r:id="rId52" ref="C45"/>
    <hyperlink r:id="rId53" ref="P45"/>
    <hyperlink r:id="rId53" ref="T45"/>
    <hyperlink r:id="rId54" ref="C46"/>
  </hyperlinks>
  <printOptions headings="0" gridLines="1" horizontalCentered="1"/>
  <pageMargins left="0.25" right="0.25" top="0.75" bottom="0.75" header="0" footer="0"/>
  <pageSetup paperSize="9" scale="100" fitToWidth="1" fitToHeight="0" pageOrder="overThenDown" orientation="landscape" usePrinterDefaults="1" blackAndWhite="0" draft="0" cellComments="atEnd" useFirstPageNumber="0" errors="displayed" horizontalDpi="600" verticalDpi="600" copies="1"/>
  <headerFooter/>
  <tableParts count="1">
    <tablePart r:id="rId55"/>
  </tableParts>
  <extLst>
    <ext xmlns:x14="http://schemas.microsoft.com/office/spreadsheetml/2009/9/main" uri="{78C0D931-6437-407d-A8EE-F0AAD7539E65}">
      <x14:conditionalFormattings>
        <x14:conditionalFormatting xmlns:xm="http://schemas.microsoft.com/office/excel/2006/main">
          <x14:cfRule type="expression" priority="2" id="{4908C4F9-B7A7-439E-8E1D-8D52BA6B908C}">
            <xm:f>AND(REGEXMATCH($O2,"^(Yes|Partially)$"), ISBLANK($P2))</xm:f>
            <x14:dxf>
              <font/>
              <fill>
                <patternFill patternType="solid">
                  <fgColor rgb="FFE68282"/>
                  <bgColor rgb="FFE68282"/>
                </patternFill>
              </fill>
              <border>
                <left/>
                <right/>
                <top/>
                <bottom/>
                <diagonal/>
              </border>
            </x14:dxf>
          </x14:cfRule>
          <xm:sqref>P2:P46</xm:sqref>
        </x14:conditionalFormatting>
        <x14:conditionalFormatting xmlns:xm="http://schemas.microsoft.com/office/excel/2006/main">
          <x14:cfRule type="expression" priority="3" id="{EC0D6147-B8AE-4654-8DA2-8B95903FC13F}">
            <xm:f>AND(REGEXMATCH($S2,"^(Yes|Partially)$"), ISBLANK($T2))</xm:f>
            <x14:dxf>
              <font/>
              <fill>
                <patternFill patternType="solid">
                  <fgColor rgb="FFE68282"/>
                  <bgColor rgb="FFE68282"/>
                </patternFill>
              </fill>
              <border>
                <left/>
                <right/>
                <top/>
                <bottom/>
                <diagonal/>
              </border>
            </x14:dxf>
          </x14:cfRule>
          <xm:sqref>T2:T46</xm:sqref>
        </x14:conditionalFormatting>
        <x14:conditionalFormatting xmlns:xm="http://schemas.microsoft.com/office/excel/2006/main">
          <x14:cfRule type="expression" priority="4" id="{CEC22377-8812-4E31-9B6F-2D371380BF4A}">
            <xm:f>AND($V2="Yes", ISBLANK($W2))</xm:f>
            <x14:dxf>
              <font/>
              <fill>
                <patternFill patternType="solid">
                  <fgColor rgb="FFE68282"/>
                  <bgColor rgb="FFE68282"/>
                </patternFill>
              </fill>
              <border>
                <left/>
                <right/>
                <top/>
                <bottom/>
                <diagonal/>
              </border>
            </x14:dxf>
          </x14:cfRule>
          <xm:sqref>W2:W46</xm:sqref>
        </x14:conditionalFormatting>
        <x14:conditionalFormatting xmlns:xm="http://schemas.microsoft.com/office/excel/2006/main">
          <x14:cfRule type="expression" priority="5" id="{450CE9D0-F2FB-4AF6-B8AE-772305890766}">
            <xm:f>AND($X2="Yes", ISBLANK($Y2))</xm:f>
            <x14:dxf>
              <font/>
              <fill>
                <patternFill patternType="solid">
                  <fgColor rgb="FFE68282"/>
                  <bgColor rgb="FFE68282"/>
                </patternFill>
              </fill>
              <border>
                <left/>
                <right/>
                <top/>
                <bottom/>
                <diagonal/>
              </border>
            </x14:dxf>
          </x14:cfRule>
          <xm:sqref>Y2:Y46</xm:sqref>
        </x14:conditionalFormatting>
      </x14:conditionalFormattings>
    </ext>
    <ext xmlns:x14="http://schemas.microsoft.com/office/spreadsheetml/2009/9/main" uri="{CCE6A557-97BC-4b89-ADB6-D9C93CAAB3DF}">
      <x14:dataValidations xmlns:xm="http://schemas.microsoft.com/office/excel/2006/main" count="10" disablePrompts="0">
        <x14:dataValidation xr:uid="{FAA291EC-FA3A-44DE-AEE0-2AA5825FB354}" type="list" allowBlank="1" errorStyle="stop" imeMode="noControl" operator="between" showDropDown="0" showErrorMessage="0" showInputMessage="0">
          <x14:formula1>
            <xm:f>"Yes,No"</xm:f>
          </x14:formula1>
          <xm:sqref>L2:L46</xm:sqref>
        </x14:dataValidation>
        <x14:dataValidation xr:uid="{29AFF08B-A467-490E-980D-B97D1EB9E7DE}" type="list" allowBlank="1" errorStyle="stop" imeMode="noControl" operator="between" showDropDown="0" showErrorMessage="0" showInputMessage="0">
          <x14:formula1>
            <xm:f>"Yes,No,Unknown"</xm:f>
          </x14:formula1>
          <xm:sqref>R2:R46</xm:sqref>
        </x14:dataValidation>
        <x14:dataValidation xr:uid="{C1DDA287-6C6C-4D3A-A0A5-BB160A85599F}" type="list" allowBlank="1" errorStyle="stop" imeMode="noControl" operator="between" showDropDown="0" showErrorMessage="0" showInputMessage="0">
          <x14:formula1>
            <xm:f>"Yes,No,Unknown"</xm:f>
          </x14:formula1>
          <xm:sqref>N2:N46</xm:sqref>
        </x14:dataValidation>
        <x14:dataValidation xr:uid="{44A910D2-AE1D-4886-991D-CB5E0526C748}" type="list" allowBlank="1" errorStyle="stop" imeMode="noControl" operator="between" showDropDown="0" showErrorMessage="0" showInputMessage="0">
          <x14:formula1>
            <xm:f>"Yes,No,Partially,Unknown,N/A"</xm:f>
          </x14:formula1>
          <xm:sqref>Z2:Z46</xm:sqref>
        </x14:dataValidation>
        <x14:dataValidation xr:uid="{10977B0B-CE9D-4A3B-B8B4-E2220A7B0FCB}" type="custom" allowBlank="1" errorStyle="stop" imeMode="noControl" operator="between" showDropDown="1" showErrorMessage="0" showInputMessage="0">
          <x14:formula1>
            <xm:f>AND(ISNUMBER(B2),(NOT(OR(NOT(ISERROR(DATEVALUE(B2))), AND(ISNUMBER(B2), LEFT(CELL("format", B2))="D")))))</xm:f>
          </x14:formula1>
          <xm:sqref>B2:B46 F2:F46 J2:J46</xm:sqref>
        </x14:dataValidation>
        <x14:dataValidation xr:uid="{2E2B29C3-8DB2-4F4B-B07C-2384AC021104}" type="custom" allowBlank="1" errorStyle="stop" imeMode="noControl" operator="between" showDropDown="1" showErrorMessage="0" showInputMessage="0">
          <x14:formula1>
            <xm:f>OR(NOT(ISERROR(DATEVALUE(E2))), AND(ISNUMBER(E2), LEFT(CELL("format", E2))="D"))</xm:f>
          </x14:formula1>
          <xm:sqref>E2:E46</xm:sqref>
        </x14:dataValidation>
        <x14:dataValidation xr:uid="{9E6911BE-3296-4EC8-A10A-6786F8B4BAAB}" type="list" allowBlank="1" errorStyle="stop" imeMode="noControl" operator="between" showDropDown="0" showErrorMessage="0" showInputMessage="0">
          <x14:formula1>
            <xm:f>"Yes,No,Unknown"</xm:f>
          </x14:formula1>
          <xm:sqref>M2:M46</xm:sqref>
        </x14:dataValidation>
        <x14:dataValidation xr:uid="{968B349A-2FB1-4778-AC45-D5076ED76C75}" type="list" allowBlank="1" errorStyle="stop" imeMode="noControl" operator="between" showDropDown="0" showErrorMessage="0" showInputMessage="0">
          <x14:formula1>
            <xm:f>"Yes,No,Unknown,N/A"</xm:f>
          </x14:formula1>
          <xm:sqref>V2:V46 X2:X46</xm:sqref>
        </x14:dataValidation>
        <x14:dataValidation xr:uid="{32957C95-FE20-4914-858F-31CAD48B0C0D}" type="list" allowBlank="1" errorStyle="stop" imeMode="noControl" operator="between" showDropDown="0" showErrorMessage="0" showInputMessage="0">
          <x14:formula1>
            <xm:f>"Yes,No,Partially,Unknown,N/A,Upon_request"</xm:f>
          </x14:formula1>
          <xm:sqref>O2:O46 S2:S46</xm:sqref>
        </x14:dataValidation>
        <x14:dataValidation xr:uid="{65089920-146E-43DD-9D78-AACB6B0E7F40}" type="list" allowBlank="1" errorStyle="stop" imeMode="noControl" operator="between" showDropDown="0" showErrorMessage="0" showInputMessage="0">
          <x14:formula1>
            <xm:f>"Mar,Jun,Sep,Dec"</xm:f>
          </x14:formula1>
          <xm:sqref>G2:G46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